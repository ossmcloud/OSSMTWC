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https://towercomltd.sharepoint.com/sites/Finance/Shared Documents/10 - Projects/1. ERP Installation/Requirements/Backup files for requirements/"/>
    </mc:Choice>
  </mc:AlternateContent>
  <xr:revisionPtr revIDLastSave="16" documentId="13_ncr:1_{18612334-9102-4849-82BC-0BDEFD071141}" xr6:coauthVersionLast="47" xr6:coauthVersionMax="47" xr10:uidLastSave="{13CAB09C-38C3-4EBF-A2FE-AD4594E6372F}"/>
  <bookViews>
    <workbookView xWindow="-57720" yWindow="-120" windowWidth="29040" windowHeight="15720" xr2:uid="{9F4C811C-102D-430A-9D14-9E6AA2DEA556}"/>
  </bookViews>
  <sheets>
    <sheet name="Tracker" sheetId="1" r:id="rId1"/>
    <sheet name="Sheet1" sheetId="5" state="hidden" r:id="rId2"/>
  </sheets>
  <definedNames>
    <definedName name="_xlnm._FilterDatabase" localSheetId="0" hidden="1">Tracker!$A$5:$MO$5</definedName>
    <definedName name="Actual_ABP_Date">Tracker!$BR$6:$BR$50</definedName>
    <definedName name="Actual_CMP">Tracker!$HY$6:$HY$50</definedName>
    <definedName name="Actual_DD_Appr">Tracker!$HO$6:$HO$50</definedName>
    <definedName name="Actual_Demand">Tracker!$EO$6:$EO$50</definedName>
    <definedName name="Actual_Dwg_Appr">Tracker!$AF$6:$AF$50</definedName>
    <definedName name="Actual_eir_Notif">Tracker!$IC$6:$IC$50</definedName>
    <definedName name="Actual_Found_Compl">Tracker!$JA$6:$JA$50</definedName>
    <definedName name="Actual_FP_Decision">Tracker!$BW$6:$BW$50</definedName>
    <definedName name="Actual_FP_Decision_Date">Tracker!$BV$6:$BV$50</definedName>
    <definedName name="Actual_FP_Instr">Tracker!$X$6:$X$50</definedName>
    <definedName name="Actual_FP_Subm">Tracker!$AS$6:$AS$50</definedName>
    <definedName name="Actual_ICDD">Tracker!$HH$6:$HH$50</definedName>
    <definedName name="Actual_Initial">Tracker!$BE$6:$BE$50</definedName>
    <definedName name="Actual_Initial_Status">Tracker!$BF$6:$BF$50</definedName>
    <definedName name="Actual_LPA_Status">Tracker!$BJ$6:$BJ$50</definedName>
    <definedName name="Actual_Piling_Compl">Tracker!$IY$6:$IY$50</definedName>
    <definedName name="Actual_RFI">Tracker!$JJ$6:$JJ$50</definedName>
    <definedName name="Actual_Site_Gated">Tracker!$FK$6:$FK$50</definedName>
    <definedName name="Actual_Start">Tracker!$IQ$6:$IQ$50</definedName>
    <definedName name="Actual_Struct_Compl">Tracker!$JF$6:$JF$50</definedName>
    <definedName name="Appeal_Subm_Date">Tracker!$LO$6:$LO$50</definedName>
    <definedName name="Archive_Site">#REF!</definedName>
    <definedName name="Archive_Status">#REF!</definedName>
    <definedName name="Capex_Cost">Tracker!$KG$6:$KG$50</definedName>
    <definedName name="Dur_Appeal_ABP">Tracker!$LQ$6:$LQ$50</definedName>
    <definedName name="Dur_Subm_Final">Tracker!$LM$6:$LM$50</definedName>
    <definedName name="Dur_Subm_Init">Tracker!$LJ$6:$LJ$50</definedName>
    <definedName name="FC_DD_Appr">Tracker!$HM$6:$HM$50</definedName>
    <definedName name="FC_Demand">Tracker!$EY$6:$EY$50</definedName>
    <definedName name="FC_Earliest">Tracker!$FG$6:$FG$50</definedName>
    <definedName name="FC_FP_Decision">Tracker!$BU$6:$BU$50</definedName>
    <definedName name="FC_FP_Decision_Date">Tracker!$BT$6:$BT$50</definedName>
    <definedName name="FC_FP_Instr">Tracker!$W$6:$W$50</definedName>
    <definedName name="FC_FP_Subm">Tracker!$AR$6:$AR$50</definedName>
    <definedName name="FC_ICDD">Tracker!$HG$6:$HG$50</definedName>
    <definedName name="FC_RFI">Tracker!$JH$6:$JH$50</definedName>
    <definedName name="FC_Site_Gated">Tracker!$FJ$6:$FJ$50</definedName>
    <definedName name="FD">Tracker!$C$38</definedName>
    <definedName name="FI_Request">Tracker!$AX$6:$AX$50</definedName>
    <definedName name="FI_Subm">Tracker!$AZ$6:$AZ$50</definedName>
    <definedName name="FP_Appl_Status">Tracker!$CE$6:$CE$50</definedName>
    <definedName name="FP_Dwg_Instr">Tracker!$AB$6:$AB$50</definedName>
    <definedName name="FP_Status">Tracker!$BY$6:$BY$50</definedName>
    <definedName name="JR_Decision">Tracker!$LD$6:$LD$50</definedName>
    <definedName name="JR_Decision_Date">Tracker!$LC$6:$LC$50</definedName>
    <definedName name="JR_Duration">Tracker!$LF$6:$LF$50</definedName>
    <definedName name="JR_Issue">Tracker!$LA$6:$LA$50</definedName>
    <definedName name="JR_Status">Tracker!$LB$6:$LB$50</definedName>
    <definedName name="Piling_Req">Tracker!$HC$6:$HC$50</definedName>
    <definedName name="Site">Tracker!$C$6:$C$50</definedName>
    <definedName name="Total_Demand">Tracker!$EN$6:$EN$50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J24" i="1" l="1"/>
  <c r="FJ9" i="1"/>
  <c r="FK39" i="1" l="1"/>
  <c r="JH39" i="1" s="1"/>
  <c r="JH9" i="1"/>
  <c r="JH24" i="1"/>
  <c r="FG22" i="1"/>
  <c r="FJ22" i="1" s="1"/>
  <c r="FK22" i="1" l="1"/>
  <c r="JH22" i="1" s="1"/>
  <c r="FK32" i="1"/>
  <c r="JH32" i="1" s="1"/>
  <c r="FK25" i="1"/>
  <c r="JH25" i="1" s="1"/>
  <c r="KJ21" i="1"/>
  <c r="KM21" i="1" s="1"/>
  <c r="KN21" i="1"/>
  <c r="KO21" i="1"/>
  <c r="KP21" i="1"/>
  <c r="KS21" i="1"/>
  <c r="KU21" i="1"/>
  <c r="KV21" i="1"/>
  <c r="KW21" i="1"/>
  <c r="KX21" i="1"/>
  <c r="KJ23" i="1"/>
  <c r="KM23" i="1" s="1"/>
  <c r="KN23" i="1"/>
  <c r="KO23" i="1"/>
  <c r="KP23" i="1"/>
  <c r="KS23" i="1"/>
  <c r="KU23" i="1"/>
  <c r="KV23" i="1"/>
  <c r="KW23" i="1"/>
  <c r="KX23" i="1"/>
  <c r="KJ40" i="1"/>
  <c r="KM40" i="1" s="1"/>
  <c r="KN40" i="1"/>
  <c r="KO40" i="1"/>
  <c r="KP40" i="1"/>
  <c r="KS40" i="1"/>
  <c r="KU40" i="1"/>
  <c r="KV40" i="1"/>
  <c r="KW40" i="1"/>
  <c r="KX40" i="1"/>
  <c r="KJ26" i="1"/>
  <c r="KM26" i="1" s="1"/>
  <c r="KN26" i="1"/>
  <c r="KO26" i="1"/>
  <c r="KP26" i="1"/>
  <c r="KS26" i="1"/>
  <c r="KU26" i="1"/>
  <c r="KV26" i="1"/>
  <c r="KW26" i="1"/>
  <c r="KX26" i="1"/>
  <c r="KJ27" i="1"/>
  <c r="KM27" i="1" s="1"/>
  <c r="KN27" i="1"/>
  <c r="KO27" i="1"/>
  <c r="KP27" i="1"/>
  <c r="KS27" i="1"/>
  <c r="KU27" i="1"/>
  <c r="KV27" i="1"/>
  <c r="KW27" i="1"/>
  <c r="KX27" i="1"/>
  <c r="KJ29" i="1"/>
  <c r="KM29" i="1" s="1"/>
  <c r="KN29" i="1"/>
  <c r="KO29" i="1"/>
  <c r="KP29" i="1"/>
  <c r="KS29" i="1"/>
  <c r="KU29" i="1"/>
  <c r="KV29" i="1"/>
  <c r="KW29" i="1"/>
  <c r="KX29" i="1"/>
  <c r="KJ30" i="1"/>
  <c r="KM30" i="1" s="1"/>
  <c r="KN30" i="1"/>
  <c r="KO30" i="1"/>
  <c r="KP30" i="1"/>
  <c r="KS30" i="1"/>
  <c r="KU30" i="1"/>
  <c r="KV30" i="1"/>
  <c r="KW30" i="1"/>
  <c r="KX30" i="1"/>
  <c r="KJ31" i="1"/>
  <c r="KM31" i="1" s="1"/>
  <c r="KN31" i="1"/>
  <c r="KO31" i="1"/>
  <c r="KP31" i="1"/>
  <c r="KS31" i="1"/>
  <c r="KU31" i="1"/>
  <c r="KV31" i="1"/>
  <c r="KW31" i="1"/>
  <c r="KX31" i="1"/>
  <c r="KJ33" i="1"/>
  <c r="KM33" i="1" s="1"/>
  <c r="KN33" i="1"/>
  <c r="KO33" i="1"/>
  <c r="KP33" i="1"/>
  <c r="KS33" i="1"/>
  <c r="KU33" i="1"/>
  <c r="KV33" i="1"/>
  <c r="KW33" i="1"/>
  <c r="KX33" i="1"/>
  <c r="KJ34" i="1"/>
  <c r="KM34" i="1" s="1"/>
  <c r="KN34" i="1"/>
  <c r="KO34" i="1"/>
  <c r="KP34" i="1"/>
  <c r="KS34" i="1"/>
  <c r="KU34" i="1"/>
  <c r="KV34" i="1"/>
  <c r="KW34" i="1"/>
  <c r="KX34" i="1"/>
  <c r="KJ35" i="1"/>
  <c r="KM35" i="1" s="1"/>
  <c r="KN35" i="1"/>
  <c r="KO35" i="1"/>
  <c r="KP35" i="1"/>
  <c r="KS35" i="1"/>
  <c r="KU35" i="1"/>
  <c r="KV35" i="1"/>
  <c r="KW35" i="1"/>
  <c r="KX35" i="1"/>
  <c r="KJ36" i="1"/>
  <c r="KM36" i="1" s="1"/>
  <c r="KN36" i="1"/>
  <c r="KO36" i="1"/>
  <c r="KP36" i="1"/>
  <c r="KS36" i="1"/>
  <c r="KU36" i="1"/>
  <c r="KV36" i="1"/>
  <c r="KW36" i="1"/>
  <c r="KX36" i="1"/>
  <c r="KJ37" i="1"/>
  <c r="KM37" i="1" s="1"/>
  <c r="KN37" i="1"/>
  <c r="KO37" i="1"/>
  <c r="KP37" i="1"/>
  <c r="KS37" i="1"/>
  <c r="KU37" i="1"/>
  <c r="KV37" i="1"/>
  <c r="KW37" i="1"/>
  <c r="KX37" i="1"/>
  <c r="KJ38" i="1"/>
  <c r="KM38" i="1" s="1"/>
  <c r="KN38" i="1"/>
  <c r="KO38" i="1"/>
  <c r="KP38" i="1"/>
  <c r="KS38" i="1"/>
  <c r="KU38" i="1"/>
  <c r="KV38" i="1"/>
  <c r="KW38" i="1"/>
  <c r="KX38" i="1"/>
  <c r="KJ41" i="1"/>
  <c r="KT41" i="1" s="1"/>
  <c r="KN41" i="1"/>
  <c r="KO41" i="1"/>
  <c r="KP41" i="1"/>
  <c r="KS41" i="1"/>
  <c r="KU41" i="1"/>
  <c r="KV41" i="1"/>
  <c r="KW41" i="1"/>
  <c r="KX41" i="1"/>
  <c r="KJ42" i="1"/>
  <c r="KN42" i="1"/>
  <c r="KO42" i="1"/>
  <c r="KP42" i="1"/>
  <c r="KS42" i="1"/>
  <c r="KU42" i="1"/>
  <c r="KV42" i="1"/>
  <c r="KW42" i="1"/>
  <c r="KX42" i="1"/>
  <c r="KJ44" i="1"/>
  <c r="KN44" i="1"/>
  <c r="KO44" i="1"/>
  <c r="KP44" i="1"/>
  <c r="KS44" i="1"/>
  <c r="KU44" i="1"/>
  <c r="KV44" i="1"/>
  <c r="KW44" i="1"/>
  <c r="KX44" i="1"/>
  <c r="KJ46" i="1"/>
  <c r="KM46" i="1" s="1"/>
  <c r="KN46" i="1"/>
  <c r="KO46" i="1"/>
  <c r="KP46" i="1"/>
  <c r="KS46" i="1"/>
  <c r="KU46" i="1"/>
  <c r="KV46" i="1"/>
  <c r="KW46" i="1"/>
  <c r="KX46" i="1"/>
  <c r="KJ49" i="1"/>
  <c r="KM49" i="1" s="1"/>
  <c r="KN49" i="1"/>
  <c r="KO49" i="1"/>
  <c r="KP49" i="1"/>
  <c r="KS49" i="1"/>
  <c r="KU49" i="1"/>
  <c r="KV49" i="1"/>
  <c r="KW49" i="1"/>
  <c r="KX49" i="1"/>
  <c r="KJ20" i="1"/>
  <c r="KK20" i="1" s="1"/>
  <c r="KI20" i="1" s="1"/>
  <c r="KN20" i="1"/>
  <c r="KO20" i="1"/>
  <c r="KP20" i="1"/>
  <c r="KS20" i="1"/>
  <c r="KU20" i="1"/>
  <c r="KV20" i="1"/>
  <c r="KW20" i="1"/>
  <c r="KX20" i="1"/>
  <c r="KJ47" i="1"/>
  <c r="KK47" i="1" s="1"/>
  <c r="KI47" i="1" s="1"/>
  <c r="KN47" i="1"/>
  <c r="KO47" i="1"/>
  <c r="KP47" i="1"/>
  <c r="KS47" i="1"/>
  <c r="KU47" i="1"/>
  <c r="KV47" i="1"/>
  <c r="KW47" i="1"/>
  <c r="KX47" i="1"/>
  <c r="KN22" i="1"/>
  <c r="KO22" i="1"/>
  <c r="KP22" i="1"/>
  <c r="KS22" i="1"/>
  <c r="KU22" i="1"/>
  <c r="KV22" i="1"/>
  <c r="KW22" i="1"/>
  <c r="KX22" i="1"/>
  <c r="KN32" i="1"/>
  <c r="KO32" i="1"/>
  <c r="KP32" i="1"/>
  <c r="KS32" i="1"/>
  <c r="KU32" i="1"/>
  <c r="KV32" i="1"/>
  <c r="KW32" i="1"/>
  <c r="KX32" i="1"/>
  <c r="KJ39" i="1"/>
  <c r="KK39" i="1" s="1"/>
  <c r="KI39" i="1" s="1"/>
  <c r="KN39" i="1"/>
  <c r="KO39" i="1"/>
  <c r="KP39" i="1"/>
  <c r="KS39" i="1"/>
  <c r="KU39" i="1"/>
  <c r="KV39" i="1"/>
  <c r="KW39" i="1"/>
  <c r="KX39" i="1"/>
  <c r="KN50" i="1"/>
  <c r="KO50" i="1"/>
  <c r="KP50" i="1"/>
  <c r="KS50" i="1"/>
  <c r="KU50" i="1"/>
  <c r="KV50" i="1"/>
  <c r="KW50" i="1"/>
  <c r="KX50" i="1"/>
  <c r="KJ9" i="1"/>
  <c r="KK9" i="1" s="1"/>
  <c r="KI9" i="1" s="1"/>
  <c r="KN9" i="1"/>
  <c r="KO9" i="1"/>
  <c r="KP9" i="1"/>
  <c r="KS9" i="1"/>
  <c r="KU9" i="1"/>
  <c r="KV9" i="1"/>
  <c r="KW9" i="1"/>
  <c r="KX9" i="1"/>
  <c r="KJ45" i="1"/>
  <c r="KK45" i="1" s="1"/>
  <c r="KI45" i="1" s="1"/>
  <c r="KN45" i="1"/>
  <c r="KO45" i="1"/>
  <c r="KP45" i="1"/>
  <c r="KS45" i="1"/>
  <c r="KU45" i="1"/>
  <c r="KV45" i="1"/>
  <c r="KW45" i="1"/>
  <c r="KX45" i="1"/>
  <c r="KJ18" i="1"/>
  <c r="KL18" i="1" s="1"/>
  <c r="KN18" i="1"/>
  <c r="KO18" i="1"/>
  <c r="KP18" i="1"/>
  <c r="KS18" i="1"/>
  <c r="KU18" i="1"/>
  <c r="KV18" i="1"/>
  <c r="KW18" i="1"/>
  <c r="KX18" i="1"/>
  <c r="KJ28" i="1"/>
  <c r="KT28" i="1" s="1"/>
  <c r="KN28" i="1"/>
  <c r="KO28" i="1"/>
  <c r="KP28" i="1"/>
  <c r="KS28" i="1"/>
  <c r="KU28" i="1"/>
  <c r="KV28" i="1"/>
  <c r="KW28" i="1"/>
  <c r="KX28" i="1"/>
  <c r="KJ48" i="1"/>
  <c r="KM48" i="1" s="1"/>
  <c r="KN48" i="1"/>
  <c r="KO48" i="1"/>
  <c r="KP48" i="1"/>
  <c r="KS48" i="1"/>
  <c r="KU48" i="1"/>
  <c r="KV48" i="1"/>
  <c r="KW48" i="1"/>
  <c r="KX48" i="1"/>
  <c r="KJ43" i="1"/>
  <c r="KN43" i="1"/>
  <c r="KO43" i="1"/>
  <c r="KP43" i="1"/>
  <c r="KS43" i="1"/>
  <c r="KU43" i="1"/>
  <c r="KV43" i="1"/>
  <c r="KW43" i="1"/>
  <c r="KX43" i="1"/>
  <c r="KJ8" i="1"/>
  <c r="KN8" i="1"/>
  <c r="KO8" i="1"/>
  <c r="KS8" i="1"/>
  <c r="KU8" i="1"/>
  <c r="KV8" i="1"/>
  <c r="KW8" i="1"/>
  <c r="KX8" i="1"/>
  <c r="KJ12" i="1"/>
  <c r="KM12" i="1" s="1"/>
  <c r="KN12" i="1"/>
  <c r="KO12" i="1"/>
  <c r="KP12" i="1"/>
  <c r="KS12" i="1"/>
  <c r="KU12" i="1"/>
  <c r="KV12" i="1"/>
  <c r="KW12" i="1"/>
  <c r="KX12" i="1"/>
  <c r="KJ7" i="1"/>
  <c r="KN7" i="1"/>
  <c r="KO7" i="1"/>
  <c r="KP7" i="1"/>
  <c r="KS7" i="1"/>
  <c r="KU7" i="1"/>
  <c r="KV7" i="1"/>
  <c r="KW7" i="1"/>
  <c r="KX7" i="1"/>
  <c r="KJ24" i="1"/>
  <c r="KM24" i="1" s="1"/>
  <c r="KN24" i="1"/>
  <c r="KO24" i="1"/>
  <c r="KP24" i="1"/>
  <c r="KS24" i="1"/>
  <c r="KU24" i="1"/>
  <c r="KV24" i="1"/>
  <c r="KW24" i="1"/>
  <c r="KX24" i="1"/>
  <c r="KJ10" i="1"/>
  <c r="KN10" i="1"/>
  <c r="KO10" i="1"/>
  <c r="KP10" i="1"/>
  <c r="KS10" i="1"/>
  <c r="KU10" i="1"/>
  <c r="KV10" i="1"/>
  <c r="KW10" i="1"/>
  <c r="KX10" i="1"/>
  <c r="KJ11" i="1"/>
  <c r="KL11" i="1" s="1"/>
  <c r="KN11" i="1"/>
  <c r="KO11" i="1"/>
  <c r="KP11" i="1"/>
  <c r="KS11" i="1"/>
  <c r="KU11" i="1"/>
  <c r="KV11" i="1"/>
  <c r="KW11" i="1"/>
  <c r="KX11" i="1"/>
  <c r="KJ13" i="1"/>
  <c r="KM13" i="1" s="1"/>
  <c r="KN13" i="1"/>
  <c r="KO13" i="1"/>
  <c r="KP13" i="1"/>
  <c r="KS13" i="1"/>
  <c r="KU13" i="1"/>
  <c r="KV13" i="1"/>
  <c r="KW13" i="1"/>
  <c r="KX13" i="1"/>
  <c r="KJ14" i="1"/>
  <c r="KN14" i="1"/>
  <c r="KO14" i="1"/>
  <c r="KP14" i="1"/>
  <c r="KS14" i="1"/>
  <c r="KU14" i="1"/>
  <c r="KV14" i="1"/>
  <c r="KW14" i="1"/>
  <c r="KX14" i="1"/>
  <c r="KJ15" i="1"/>
  <c r="KM15" i="1" s="1"/>
  <c r="KN15" i="1"/>
  <c r="KO15" i="1"/>
  <c r="KP15" i="1"/>
  <c r="KS15" i="1"/>
  <c r="KU15" i="1"/>
  <c r="KV15" i="1"/>
  <c r="KW15" i="1"/>
  <c r="KX15" i="1"/>
  <c r="KJ16" i="1"/>
  <c r="KN16" i="1"/>
  <c r="KO16" i="1"/>
  <c r="KP16" i="1"/>
  <c r="KS16" i="1"/>
  <c r="KU16" i="1"/>
  <c r="KV16" i="1"/>
  <c r="KW16" i="1"/>
  <c r="KX16" i="1"/>
  <c r="KJ17" i="1"/>
  <c r="KL17" i="1" s="1"/>
  <c r="KN17" i="1"/>
  <c r="KO17" i="1"/>
  <c r="KP17" i="1"/>
  <c r="KS17" i="1"/>
  <c r="KU17" i="1"/>
  <c r="KV17" i="1"/>
  <c r="KW17" i="1"/>
  <c r="KX17" i="1"/>
  <c r="KN25" i="1"/>
  <c r="KO25" i="1"/>
  <c r="KP25" i="1"/>
  <c r="KS25" i="1"/>
  <c r="KU25" i="1"/>
  <c r="KV25" i="1"/>
  <c r="KW25" i="1"/>
  <c r="KX25" i="1"/>
  <c r="KJ19" i="1"/>
  <c r="KL19" i="1" s="1"/>
  <c r="KN19" i="1"/>
  <c r="KO19" i="1"/>
  <c r="KP19" i="1"/>
  <c r="KS19" i="1"/>
  <c r="KU19" i="1"/>
  <c r="KV19" i="1"/>
  <c r="KW19" i="1"/>
  <c r="KX19" i="1"/>
  <c r="KJ32" i="1" l="1"/>
  <c r="KK32" i="1" s="1"/>
  <c r="KI32" i="1" s="1"/>
  <c r="KJ25" i="1"/>
  <c r="KM25" i="1" s="1"/>
  <c r="KJ22" i="1"/>
  <c r="KK22" i="1" s="1"/>
  <c r="KI22" i="1" s="1"/>
  <c r="KT18" i="1"/>
  <c r="KQ39" i="1"/>
  <c r="KR39" i="1" s="1"/>
  <c r="KL24" i="1"/>
  <c r="KT31" i="1"/>
  <c r="KT21" i="1"/>
  <c r="KT39" i="1"/>
  <c r="KL45" i="1"/>
  <c r="KT35" i="1"/>
  <c r="KM39" i="1"/>
  <c r="KT23" i="1"/>
  <c r="KL39" i="1"/>
  <c r="KL15" i="1"/>
  <c r="KM45" i="1"/>
  <c r="KT33" i="1"/>
  <c r="KT27" i="1"/>
  <c r="KT13" i="1"/>
  <c r="KT15" i="1"/>
  <c r="KL13" i="1"/>
  <c r="KT24" i="1"/>
  <c r="KL9" i="1"/>
  <c r="KT37" i="1"/>
  <c r="KT40" i="1"/>
  <c r="KM16" i="1"/>
  <c r="KL16" i="1"/>
  <c r="KT16" i="1"/>
  <c r="KM10" i="1"/>
  <c r="KL10" i="1"/>
  <c r="KT10" i="1"/>
  <c r="KM19" i="1"/>
  <c r="KT19" i="1"/>
  <c r="KK18" i="1"/>
  <c r="KI18" i="1" s="1"/>
  <c r="KM18" i="1"/>
  <c r="KQ18" i="1"/>
  <c r="KR18" i="1" s="1"/>
  <c r="KM7" i="1"/>
  <c r="KL7" i="1"/>
  <c r="KT7" i="1"/>
  <c r="KM17" i="1"/>
  <c r="KT17" i="1"/>
  <c r="KM14" i="1"/>
  <c r="KT14" i="1"/>
  <c r="KM11" i="1"/>
  <c r="KT11" i="1"/>
  <c r="KK28" i="1"/>
  <c r="KI28" i="1" s="1"/>
  <c r="KL28" i="1"/>
  <c r="KM28" i="1"/>
  <c r="KQ28" i="1"/>
  <c r="KR28" i="1" s="1"/>
  <c r="KK42" i="1"/>
  <c r="KI42" i="1" s="1"/>
  <c r="KT42" i="1"/>
  <c r="KT38" i="1"/>
  <c r="KT36" i="1"/>
  <c r="KT34" i="1"/>
  <c r="KT30" i="1"/>
  <c r="KT29" i="1"/>
  <c r="KT26" i="1"/>
  <c r="KT45" i="1"/>
  <c r="KQ9" i="1"/>
  <c r="KR9" i="1" s="1"/>
  <c r="KM9" i="1"/>
  <c r="KK19" i="1"/>
  <c r="KI19" i="1" s="1"/>
  <c r="KK17" i="1"/>
  <c r="KI17" i="1" s="1"/>
  <c r="KK16" i="1"/>
  <c r="KI16" i="1" s="1"/>
  <c r="KK15" i="1"/>
  <c r="KI15" i="1" s="1"/>
  <c r="KK14" i="1"/>
  <c r="KI14" i="1" s="1"/>
  <c r="KK13" i="1"/>
  <c r="KI13" i="1" s="1"/>
  <c r="KK11" i="1"/>
  <c r="KI11" i="1" s="1"/>
  <c r="KK10" i="1"/>
  <c r="KI10" i="1" s="1"/>
  <c r="KK24" i="1"/>
  <c r="KI24" i="1" s="1"/>
  <c r="KK7" i="1"/>
  <c r="KI7" i="1" s="1"/>
  <c r="KM43" i="1"/>
  <c r="KM8" i="1"/>
  <c r="KQ8" i="1"/>
  <c r="KT9" i="1"/>
  <c r="KM44" i="1"/>
  <c r="KL42" i="1"/>
  <c r="KL38" i="1"/>
  <c r="KL37" i="1"/>
  <c r="KL36" i="1"/>
  <c r="KL35" i="1"/>
  <c r="KL34" i="1"/>
  <c r="KL33" i="1"/>
  <c r="KL31" i="1"/>
  <c r="KL30" i="1"/>
  <c r="KL29" i="1"/>
  <c r="KL27" i="1"/>
  <c r="KL26" i="1"/>
  <c r="KL40" i="1"/>
  <c r="KL23" i="1"/>
  <c r="KL21" i="1"/>
  <c r="KK38" i="1"/>
  <c r="KI38" i="1" s="1"/>
  <c r="KK37" i="1"/>
  <c r="KI37" i="1" s="1"/>
  <c r="KK36" i="1"/>
  <c r="KI36" i="1" s="1"/>
  <c r="KK35" i="1"/>
  <c r="KI35" i="1" s="1"/>
  <c r="KK34" i="1"/>
  <c r="KI34" i="1" s="1"/>
  <c r="KK33" i="1"/>
  <c r="KI33" i="1" s="1"/>
  <c r="KK31" i="1"/>
  <c r="KI31" i="1" s="1"/>
  <c r="KK30" i="1"/>
  <c r="KI30" i="1" s="1"/>
  <c r="KK29" i="1"/>
  <c r="KI29" i="1" s="1"/>
  <c r="KK27" i="1"/>
  <c r="KI27" i="1" s="1"/>
  <c r="KK26" i="1"/>
  <c r="KI26" i="1" s="1"/>
  <c r="KK40" i="1"/>
  <c r="KI40" i="1" s="1"/>
  <c r="KK23" i="1"/>
  <c r="KI23" i="1" s="1"/>
  <c r="KK21" i="1"/>
  <c r="KI21" i="1" s="1"/>
  <c r="KK12" i="1"/>
  <c r="KI12" i="1" s="1"/>
  <c r="KL12" i="1"/>
  <c r="KT12" i="1"/>
  <c r="KK43" i="1"/>
  <c r="KI43" i="1" s="1"/>
  <c r="KL43" i="1"/>
  <c r="KT43" i="1"/>
  <c r="KQ48" i="1"/>
  <c r="KR48" i="1" s="1"/>
  <c r="KK8" i="1"/>
  <c r="KI8" i="1" s="1"/>
  <c r="KL8" i="1"/>
  <c r="KT8" i="1"/>
  <c r="KK48" i="1"/>
  <c r="KI48" i="1" s="1"/>
  <c r="KL48" i="1"/>
  <c r="KT48" i="1"/>
  <c r="KL20" i="1"/>
  <c r="KT20" i="1"/>
  <c r="KM20" i="1"/>
  <c r="KQ20" i="1"/>
  <c r="KR20" i="1" s="1"/>
  <c r="KL47" i="1"/>
  <c r="KT47" i="1"/>
  <c r="KM47" i="1"/>
  <c r="KQ47" i="1"/>
  <c r="KR47" i="1" s="1"/>
  <c r="KM41" i="1"/>
  <c r="KQ41" i="1"/>
  <c r="KR41" i="1" s="1"/>
  <c r="KK41" i="1"/>
  <c r="KI41" i="1" s="1"/>
  <c r="KL41" i="1"/>
  <c r="KK49" i="1"/>
  <c r="KI49" i="1" s="1"/>
  <c r="KL49" i="1"/>
  <c r="KT49" i="1"/>
  <c r="KK46" i="1"/>
  <c r="KI46" i="1" s="1"/>
  <c r="KL46" i="1"/>
  <c r="KT46" i="1"/>
  <c r="KK44" i="1"/>
  <c r="KI44" i="1" s="1"/>
  <c r="KL44" i="1"/>
  <c r="KT44" i="1"/>
  <c r="KM42" i="1"/>
  <c r="KQ38" i="1"/>
  <c r="KR38" i="1" s="1"/>
  <c r="KQ37" i="1"/>
  <c r="KR37" i="1" s="1"/>
  <c r="KQ35" i="1"/>
  <c r="KR35" i="1" s="1"/>
  <c r="KQ34" i="1"/>
  <c r="KR34" i="1" s="1"/>
  <c r="KQ29" i="1"/>
  <c r="KR29" i="1" s="1"/>
  <c r="KQ27" i="1"/>
  <c r="KR27" i="1" s="1"/>
  <c r="KQ40" i="1"/>
  <c r="KR40" i="1" s="1"/>
  <c r="KQ19" i="1"/>
  <c r="KR19" i="1" s="1"/>
  <c r="KQ15" i="1"/>
  <c r="KR15" i="1" s="1"/>
  <c r="KQ11" i="1"/>
  <c r="KR11" i="1" s="1"/>
  <c r="KQ10" i="1"/>
  <c r="KR10" i="1" s="1"/>
  <c r="KQ24" i="1"/>
  <c r="KR24" i="1" s="1"/>
  <c r="KL32" i="1" l="1"/>
  <c r="KT32" i="1"/>
  <c r="KM32" i="1"/>
  <c r="KK25" i="1"/>
  <c r="KI25" i="1" s="1"/>
  <c r="KT25" i="1"/>
  <c r="KT22" i="1"/>
  <c r="KM22" i="1"/>
  <c r="KL22" i="1"/>
  <c r="W48" i="1" l="1"/>
  <c r="W38" i="1"/>
  <c r="IN20" i="1" l="1"/>
  <c r="LS7" i="1" l="1"/>
  <c r="LS24" i="1"/>
  <c r="LS10" i="1"/>
  <c r="LS11" i="1"/>
  <c r="LS13" i="1"/>
  <c r="LS14" i="1"/>
  <c r="LS15" i="1"/>
  <c r="LS16" i="1"/>
  <c r="LS17" i="1"/>
  <c r="LS25" i="1"/>
  <c r="LS19" i="1"/>
  <c r="LS21" i="1"/>
  <c r="LS23" i="1"/>
  <c r="LS40" i="1"/>
  <c r="LS26" i="1"/>
  <c r="LS27" i="1"/>
  <c r="LS29" i="1"/>
  <c r="LS30" i="1"/>
  <c r="LS31" i="1"/>
  <c r="LS33" i="1"/>
  <c r="LS34" i="1"/>
  <c r="LS35" i="1"/>
  <c r="LS36" i="1"/>
  <c r="LS37" i="1"/>
  <c r="LS38" i="1"/>
  <c r="LS41" i="1"/>
  <c r="LS42" i="1"/>
  <c r="LS44" i="1"/>
  <c r="LS46" i="1"/>
  <c r="LS49" i="1"/>
  <c r="LS20" i="1"/>
  <c r="LS47" i="1"/>
  <c r="LS22" i="1"/>
  <c r="LS32" i="1"/>
  <c r="LS39" i="1"/>
  <c r="LS50" i="1"/>
  <c r="LS9" i="1"/>
  <c r="LS45" i="1"/>
  <c r="LS18" i="1"/>
  <c r="LS28" i="1"/>
  <c r="LS48" i="1"/>
  <c r="LS43" i="1"/>
  <c r="LS8" i="1"/>
  <c r="LS12" i="1"/>
  <c r="LS6" i="1"/>
  <c r="LE7" i="1"/>
  <c r="LF7" i="1" s="1"/>
  <c r="LE24" i="1"/>
  <c r="LF24" i="1" s="1"/>
  <c r="LE10" i="1"/>
  <c r="LF10" i="1" s="1"/>
  <c r="LE11" i="1"/>
  <c r="LF11" i="1" s="1"/>
  <c r="LE13" i="1"/>
  <c r="LF13" i="1" s="1"/>
  <c r="LE14" i="1"/>
  <c r="LF14" i="1" s="1"/>
  <c r="LE15" i="1"/>
  <c r="LF15" i="1" s="1"/>
  <c r="LE16" i="1"/>
  <c r="LF16" i="1" s="1"/>
  <c r="LE17" i="1"/>
  <c r="LF17" i="1" s="1"/>
  <c r="LE25" i="1"/>
  <c r="LF25" i="1" s="1"/>
  <c r="LE19" i="1"/>
  <c r="LF19" i="1" s="1"/>
  <c r="LE21" i="1"/>
  <c r="LF21" i="1" s="1"/>
  <c r="LE23" i="1"/>
  <c r="LF23" i="1" s="1"/>
  <c r="LE40" i="1"/>
  <c r="LF40" i="1" s="1"/>
  <c r="LE26" i="1"/>
  <c r="LF26" i="1" s="1"/>
  <c r="LE27" i="1"/>
  <c r="LF27" i="1" s="1"/>
  <c r="LE29" i="1"/>
  <c r="LF29" i="1" s="1"/>
  <c r="LE30" i="1"/>
  <c r="LF30" i="1" s="1"/>
  <c r="LE31" i="1"/>
  <c r="LF31" i="1" s="1"/>
  <c r="LE33" i="1"/>
  <c r="LF33" i="1" s="1"/>
  <c r="LE34" i="1"/>
  <c r="LF34" i="1" s="1"/>
  <c r="LE35" i="1"/>
  <c r="LF35" i="1" s="1"/>
  <c r="LE36" i="1"/>
  <c r="LF36" i="1" s="1"/>
  <c r="LE37" i="1"/>
  <c r="LF37" i="1" s="1"/>
  <c r="LE38" i="1"/>
  <c r="LF38" i="1" s="1"/>
  <c r="LE41" i="1"/>
  <c r="LF41" i="1" s="1"/>
  <c r="LE42" i="1"/>
  <c r="LF42" i="1" s="1"/>
  <c r="LE44" i="1"/>
  <c r="LF44" i="1" s="1"/>
  <c r="LE46" i="1"/>
  <c r="LF46" i="1" s="1"/>
  <c r="LE49" i="1"/>
  <c r="LF49" i="1" s="1"/>
  <c r="LE20" i="1"/>
  <c r="LF20" i="1" s="1"/>
  <c r="LE47" i="1"/>
  <c r="LF47" i="1" s="1"/>
  <c r="LE22" i="1"/>
  <c r="LF22" i="1" s="1"/>
  <c r="LE32" i="1"/>
  <c r="LF32" i="1" s="1"/>
  <c r="LE39" i="1"/>
  <c r="LF39" i="1" s="1"/>
  <c r="LE50" i="1"/>
  <c r="LF50" i="1" s="1"/>
  <c r="LE9" i="1"/>
  <c r="LF9" i="1" s="1"/>
  <c r="LE45" i="1"/>
  <c r="LF45" i="1" s="1"/>
  <c r="LE18" i="1"/>
  <c r="LF18" i="1" s="1"/>
  <c r="LE28" i="1"/>
  <c r="LF28" i="1" s="1"/>
  <c r="LE48" i="1"/>
  <c r="LF48" i="1" s="1"/>
  <c r="LE43" i="1"/>
  <c r="LF43" i="1" s="1"/>
  <c r="LE8" i="1"/>
  <c r="LF8" i="1" s="1"/>
  <c r="LE12" i="1"/>
  <c r="LF12" i="1" s="1"/>
  <c r="LE6" i="1"/>
  <c r="LF6" i="1" s="1"/>
  <c r="BD20" i="1"/>
  <c r="LP24" i="1" l="1"/>
  <c r="LQ24" i="1" s="1"/>
  <c r="LP10" i="1"/>
  <c r="LQ10" i="1" s="1"/>
  <c r="LP14" i="1"/>
  <c r="LQ14" i="1" s="1"/>
  <c r="LP15" i="1"/>
  <c r="LQ15" i="1" s="1"/>
  <c r="LP16" i="1"/>
  <c r="LQ16" i="1" s="1"/>
  <c r="LP19" i="1"/>
  <c r="LQ19" i="1" s="1"/>
  <c r="LP40" i="1"/>
  <c r="LQ40" i="1" s="1"/>
  <c r="LP26" i="1"/>
  <c r="LQ26" i="1" s="1"/>
  <c r="LP27" i="1"/>
  <c r="LQ27" i="1" s="1"/>
  <c r="LP29" i="1"/>
  <c r="LQ29" i="1" s="1"/>
  <c r="LP34" i="1"/>
  <c r="LQ34" i="1" s="1"/>
  <c r="LP35" i="1"/>
  <c r="LQ35" i="1" s="1"/>
  <c r="LP37" i="1"/>
  <c r="LQ37" i="1" s="1"/>
  <c r="LP38" i="1"/>
  <c r="LQ38" i="1" s="1"/>
  <c r="LP42" i="1"/>
  <c r="LQ42" i="1" s="1"/>
  <c r="LP49" i="1"/>
  <c r="LQ49" i="1" s="1"/>
  <c r="LP20" i="1"/>
  <c r="LQ20" i="1" s="1"/>
  <c r="LP47" i="1"/>
  <c r="LQ47" i="1" s="1"/>
  <c r="LP22" i="1"/>
  <c r="LQ22" i="1" s="1"/>
  <c r="LP9" i="1"/>
  <c r="LQ9" i="1" s="1"/>
  <c r="LP45" i="1"/>
  <c r="LQ45" i="1" s="1"/>
  <c r="LP48" i="1"/>
  <c r="LQ48" i="1" s="1"/>
  <c r="LP43" i="1"/>
  <c r="LQ43" i="1" s="1"/>
  <c r="LP12" i="1"/>
  <c r="LQ12" i="1" s="1"/>
  <c r="LP6" i="1"/>
  <c r="LQ6" i="1" s="1"/>
  <c r="LO7" i="1"/>
  <c r="LP7" i="1" s="1"/>
  <c r="LQ7" i="1" s="1"/>
  <c r="LO24" i="1"/>
  <c r="LO10" i="1"/>
  <c r="LO11" i="1"/>
  <c r="LP11" i="1" s="1"/>
  <c r="LQ11" i="1" s="1"/>
  <c r="LO13" i="1"/>
  <c r="LP13" i="1" s="1"/>
  <c r="LQ13" i="1" s="1"/>
  <c r="LO14" i="1"/>
  <c r="LO15" i="1"/>
  <c r="LO16" i="1"/>
  <c r="LO17" i="1"/>
  <c r="LP17" i="1" s="1"/>
  <c r="LQ17" i="1" s="1"/>
  <c r="LO25" i="1"/>
  <c r="LP25" i="1" s="1"/>
  <c r="LQ25" i="1" s="1"/>
  <c r="LO19" i="1"/>
  <c r="LO21" i="1"/>
  <c r="LP21" i="1" s="1"/>
  <c r="LQ21" i="1" s="1"/>
  <c r="LO23" i="1"/>
  <c r="LP23" i="1" s="1"/>
  <c r="LQ23" i="1" s="1"/>
  <c r="LO40" i="1"/>
  <c r="LO26" i="1"/>
  <c r="LO27" i="1"/>
  <c r="LO29" i="1"/>
  <c r="LO30" i="1"/>
  <c r="LP30" i="1" s="1"/>
  <c r="LQ30" i="1" s="1"/>
  <c r="LO31" i="1"/>
  <c r="LP31" i="1" s="1"/>
  <c r="LQ31" i="1" s="1"/>
  <c r="LO33" i="1"/>
  <c r="LP33" i="1" s="1"/>
  <c r="LQ33" i="1" s="1"/>
  <c r="LO34" i="1"/>
  <c r="LO35" i="1"/>
  <c r="LO36" i="1"/>
  <c r="LP36" i="1" s="1"/>
  <c r="LQ36" i="1" s="1"/>
  <c r="LO37" i="1"/>
  <c r="LO38" i="1"/>
  <c r="LO41" i="1"/>
  <c r="LP41" i="1" s="1"/>
  <c r="LQ41" i="1" s="1"/>
  <c r="LO42" i="1"/>
  <c r="LO44" i="1"/>
  <c r="LP44" i="1" s="1"/>
  <c r="LQ44" i="1" s="1"/>
  <c r="LO46" i="1"/>
  <c r="LP46" i="1" s="1"/>
  <c r="LQ46" i="1" s="1"/>
  <c r="LO49" i="1"/>
  <c r="LO20" i="1"/>
  <c r="LO47" i="1"/>
  <c r="LO22" i="1"/>
  <c r="LO32" i="1"/>
  <c r="LP32" i="1" s="1"/>
  <c r="LQ32" i="1" s="1"/>
  <c r="LO39" i="1"/>
  <c r="LP39" i="1" s="1"/>
  <c r="LQ39" i="1" s="1"/>
  <c r="LO50" i="1"/>
  <c r="LP50" i="1" s="1"/>
  <c r="LQ50" i="1" s="1"/>
  <c r="LO9" i="1"/>
  <c r="LO45" i="1"/>
  <c r="LO18" i="1"/>
  <c r="LP18" i="1" s="1"/>
  <c r="LQ18" i="1" s="1"/>
  <c r="LO28" i="1"/>
  <c r="LP28" i="1" s="1"/>
  <c r="LQ28" i="1" s="1"/>
  <c r="LO48" i="1"/>
  <c r="LO43" i="1"/>
  <c r="LO8" i="1"/>
  <c r="LP8" i="1" s="1"/>
  <c r="LQ8" i="1" s="1"/>
  <c r="LO12" i="1"/>
  <c r="LO6" i="1"/>
  <c r="LL7" i="1"/>
  <c r="LM7" i="1" s="1"/>
  <c r="LL24" i="1"/>
  <c r="LM24" i="1" s="1"/>
  <c r="LL10" i="1"/>
  <c r="LM10" i="1" s="1"/>
  <c r="LL11" i="1"/>
  <c r="LM11" i="1" s="1"/>
  <c r="LL13" i="1"/>
  <c r="LM13" i="1" s="1"/>
  <c r="LL14" i="1"/>
  <c r="LM14" i="1" s="1"/>
  <c r="LL15" i="1"/>
  <c r="LM15" i="1" s="1"/>
  <c r="LL16" i="1"/>
  <c r="LM16" i="1" s="1"/>
  <c r="LL17" i="1"/>
  <c r="LM17" i="1" s="1"/>
  <c r="LL25" i="1"/>
  <c r="LM25" i="1" s="1"/>
  <c r="LL19" i="1"/>
  <c r="LM19" i="1" s="1"/>
  <c r="LL21" i="1"/>
  <c r="LM21" i="1" s="1"/>
  <c r="LL23" i="1"/>
  <c r="LM23" i="1" s="1"/>
  <c r="LL40" i="1"/>
  <c r="LM40" i="1" s="1"/>
  <c r="LL26" i="1"/>
  <c r="LM26" i="1" s="1"/>
  <c r="LL27" i="1"/>
  <c r="LM27" i="1" s="1"/>
  <c r="LL29" i="1"/>
  <c r="LM29" i="1" s="1"/>
  <c r="LL30" i="1"/>
  <c r="LM30" i="1" s="1"/>
  <c r="LL31" i="1"/>
  <c r="LM31" i="1" s="1"/>
  <c r="LL33" i="1"/>
  <c r="LM33" i="1" s="1"/>
  <c r="LL34" i="1"/>
  <c r="LM34" i="1" s="1"/>
  <c r="LL35" i="1"/>
  <c r="LM35" i="1" s="1"/>
  <c r="LL36" i="1"/>
  <c r="LM36" i="1" s="1"/>
  <c r="LL37" i="1"/>
  <c r="LM37" i="1" s="1"/>
  <c r="LL38" i="1"/>
  <c r="LM38" i="1" s="1"/>
  <c r="LL41" i="1"/>
  <c r="LM41" i="1" s="1"/>
  <c r="LL42" i="1"/>
  <c r="LM42" i="1" s="1"/>
  <c r="LL44" i="1"/>
  <c r="LM44" i="1" s="1"/>
  <c r="LL46" i="1"/>
  <c r="LM46" i="1" s="1"/>
  <c r="LL49" i="1"/>
  <c r="LM49" i="1" s="1"/>
  <c r="LL20" i="1"/>
  <c r="LM20" i="1" s="1"/>
  <c r="LL47" i="1"/>
  <c r="LM47" i="1" s="1"/>
  <c r="LL22" i="1"/>
  <c r="LM22" i="1" s="1"/>
  <c r="LL32" i="1"/>
  <c r="LM32" i="1" s="1"/>
  <c r="LL39" i="1"/>
  <c r="LM39" i="1" s="1"/>
  <c r="LL50" i="1"/>
  <c r="LM50" i="1" s="1"/>
  <c r="LL9" i="1"/>
  <c r="LM9" i="1" s="1"/>
  <c r="LL45" i="1"/>
  <c r="LM45" i="1" s="1"/>
  <c r="LL18" i="1"/>
  <c r="LM18" i="1" s="1"/>
  <c r="LL28" i="1"/>
  <c r="LM28" i="1" s="1"/>
  <c r="LL48" i="1"/>
  <c r="LM48" i="1" s="1"/>
  <c r="LL43" i="1"/>
  <c r="LM43" i="1" s="1"/>
  <c r="LL8" i="1"/>
  <c r="LM8" i="1" s="1"/>
  <c r="LL12" i="1"/>
  <c r="LM12" i="1" s="1"/>
  <c r="LL6" i="1"/>
  <c r="LM6" i="1" s="1"/>
  <c r="LI7" i="1"/>
  <c r="LJ7" i="1" s="1"/>
  <c r="LI24" i="1"/>
  <c r="LJ24" i="1" s="1"/>
  <c r="LI10" i="1"/>
  <c r="LJ10" i="1" s="1"/>
  <c r="LI11" i="1"/>
  <c r="LJ11" i="1" s="1"/>
  <c r="LI13" i="1"/>
  <c r="LJ13" i="1" s="1"/>
  <c r="LI14" i="1"/>
  <c r="LJ14" i="1" s="1"/>
  <c r="LI15" i="1"/>
  <c r="LJ15" i="1" s="1"/>
  <c r="LI16" i="1"/>
  <c r="LJ16" i="1" s="1"/>
  <c r="LI17" i="1"/>
  <c r="LJ17" i="1" s="1"/>
  <c r="LI25" i="1"/>
  <c r="LJ25" i="1" s="1"/>
  <c r="LI19" i="1"/>
  <c r="LJ19" i="1" s="1"/>
  <c r="LI21" i="1"/>
  <c r="LJ21" i="1" s="1"/>
  <c r="LI23" i="1"/>
  <c r="LJ23" i="1" s="1"/>
  <c r="LI40" i="1"/>
  <c r="LJ40" i="1" s="1"/>
  <c r="LI26" i="1"/>
  <c r="LJ26" i="1" s="1"/>
  <c r="LI27" i="1"/>
  <c r="LJ27" i="1" s="1"/>
  <c r="LI29" i="1"/>
  <c r="LJ29" i="1" s="1"/>
  <c r="LI30" i="1"/>
  <c r="LJ30" i="1" s="1"/>
  <c r="LI31" i="1"/>
  <c r="LJ31" i="1" s="1"/>
  <c r="LI33" i="1"/>
  <c r="LJ33" i="1" s="1"/>
  <c r="LI34" i="1"/>
  <c r="LJ34" i="1" s="1"/>
  <c r="LI35" i="1"/>
  <c r="LJ35" i="1" s="1"/>
  <c r="LI36" i="1"/>
  <c r="LJ36" i="1" s="1"/>
  <c r="LI37" i="1"/>
  <c r="LJ37" i="1" s="1"/>
  <c r="LI38" i="1"/>
  <c r="LJ38" i="1" s="1"/>
  <c r="LI41" i="1"/>
  <c r="LJ41" i="1" s="1"/>
  <c r="LI42" i="1"/>
  <c r="LJ42" i="1" s="1"/>
  <c r="LI44" i="1"/>
  <c r="LJ44" i="1" s="1"/>
  <c r="LI46" i="1"/>
  <c r="LJ46" i="1" s="1"/>
  <c r="LI49" i="1"/>
  <c r="LJ49" i="1" s="1"/>
  <c r="LI20" i="1"/>
  <c r="LJ20" i="1" s="1"/>
  <c r="LI47" i="1"/>
  <c r="LJ47" i="1" s="1"/>
  <c r="LI22" i="1"/>
  <c r="LJ22" i="1" s="1"/>
  <c r="LI32" i="1"/>
  <c r="LJ32" i="1" s="1"/>
  <c r="LI39" i="1"/>
  <c r="LJ39" i="1" s="1"/>
  <c r="LI50" i="1"/>
  <c r="LJ50" i="1" s="1"/>
  <c r="LI9" i="1"/>
  <c r="LJ9" i="1" s="1"/>
  <c r="LI45" i="1"/>
  <c r="LJ45" i="1" s="1"/>
  <c r="LI18" i="1"/>
  <c r="LJ18" i="1" s="1"/>
  <c r="LI28" i="1"/>
  <c r="LJ28" i="1" s="1"/>
  <c r="LI48" i="1"/>
  <c r="LJ48" i="1" s="1"/>
  <c r="LI43" i="1"/>
  <c r="LJ43" i="1" s="1"/>
  <c r="LI8" i="1"/>
  <c r="LJ8" i="1" s="1"/>
  <c r="LI12" i="1"/>
  <c r="LJ12" i="1" s="1"/>
  <c r="LI6" i="1"/>
  <c r="LJ6" i="1" s="1"/>
  <c r="BX39" i="1"/>
  <c r="AB36" i="1" l="1"/>
  <c r="BX11" i="1" l="1"/>
  <c r="IN48" i="1"/>
  <c r="KS6" i="1" l="1"/>
  <c r="IQ42" i="1" l="1"/>
  <c r="BX32" i="1" l="1"/>
  <c r="BX50" i="1"/>
  <c r="BX9" i="1"/>
  <c r="BX45" i="1"/>
  <c r="BX18" i="1"/>
  <c r="BX28" i="1"/>
  <c r="BX48" i="1"/>
  <c r="BX43" i="1"/>
  <c r="BX8" i="1"/>
  <c r="BX12" i="1"/>
  <c r="BX15" i="1"/>
  <c r="BX16" i="1"/>
  <c r="BX17" i="1"/>
  <c r="BX25" i="1"/>
  <c r="BX19" i="1"/>
  <c r="BX21" i="1"/>
  <c r="BX23" i="1"/>
  <c r="BX40" i="1"/>
  <c r="BX26" i="1"/>
  <c r="BX27" i="1"/>
  <c r="BX29" i="1"/>
  <c r="BX30" i="1"/>
  <c r="BX31" i="1"/>
  <c r="BX33" i="1"/>
  <c r="BX34" i="1"/>
  <c r="BX35" i="1"/>
  <c r="BX36" i="1"/>
  <c r="BX37" i="1"/>
  <c r="BX38" i="1"/>
  <c r="BX41" i="1"/>
  <c r="BX42" i="1"/>
  <c r="BX44" i="1"/>
  <c r="BX46" i="1"/>
  <c r="BX49" i="1"/>
  <c r="BX20" i="1"/>
  <c r="BX47" i="1"/>
  <c r="BX22" i="1"/>
  <c r="BX7" i="1"/>
  <c r="BX24" i="1"/>
  <c r="BX10" i="1"/>
  <c r="BX13" i="1"/>
  <c r="BX14" i="1"/>
  <c r="BX6" i="1"/>
  <c r="KX6" i="1" l="1"/>
  <c r="KW6" i="1"/>
  <c r="KV6" i="1"/>
  <c r="KU6" i="1"/>
  <c r="KP6" i="1"/>
  <c r="KO6" i="1"/>
  <c r="KN6" i="1"/>
  <c r="KJ6" i="1"/>
  <c r="KK6" i="1" l="1"/>
  <c r="KI6" i="1" s="1"/>
  <c r="KT6" i="1"/>
  <c r="KM6" i="1"/>
  <c r="JI21" i="1" l="1"/>
  <c r="KQ21" i="1" s="1"/>
  <c r="KR21" i="1" s="1"/>
  <c r="JI16" i="1"/>
  <c r="KQ16" i="1" s="1"/>
  <c r="KR16" i="1" s="1"/>
  <c r="JI12" i="1"/>
  <c r="KQ12" i="1" s="1"/>
  <c r="KR12" i="1" s="1"/>
  <c r="JI33" i="1"/>
  <c r="KQ33" i="1" s="1"/>
  <c r="KR33" i="1" s="1"/>
  <c r="JI45" i="1"/>
  <c r="KQ45" i="1" s="1"/>
  <c r="KR45" i="1" s="1"/>
  <c r="IQ33" i="1"/>
  <c r="JI36" i="1" l="1"/>
  <c r="KQ36" i="1" s="1"/>
  <c r="KR36" i="1" s="1"/>
  <c r="KL6" i="1" l="1"/>
  <c r="JI26" i="1"/>
  <c r="KQ26" i="1" s="1"/>
  <c r="KR26" i="1" s="1"/>
  <c r="JI6" i="1"/>
  <c r="KQ6" i="1" s="1"/>
  <c r="KR6" i="1" s="1"/>
  <c r="JI44" i="1"/>
  <c r="KQ44" i="1" s="1"/>
  <c r="KR44" i="1" s="1"/>
  <c r="JI46" i="1"/>
  <c r="KQ46" i="1" s="1"/>
  <c r="KR46" i="1" s="1"/>
  <c r="JI49" i="1"/>
  <c r="KQ49" i="1" s="1"/>
  <c r="KR49" i="1" s="1"/>
  <c r="JI23" i="1"/>
  <c r="KQ23" i="1" s="1"/>
  <c r="KR23" i="1" s="1"/>
  <c r="JI30" i="1"/>
  <c r="KQ30" i="1" s="1"/>
  <c r="KR30" i="1" s="1"/>
  <c r="JI31" i="1"/>
  <c r="KQ31" i="1" s="1"/>
  <c r="KR31" i="1" s="1"/>
  <c r="JI7" i="1"/>
  <c r="KQ7" i="1" s="1"/>
  <c r="KR7" i="1" s="1"/>
  <c r="JI13" i="1"/>
  <c r="KQ13" i="1" s="1"/>
  <c r="KR13" i="1" s="1"/>
  <c r="JI17" i="1"/>
  <c r="KQ17" i="1" s="1"/>
  <c r="KR17" i="1" s="1"/>
  <c r="IQ12" i="1"/>
  <c r="IB12" i="1"/>
  <c r="IP12" i="1" s="1"/>
  <c r="IQ45" i="1"/>
  <c r="JH20" i="1" l="1"/>
  <c r="JI20" i="1" s="1"/>
  <c r="JI32" i="1" l="1"/>
  <c r="KQ32" i="1" s="1"/>
  <c r="KR32" i="1" s="1"/>
  <c r="JI22" i="1"/>
  <c r="KQ22" i="1" s="1"/>
  <c r="KR22" i="1" s="1"/>
  <c r="BH42" i="1"/>
  <c r="IQ40" i="1"/>
  <c r="IQ17" i="1"/>
  <c r="IQ43" i="1"/>
  <c r="GN12" i="1" l="1"/>
  <c r="EY7" i="1" l="1"/>
  <c r="EY13" i="1"/>
  <c r="EY14" i="1"/>
  <c r="EY16" i="1"/>
  <c r="EY17" i="1"/>
  <c r="EY25" i="1"/>
  <c r="EY19" i="1"/>
  <c r="EY20" i="1"/>
  <c r="EY21" i="1"/>
  <c r="EY23" i="1"/>
  <c r="EY40" i="1"/>
  <c r="EY38" i="1"/>
  <c r="EY26" i="1"/>
  <c r="EY29" i="1"/>
  <c r="EY30" i="1"/>
  <c r="EY31" i="1"/>
  <c r="EY33" i="1"/>
  <c r="EY35" i="1"/>
  <c r="EY36" i="1"/>
  <c r="EY37" i="1"/>
  <c r="EY32" i="1"/>
  <c r="EY8" i="1"/>
  <c r="EY44" i="1"/>
  <c r="EY46" i="1"/>
  <c r="EY49" i="1"/>
  <c r="EY15" i="1"/>
  <c r="EY22" i="1"/>
  <c r="EY45" i="1"/>
  <c r="EY48" i="1"/>
  <c r="EY41" i="1"/>
  <c r="EY50" i="1"/>
  <c r="EY28" i="1"/>
  <c r="EY18" i="1"/>
  <c r="EY47" i="1"/>
  <c r="EY42" i="1"/>
  <c r="EY27" i="1"/>
  <c r="EY24" i="1"/>
  <c r="EY43" i="1"/>
  <c r="EY34" i="1"/>
  <c r="EY12" i="1"/>
  <c r="EY10" i="1"/>
  <c r="EY9" i="1"/>
  <c r="EY6" i="1"/>
  <c r="BH20" i="1" l="1"/>
  <c r="BP20" i="1" s="1"/>
  <c r="BT20" i="1" s="1"/>
  <c r="BD43" i="1"/>
  <c r="BH43" i="1" s="1"/>
  <c r="BD10" i="1"/>
  <c r="BH10" i="1" s="1"/>
  <c r="BP10" i="1" s="1"/>
  <c r="BT10" i="1" s="1"/>
  <c r="BD48" i="1"/>
  <c r="BH48" i="1" s="1"/>
  <c r="BP48" i="1" s="1"/>
  <c r="BT48" i="1" s="1"/>
  <c r="BD38" i="1"/>
  <c r="BH38" i="1" s="1"/>
  <c r="BP38" i="1" s="1"/>
  <c r="BT38" i="1" s="1"/>
  <c r="BD27" i="1"/>
  <c r="BH27" i="1" s="1"/>
  <c r="BP27" i="1" s="1"/>
  <c r="BT27" i="1" s="1"/>
  <c r="FH27" i="1" s="1"/>
  <c r="BD24" i="1"/>
  <c r="BH24" i="1" s="1"/>
  <c r="BP24" i="1" s="1"/>
  <c r="BT24" i="1" s="1"/>
  <c r="BP43" i="1" l="1"/>
  <c r="BT43" i="1" s="1"/>
  <c r="BD34" i="1"/>
  <c r="AB24" i="1"/>
  <c r="BP34" i="1" l="1"/>
  <c r="BT34" i="1" s="1"/>
  <c r="BH34" i="1"/>
  <c r="HG33" i="1"/>
  <c r="HG45" i="1"/>
  <c r="AB27" i="1"/>
  <c r="W27" i="1" s="1"/>
  <c r="AB34" i="1"/>
  <c r="AB10" i="1"/>
  <c r="W10" i="1" l="1"/>
  <c r="EO24" i="1" l="1"/>
  <c r="FG24" i="1"/>
  <c r="FH24" i="1"/>
  <c r="IN24" i="1"/>
  <c r="IQ24" i="1"/>
  <c r="EO20" i="1"/>
  <c r="EN20" i="1" s="1"/>
  <c r="FG20" i="1"/>
  <c r="FH20" i="1"/>
  <c r="IQ20" i="1"/>
  <c r="EO27" i="1"/>
  <c r="EN27" i="1" s="1"/>
  <c r="FG27" i="1"/>
  <c r="HG27" i="1"/>
  <c r="HM27" i="1" s="1"/>
  <c r="IB27" i="1" s="1"/>
  <c r="IP27" i="1" s="1"/>
  <c r="JH27" i="1" s="1"/>
  <c r="JI27" i="1" s="1"/>
  <c r="IN27" i="1"/>
  <c r="IQ27" i="1"/>
  <c r="EO30" i="1"/>
  <c r="EN30" i="1" s="1"/>
  <c r="FG30" i="1"/>
  <c r="FH30" i="1"/>
  <c r="FJ30" i="1" s="1"/>
  <c r="IN30" i="1"/>
  <c r="IQ30" i="1"/>
  <c r="EO17" i="1"/>
  <c r="FG17" i="1"/>
  <c r="FH17" i="1"/>
  <c r="FJ17" i="1" s="1"/>
  <c r="IN17" i="1"/>
  <c r="EO49" i="1"/>
  <c r="EN49" i="1" s="1"/>
  <c r="FG49" i="1"/>
  <c r="FH49" i="1"/>
  <c r="FJ49" i="1" s="1"/>
  <c r="IN49" i="1"/>
  <c r="IQ49" i="1"/>
  <c r="EO23" i="1"/>
  <c r="EN23" i="1" s="1"/>
  <c r="FG23" i="1"/>
  <c r="FH23" i="1"/>
  <c r="FJ23" i="1" s="1"/>
  <c r="IN23" i="1"/>
  <c r="IQ23" i="1"/>
  <c r="EO44" i="1"/>
  <c r="EN44" i="1" s="1"/>
  <c r="FG44" i="1"/>
  <c r="FH44" i="1"/>
  <c r="FJ44" i="1" s="1"/>
  <c r="IN44" i="1"/>
  <c r="IQ44" i="1"/>
  <c r="EO26" i="1"/>
  <c r="EN26" i="1" s="1"/>
  <c r="FG26" i="1"/>
  <c r="FH26" i="1"/>
  <c r="FJ26" i="1" s="1"/>
  <c r="IN26" i="1"/>
  <c r="IQ26" i="1"/>
  <c r="EO6" i="1"/>
  <c r="FG6" i="1"/>
  <c r="FH6" i="1"/>
  <c r="FJ6" i="1" s="1"/>
  <c r="IN6" i="1"/>
  <c r="IQ6" i="1"/>
  <c r="EO36" i="1"/>
  <c r="EN36" i="1" s="1"/>
  <c r="FG36" i="1"/>
  <c r="FH36" i="1"/>
  <c r="FJ36" i="1" s="1"/>
  <c r="IN36" i="1"/>
  <c r="IQ36" i="1"/>
  <c r="EO13" i="1"/>
  <c r="FG13" i="1"/>
  <c r="FH13" i="1"/>
  <c r="FJ13" i="1" s="1"/>
  <c r="IN13" i="1"/>
  <c r="IQ13" i="1"/>
  <c r="EO46" i="1"/>
  <c r="EN46" i="1" s="1"/>
  <c r="FG46" i="1"/>
  <c r="FH46" i="1"/>
  <c r="FJ46" i="1" s="1"/>
  <c r="IN46" i="1"/>
  <c r="IQ46" i="1"/>
  <c r="EO31" i="1"/>
  <c r="EN31" i="1" s="1"/>
  <c r="FG31" i="1"/>
  <c r="FH31" i="1"/>
  <c r="FJ31" i="1" s="1"/>
  <c r="IN31" i="1"/>
  <c r="IQ31" i="1"/>
  <c r="EO7" i="1"/>
  <c r="FG7" i="1"/>
  <c r="FH7" i="1"/>
  <c r="FJ7" i="1" s="1"/>
  <c r="IN7" i="1"/>
  <c r="IQ7" i="1"/>
  <c r="EO21" i="1"/>
  <c r="FG21" i="1"/>
  <c r="FH21" i="1"/>
  <c r="FJ21" i="1" s="1"/>
  <c r="IN21" i="1"/>
  <c r="IQ21" i="1"/>
  <c r="EO9" i="1"/>
  <c r="FG9" i="1"/>
  <c r="FH9" i="1"/>
  <c r="IN9" i="1"/>
  <c r="IQ9" i="1"/>
  <c r="EO16" i="1"/>
  <c r="EO32" i="1"/>
  <c r="EN32" i="1" s="1"/>
  <c r="EO42" i="1"/>
  <c r="EN42" i="1" s="1"/>
  <c r="EO33" i="1"/>
  <c r="EN33" i="1" s="1"/>
  <c r="EO45" i="1"/>
  <c r="EN45" i="1" s="1"/>
  <c r="EO14" i="1"/>
  <c r="EO25" i="1"/>
  <c r="EO12" i="1"/>
  <c r="EN12" i="1" s="1"/>
  <c r="EO19" i="1"/>
  <c r="EO40" i="1"/>
  <c r="EN40" i="1" s="1"/>
  <c r="EO29" i="1"/>
  <c r="EN29" i="1" s="1"/>
  <c r="EO35" i="1"/>
  <c r="EN35" i="1" s="1"/>
  <c r="EO22" i="1"/>
  <c r="EN22" i="1" s="1"/>
  <c r="EO50" i="1"/>
  <c r="EN50" i="1" s="1"/>
  <c r="EO18" i="1"/>
  <c r="EN18" i="1" s="1"/>
  <c r="EO8" i="1"/>
  <c r="EN8" i="1" s="1"/>
  <c r="EO37" i="1"/>
  <c r="EN37" i="1" s="1"/>
  <c r="EO15" i="1"/>
  <c r="EO10" i="1"/>
  <c r="EO43" i="1"/>
  <c r="EN43" i="1" s="1"/>
  <c r="EO38" i="1"/>
  <c r="EN38" i="1" s="1"/>
  <c r="EO41" i="1"/>
  <c r="EN41" i="1" s="1"/>
  <c r="EO47" i="1"/>
  <c r="EN47" i="1" s="1"/>
  <c r="EO48" i="1"/>
  <c r="EN48" i="1" s="1"/>
  <c r="EO28" i="1"/>
  <c r="EN28" i="1" s="1"/>
  <c r="EO34" i="1"/>
  <c r="EN34" i="1" s="1"/>
  <c r="IB20" i="1" l="1"/>
  <c r="FJ20" i="1"/>
  <c r="JI24" i="1"/>
  <c r="HG23" i="1"/>
  <c r="HM23" i="1" s="1"/>
  <c r="IB23" i="1" s="1"/>
  <c r="IP23" i="1" s="1"/>
  <c r="HG31" i="1"/>
  <c r="HM31" i="1" s="1"/>
  <c r="IB31" i="1" s="1"/>
  <c r="IP31" i="1" s="1"/>
  <c r="HG36" i="1"/>
  <c r="HM36" i="1" s="1"/>
  <c r="IB36" i="1" s="1"/>
  <c r="IP36" i="1" s="1"/>
  <c r="HG44" i="1"/>
  <c r="HM44" i="1" s="1"/>
  <c r="IB44" i="1" s="1"/>
  <c r="IP44" i="1" s="1"/>
  <c r="HG17" i="1"/>
  <c r="HM17" i="1" s="1"/>
  <c r="IB17" i="1" s="1"/>
  <c r="IP17" i="1" s="1"/>
  <c r="HG46" i="1"/>
  <c r="HM46" i="1" s="1"/>
  <c r="IB46" i="1" s="1"/>
  <c r="IP46" i="1" s="1"/>
  <c r="HG26" i="1"/>
  <c r="HM26" i="1" s="1"/>
  <c r="IB26" i="1" s="1"/>
  <c r="IP26" i="1" s="1"/>
  <c r="HG6" i="1"/>
  <c r="HM6" i="1" s="1"/>
  <c r="IB6" i="1" s="1"/>
  <c r="IP6" i="1" s="1"/>
  <c r="HG21" i="1"/>
  <c r="HM21" i="1" s="1"/>
  <c r="IB21" i="1" s="1"/>
  <c r="IP21" i="1" s="1"/>
  <c r="HG30" i="1"/>
  <c r="HM30" i="1" s="1"/>
  <c r="IB30" i="1" s="1"/>
  <c r="IP30" i="1" s="1"/>
  <c r="HG13" i="1"/>
  <c r="HM13" i="1" s="1"/>
  <c r="IB13" i="1" s="1"/>
  <c r="IP13" i="1" s="1"/>
  <c r="HG7" i="1"/>
  <c r="HM7" i="1" s="1"/>
  <c r="IB7" i="1" s="1"/>
  <c r="IP7" i="1" s="1"/>
  <c r="HG49" i="1"/>
  <c r="HM49" i="1" s="1"/>
  <c r="IB49" i="1" s="1"/>
  <c r="IP49" i="1" s="1"/>
  <c r="FF9" i="1"/>
  <c r="EN9" i="1"/>
  <c r="FF31" i="1"/>
  <c r="FF26" i="1"/>
  <c r="FF49" i="1"/>
  <c r="EN24" i="1"/>
  <c r="FF36" i="1"/>
  <c r="FF21" i="1"/>
  <c r="EN21" i="1"/>
  <c r="FF13" i="1"/>
  <c r="EN13" i="1"/>
  <c r="FF44" i="1"/>
  <c r="FF7" i="1"/>
  <c r="EN7" i="1"/>
  <c r="FF17" i="1"/>
  <c r="EN17" i="1"/>
  <c r="FF27" i="1"/>
  <c r="FF46" i="1"/>
  <c r="FF6" i="1"/>
  <c r="EN6" i="1"/>
  <c r="FF23" i="1"/>
  <c r="FF30" i="1"/>
  <c r="FF20" i="1"/>
  <c r="FF24" i="1"/>
  <c r="JI9" i="1" l="1"/>
  <c r="IQ16" i="1" l="1"/>
  <c r="IN16" i="1" l="1"/>
  <c r="FH16" i="1"/>
  <c r="FJ16" i="1" s="1"/>
  <c r="FG16" i="1"/>
  <c r="EN16" i="1"/>
  <c r="HG16" i="1" l="1"/>
  <c r="IB16" i="1" s="1"/>
  <c r="IP16" i="1" s="1"/>
  <c r="FF16" i="1"/>
  <c r="IQ34" i="1" l="1"/>
  <c r="IN34" i="1"/>
  <c r="FH34" i="1"/>
  <c r="FG34" i="1"/>
  <c r="FF34" i="1"/>
  <c r="HG34" i="1" l="1"/>
  <c r="HM34" i="1" s="1"/>
  <c r="IB34" i="1" s="1"/>
  <c r="IP34" i="1" s="1"/>
  <c r="JH34" i="1" s="1"/>
  <c r="FG33" i="1"/>
  <c r="FG45" i="1"/>
  <c r="FG32" i="1"/>
  <c r="FG42" i="1"/>
  <c r="JI34" i="1" l="1"/>
  <c r="IQ28" i="1" l="1"/>
  <c r="IN28" i="1"/>
  <c r="FH28" i="1"/>
  <c r="FJ28" i="1" s="1"/>
  <c r="FG28" i="1"/>
  <c r="FF28" i="1"/>
  <c r="IQ48" i="1"/>
  <c r="FH48" i="1"/>
  <c r="FG48" i="1"/>
  <c r="FF48" i="1"/>
  <c r="IQ47" i="1"/>
  <c r="IN47" i="1"/>
  <c r="FH47" i="1"/>
  <c r="FG47" i="1"/>
  <c r="FF47" i="1"/>
  <c r="IQ15" i="1"/>
  <c r="IN15" i="1"/>
  <c r="FH15" i="1"/>
  <c r="FG15" i="1"/>
  <c r="FJ15" i="1" s="1"/>
  <c r="EN15" i="1"/>
  <c r="FF15" i="1"/>
  <c r="IQ38" i="1"/>
  <c r="IN38" i="1"/>
  <c r="FH38" i="1"/>
  <c r="FG38" i="1"/>
  <c r="FF38" i="1"/>
  <c r="IQ41" i="1"/>
  <c r="IN41" i="1"/>
  <c r="FH41" i="1"/>
  <c r="FG41" i="1"/>
  <c r="FJ41" i="1" s="1"/>
  <c r="FF41" i="1"/>
  <c r="JH41" i="1" l="1"/>
  <c r="JH15" i="1"/>
  <c r="JI15" i="1" s="1"/>
  <c r="HG38" i="1"/>
  <c r="HM38" i="1" s="1"/>
  <c r="IB38" i="1" s="1"/>
  <c r="IP38" i="1" s="1"/>
  <c r="JH38" i="1" s="1"/>
  <c r="JI38" i="1" s="1"/>
  <c r="HG48" i="1"/>
  <c r="HM48" i="1" s="1"/>
  <c r="IB48" i="1" s="1"/>
  <c r="IP48" i="1" s="1"/>
  <c r="JH48" i="1" s="1"/>
  <c r="HG28" i="1"/>
  <c r="HM28" i="1" s="1"/>
  <c r="IB28" i="1" s="1"/>
  <c r="IP28" i="1" s="1"/>
  <c r="HG47" i="1"/>
  <c r="HM47" i="1" s="1"/>
  <c r="IB47" i="1" s="1"/>
  <c r="IP47" i="1" s="1"/>
  <c r="FG37" i="1"/>
  <c r="FG10" i="1"/>
  <c r="FG43" i="1"/>
  <c r="JI41" i="1" l="1"/>
  <c r="JH28" i="1"/>
  <c r="JI48" i="1"/>
  <c r="JH47" i="1"/>
  <c r="IB25" i="1"/>
  <c r="JI28" i="1" l="1"/>
  <c r="JI47" i="1"/>
  <c r="FH32" i="1"/>
  <c r="FG14" i="1"/>
  <c r="FG19" i="1"/>
  <c r="FG40" i="1"/>
  <c r="FG29" i="1"/>
  <c r="FG35" i="1"/>
  <c r="FG50" i="1"/>
  <c r="FG18" i="1"/>
  <c r="FJ18" i="1" s="1"/>
  <c r="FG8" i="1"/>
  <c r="FI8" i="1" s="1"/>
  <c r="FG12" i="1"/>
  <c r="HA42" i="1"/>
  <c r="IQ35" i="1"/>
  <c r="IN35" i="1"/>
  <c r="FH35" i="1"/>
  <c r="HG35" i="1" s="1"/>
  <c r="HM35" i="1" s="1"/>
  <c r="IB35" i="1" s="1"/>
  <c r="IP35" i="1" s="1"/>
  <c r="JH35" i="1" s="1"/>
  <c r="FF35" i="1"/>
  <c r="IQ29" i="1"/>
  <c r="IN29" i="1"/>
  <c r="FH29" i="1"/>
  <c r="FF29" i="1"/>
  <c r="IN40" i="1"/>
  <c r="FH40" i="1"/>
  <c r="HG40" i="1" s="1"/>
  <c r="HM40" i="1" s="1"/>
  <c r="IB40" i="1" s="1"/>
  <c r="IP40" i="1" s="1"/>
  <c r="JH40" i="1" s="1"/>
  <c r="FF40" i="1"/>
  <c r="IQ22" i="1"/>
  <c r="IN22" i="1"/>
  <c r="FH22" i="1"/>
  <c r="FF22" i="1"/>
  <c r="IQ18" i="1"/>
  <c r="IN18" i="1"/>
  <c r="FH18" i="1"/>
  <c r="FF18" i="1"/>
  <c r="IQ50" i="1"/>
  <c r="IN50" i="1"/>
  <c r="FH50" i="1"/>
  <c r="FF50" i="1"/>
  <c r="IQ8" i="1"/>
  <c r="IN8" i="1"/>
  <c r="FH8" i="1"/>
  <c r="FF8" i="1"/>
  <c r="IN12" i="1"/>
  <c r="FH12" i="1"/>
  <c r="HG12" i="1" s="1"/>
  <c r="FF12" i="1"/>
  <c r="IQ37" i="1"/>
  <c r="IN37" i="1"/>
  <c r="FH37" i="1"/>
  <c r="HG37" i="1" s="1"/>
  <c r="HM37" i="1" s="1"/>
  <c r="IB37" i="1" s="1"/>
  <c r="IP37" i="1" s="1"/>
  <c r="JH37" i="1" s="1"/>
  <c r="FF37" i="1"/>
  <c r="FK50" i="1" l="1"/>
  <c r="KJ50" i="1" s="1"/>
  <c r="KK50" i="1" s="1"/>
  <c r="KI50" i="1" s="1"/>
  <c r="JH18" i="1"/>
  <c r="JH29" i="1"/>
  <c r="FJ8" i="1"/>
  <c r="KP8" i="1"/>
  <c r="KR8" i="1" s="1"/>
  <c r="HG50" i="1"/>
  <c r="HM50" i="1" s="1"/>
  <c r="IB50" i="1" s="1"/>
  <c r="IP50" i="1" s="1"/>
  <c r="JH50" i="1" s="1"/>
  <c r="JI40" i="1"/>
  <c r="JI37" i="1"/>
  <c r="JI35" i="1"/>
  <c r="IN43" i="1"/>
  <c r="FJ43" i="1"/>
  <c r="FF43" i="1"/>
  <c r="IQ10" i="1"/>
  <c r="IN10" i="1"/>
  <c r="FH10" i="1"/>
  <c r="EN10" i="1"/>
  <c r="FF10" i="1"/>
  <c r="IQ19" i="1"/>
  <c r="IN19" i="1"/>
  <c r="FH19" i="1"/>
  <c r="IB19" i="1" s="1"/>
  <c r="IP19" i="1" s="1"/>
  <c r="JH19" i="1" s="1"/>
  <c r="EN19" i="1"/>
  <c r="FF19" i="1"/>
  <c r="JI29" i="1" l="1"/>
  <c r="JI18" i="1"/>
  <c r="KM50" i="1"/>
  <c r="KT50" i="1"/>
  <c r="JH8" i="1"/>
  <c r="KL50" i="1"/>
  <c r="JI50" i="1"/>
  <c r="KQ50" i="1" s="1"/>
  <c r="KR50" i="1" s="1"/>
  <c r="HG43" i="1"/>
  <c r="IB43" i="1" s="1"/>
  <c r="IP43" i="1" s="1"/>
  <c r="JI19" i="1"/>
  <c r="JI43" i="1"/>
  <c r="KQ43" i="1" s="1"/>
  <c r="KR43" i="1" s="1"/>
  <c r="HG10" i="1"/>
  <c r="HM10" i="1" s="1"/>
  <c r="IB10" i="1" s="1"/>
  <c r="IP10" i="1" s="1"/>
  <c r="JH10" i="1" s="1"/>
  <c r="IQ14" i="1"/>
  <c r="IQ25" i="1"/>
  <c r="FH14" i="1"/>
  <c r="IB14" i="1" s="1"/>
  <c r="IP14" i="1" s="1"/>
  <c r="JH14" i="1" s="1"/>
  <c r="FH25" i="1"/>
  <c r="IP25" i="1" s="1"/>
  <c r="JI8" i="1" l="1"/>
  <c r="KL14" i="1"/>
  <c r="KQ14" i="1"/>
  <c r="KR14" i="1" s="1"/>
  <c r="KL25" i="1"/>
  <c r="JI10" i="1"/>
  <c r="JI14" i="1"/>
  <c r="JI25" i="1"/>
  <c r="KQ25" i="1" s="1"/>
  <c r="KR25" i="1" s="1"/>
  <c r="IB33" i="1"/>
  <c r="IP33" i="1" s="1"/>
  <c r="IB45" i="1"/>
  <c r="IP45" i="1" s="1"/>
  <c r="IN45" i="1"/>
  <c r="FH33" i="1"/>
  <c r="FJ33" i="1" s="1"/>
  <c r="FH45" i="1"/>
  <c r="FJ45" i="1" s="1"/>
  <c r="IN25" i="1"/>
  <c r="EN25" i="1"/>
  <c r="FF25" i="1"/>
  <c r="IN14" i="1"/>
  <c r="EN14" i="1"/>
  <c r="FF14" i="1"/>
  <c r="FF45" i="1" l="1"/>
  <c r="IN33" i="1"/>
  <c r="FF33" i="1"/>
  <c r="IN32" i="1" l="1"/>
  <c r="IN42" i="1"/>
  <c r="FJ42" i="1" l="1"/>
  <c r="HG42" i="1" l="1"/>
  <c r="HM42" i="1" s="1"/>
  <c r="IB42" i="1" l="1"/>
  <c r="IP42" i="1" s="1"/>
  <c r="FF32" i="1"/>
  <c r="FF42" i="1"/>
  <c r="JI42" i="1" l="1"/>
  <c r="KQ42" i="1" s="1"/>
  <c r="KR42" i="1" s="1"/>
  <c r="E8" i="5" l="1" a="1"/>
  <c r="E8" i="5" s="1"/>
  <c r="B10" i="5" a="1"/>
  <c r="B10" i="5" s="1"/>
  <c r="I12" i="5" a="1"/>
  <c r="I12" i="5" s="1"/>
  <c r="I10" i="5" a="1"/>
  <c r="I10" i="5" s="1"/>
  <c r="H8" i="5" a="1"/>
  <c r="H8" i="5" s="1"/>
  <c r="I7" i="5" a="1"/>
  <c r="I7" i="5" s="1"/>
  <c r="E13" i="5" a="1"/>
  <c r="E13" i="5" s="1"/>
  <c r="F10" i="5" a="1"/>
  <c r="F10" i="5" s="1"/>
  <c r="G12" i="5" a="1"/>
  <c r="G12" i="5" s="1"/>
  <c r="F12" i="5" a="1"/>
  <c r="F12" i="5" s="1"/>
  <c r="H13" i="5" a="1"/>
  <c r="H13" i="5" s="1"/>
  <c r="B7" i="5" a="1"/>
  <c r="B7" i="5" s="1"/>
  <c r="F8" i="5" a="1"/>
  <c r="F8" i="5" s="1"/>
  <c r="D11" i="5" a="1"/>
  <c r="D11" i="5" s="1"/>
  <c r="C10" i="5" a="1"/>
  <c r="C10" i="5" s="1"/>
  <c r="C9" i="5" a="1"/>
  <c r="C9" i="5" s="1"/>
  <c r="H10" i="5" a="1"/>
  <c r="H10" i="5" s="1"/>
  <c r="F9" i="5" a="1"/>
  <c r="F9" i="5" s="1"/>
  <c r="D13" i="5" a="1"/>
  <c r="D13" i="5" s="1"/>
  <c r="C13" i="5" a="1"/>
  <c r="C13" i="5" s="1"/>
  <c r="D12" i="5" a="1"/>
  <c r="D12" i="5" s="1"/>
  <c r="C11" i="5" a="1"/>
  <c r="C11" i="5" s="1"/>
  <c r="D9" i="5" a="1"/>
  <c r="D9" i="5" s="1"/>
  <c r="H12" i="5" a="1"/>
  <c r="H12" i="5" s="1"/>
  <c r="B8" i="5" a="1"/>
  <c r="B8" i="5" s="1"/>
  <c r="I6" i="5" a="1"/>
  <c r="I6" i="5" s="1"/>
  <c r="I11" i="5" a="1"/>
  <c r="I11" i="5" s="1"/>
  <c r="E7" i="5" a="1"/>
  <c r="E7" i="5" s="1"/>
  <c r="H11" i="5" a="1"/>
  <c r="H11" i="5" s="1"/>
  <c r="I9" i="5" a="1"/>
  <c r="I9" i="5" s="1"/>
  <c r="H6" i="5" a="1"/>
  <c r="H6" i="5" s="1"/>
  <c r="B6" i="5" a="1"/>
  <c r="B6" i="5" s="1"/>
  <c r="B9" i="5" a="1"/>
  <c r="B9" i="5" s="1"/>
  <c r="C8" i="5" a="1"/>
  <c r="C8" i="5" s="1"/>
  <c r="C12" i="5" a="1"/>
  <c r="C12" i="5" s="1"/>
  <c r="D7" i="5" a="1"/>
  <c r="D7" i="5" s="1"/>
  <c r="I8" i="5" a="1"/>
  <c r="I8" i="5" s="1"/>
  <c r="G9" i="5" a="1"/>
  <c r="G9" i="5" s="1"/>
  <c r="G13" i="5" a="1"/>
  <c r="G13" i="5" s="1"/>
  <c r="B12" i="5" a="1"/>
  <c r="B12" i="5" s="1"/>
  <c r="G7" i="5" a="1"/>
  <c r="G7" i="5" s="1"/>
  <c r="D6" i="5" a="1"/>
  <c r="D6" i="5" s="1"/>
  <c r="C7" i="5" a="1"/>
  <c r="C7" i="5" s="1"/>
  <c r="B13" i="5" a="1"/>
  <c r="B13" i="5" s="1"/>
  <c r="F11" i="5" a="1"/>
  <c r="F11" i="5" s="1"/>
  <c r="E9" i="5" a="1"/>
  <c r="E9" i="5" s="1"/>
  <c r="C6" i="5" a="1"/>
  <c r="C6" i="5" s="1"/>
  <c r="H7" i="5" a="1"/>
  <c r="H7" i="5" s="1"/>
  <c r="D8" i="5" a="1"/>
  <c r="D8" i="5" s="1"/>
  <c r="G10" i="5" a="1"/>
  <c r="G10" i="5" s="1"/>
  <c r="G11" i="5" a="1"/>
  <c r="G11" i="5" s="1"/>
  <c r="H9" i="5" a="1"/>
  <c r="H9" i="5" s="1"/>
  <c r="E6" i="5" a="1"/>
  <c r="E6" i="5" s="1"/>
  <c r="E10" i="5" a="1"/>
  <c r="E10" i="5" s="1"/>
  <c r="E11" i="5" a="1"/>
  <c r="E11" i="5" s="1"/>
  <c r="G8" i="5" a="1"/>
  <c r="G8" i="5" s="1"/>
  <c r="E12" i="5" a="1"/>
  <c r="E12" i="5" s="1"/>
  <c r="G6" i="5" a="1"/>
  <c r="G6" i="5" s="1"/>
  <c r="F6" i="5" a="1"/>
  <c r="F6" i="5" s="1"/>
  <c r="I13" i="5" a="1"/>
  <c r="I13" i="5" s="1"/>
  <c r="D10" i="5" a="1"/>
  <c r="D10" i="5" s="1"/>
  <c r="B11" i="5" a="1"/>
  <c r="B11" i="5" s="1"/>
  <c r="F13" i="5" a="1"/>
  <c r="F13" i="5" s="1"/>
  <c r="F7" i="5" a="1"/>
  <c r="F7" i="5" s="1"/>
  <c r="H14" i="5" l="1"/>
  <c r="E14" i="5"/>
  <c r="G14" i="5"/>
  <c r="F14" i="5"/>
  <c r="C14" i="5"/>
  <c r="D14" i="5"/>
  <c r="B14" i="5"/>
  <c r="I1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Amy Perrott</author>
    <author>Stuart Armstrong</author>
    <author>tc={D5BDD428-53E4-4BBB-B096-6E653116DDA9}</author>
    <author>tc={C105DCE9-53AC-44A2-98D4-AFBB98676F81}</author>
  </authors>
  <commentList>
    <comment ref="CB5" authorId="0" shapeId="0" xr:uid="{BCAC7A50-A174-4CE5-A009-DE6647E36D9F}">
      <text>
        <r>
          <rPr>
            <b/>
            <sz val="9"/>
            <color indexed="81"/>
            <rFont val="Tahoma"/>
            <family val="2"/>
          </rPr>
          <t>HOP only required once Demand present and proceeds to D&amp;C</t>
        </r>
      </text>
    </comment>
    <comment ref="CD5" authorId="0" shapeId="0" xr:uid="{6F8292A7-1422-4E92-BD32-EE5C4CBFBD12}">
      <text>
        <r>
          <rPr>
            <b/>
            <sz val="9"/>
            <color indexed="81"/>
            <rFont val="Tahoma"/>
            <family val="2"/>
          </rPr>
          <t xml:space="preserve">Forecast - application to be submitted in future
Current - application ongoing
(includes where refused but pending re-appl decision)
Complete - application achieved planning
Archive - application refused/withdrawn
(may have new row for re-application)
</t>
        </r>
      </text>
    </comment>
    <comment ref="HH12" authorId="1" shapeId="0" xr:uid="{54435734-216D-4385-AB1F-AD4D0836ACE2}">
      <text>
        <r>
          <rPr>
            <b/>
            <sz val="9"/>
            <color indexed="81"/>
            <rFont val="Tahoma"/>
            <family val="2"/>
          </rPr>
          <t>Stuart Armstrong:</t>
        </r>
        <r>
          <rPr>
            <sz val="9"/>
            <color indexed="81"/>
            <rFont val="Tahoma"/>
            <family val="2"/>
          </rPr>
          <t xml:space="preserve">
V. Constrained Site - Confirm site NOT buildable
28/03/2024
Site to be redesigned for Slimline solution in available space inside eir site boundary.</t>
        </r>
      </text>
    </comment>
    <comment ref="IR12" authorId="0" shapeId="0" xr:uid="{632327BC-8502-44FC-8397-607C1FAB2E22}">
      <text>
        <r>
          <rPr>
            <b/>
            <sz val="9"/>
            <color indexed="81"/>
            <rFont val="Tahoma"/>
            <family val="2"/>
          </rPr>
          <t xml:space="preserve">
ESB Supply TBC</t>
        </r>
      </text>
    </comment>
    <comment ref="JB12" authorId="1" shapeId="0" xr:uid="{E92D66FC-A180-4B18-AEB0-96564EF283DB}">
      <text>
        <r>
          <rPr>
            <sz val="9"/>
            <color indexed="81"/>
            <rFont val="Tahoma"/>
            <family val="2"/>
          </rPr>
          <t xml:space="preserve">
</t>
        </r>
        <r>
          <rPr>
            <b/>
            <sz val="9"/>
            <color indexed="81"/>
            <rFont val="Tahoma"/>
            <family val="2"/>
          </rPr>
          <t>ESB OHL to be removed to stand structure TBC</t>
        </r>
        <r>
          <rPr>
            <sz val="9"/>
            <color indexed="81"/>
            <rFont val="Tahoma"/>
            <family val="2"/>
          </rPr>
          <t xml:space="preserve">
</t>
        </r>
      </text>
    </comment>
    <comment ref="HH14" authorId="0" shapeId="0" xr:uid="{A8AB2D07-E497-46D7-A569-DB7C5AA22611}">
      <text>
        <r>
          <rPr>
            <b/>
            <sz val="9"/>
            <color indexed="81"/>
            <rFont val="Tahoma"/>
            <family val="2"/>
          </rPr>
          <t>Require eir to confirm land ownership
Spoil to be removed before DCP /SI Survey can be carried out
DCP TBC</t>
        </r>
      </text>
    </comment>
    <comment ref="EQ16" authorId="0" shapeId="0" xr:uid="{A895BD40-1A9C-4F9C-B261-B91A0B8CD66B}">
      <text>
        <r>
          <rPr>
            <b/>
            <sz val="9"/>
            <color indexed="81"/>
            <rFont val="Tahoma"/>
            <family val="2"/>
          </rPr>
          <t>Tag</t>
        </r>
      </text>
    </comment>
    <comment ref="FK16" authorId="0" shapeId="0" xr:uid="{624E9721-8241-4E5D-AB7A-1089B5E04D25}">
      <text>
        <r>
          <rPr>
            <b/>
            <sz val="9"/>
            <color indexed="81"/>
            <rFont val="Tahoma"/>
            <family val="2"/>
          </rPr>
          <t>06/12/2023
VF SRF
07/09/2023
Part Gated 
eir Mobile</t>
        </r>
      </text>
    </comment>
    <comment ref="IR16" authorId="0" shapeId="0" xr:uid="{14668062-4BAD-4D33-8001-1C49A2C950E8}">
      <text>
        <r>
          <rPr>
            <b/>
            <sz val="9"/>
            <color indexed="81"/>
            <rFont val="Tahoma"/>
            <family val="2"/>
          </rPr>
          <t xml:space="preserve">ROL TMP Approved   
14/02/2024 
</t>
        </r>
      </text>
    </comment>
    <comment ref="FA30" authorId="0" shapeId="0" xr:uid="{EFFC64AF-E74D-40D8-9F3D-ECE3A19D5498}">
      <text>
        <r>
          <rPr>
            <b/>
            <sz val="9"/>
            <color indexed="81"/>
            <rFont val="Tahoma"/>
            <family val="2"/>
          </rPr>
          <t>Tag</t>
        </r>
      </text>
    </comment>
    <comment ref="HY33" authorId="0" shapeId="0" xr:uid="{FFC01188-9EFF-40A4-BC4C-350B0C740A69}">
      <text>
        <r>
          <rPr>
            <b/>
            <sz val="9"/>
            <color indexed="81"/>
            <rFont val="Tahoma"/>
            <family val="2"/>
          </rPr>
          <t>A/W ESB Diversion Solution</t>
        </r>
      </text>
    </comment>
    <comment ref="JB33" authorId="1" shapeId="0" xr:uid="{890FC8C1-9E55-416A-B1DE-DF52FF3EDD2F}">
      <text>
        <r>
          <rPr>
            <b/>
            <sz val="9"/>
            <color indexed="81"/>
            <rFont val="Tahoma"/>
            <family val="2"/>
          </rPr>
          <t xml:space="preserve">
ESB Outage Confirmed for 05/12/2024</t>
        </r>
        <r>
          <rPr>
            <sz val="9"/>
            <color indexed="81"/>
            <rFont val="Tahoma"/>
            <family val="2"/>
          </rPr>
          <t xml:space="preserve">
</t>
        </r>
      </text>
    </comment>
    <comment ref="BG42" authorId="2" shapeId="0" xr:uid="{D5BDD428-53E4-4BBB-B096-6E653116DDA9}">
      <text>
        <t>[Threaded comment]
Your version of Excel allows you to read this threaded comment; however, any edits to it will get removed if the file is opened in a newer version of Excel. Learn more: https://go.microsoft.com/fwlink/?linkid=870924
Comment:
    Cellnex</t>
      </text>
    </comment>
    <comment ref="JB42" authorId="1" shapeId="0" xr:uid="{AAA6974A-EDA5-4A41-BCE7-9DA9C1FFD5D6}">
      <text>
        <r>
          <rPr>
            <b/>
            <sz val="9"/>
            <color indexed="81"/>
            <rFont val="Tahoma"/>
            <family val="2"/>
          </rPr>
          <t xml:space="preserve">
ESB Outage Confirmed for 03/12/2024</t>
        </r>
      </text>
    </comment>
    <comment ref="JB43" authorId="1" shapeId="0" xr:uid="{3E1F0EE3-5C7C-46DD-901C-52BB1E61FDD9}">
      <text>
        <r>
          <rPr>
            <sz val="9"/>
            <color indexed="81"/>
            <rFont val="Tahoma"/>
            <family val="2"/>
          </rPr>
          <t xml:space="preserve">
</t>
        </r>
        <r>
          <rPr>
            <b/>
            <sz val="9"/>
            <color indexed="81"/>
            <rFont val="Tahoma"/>
            <family val="2"/>
          </rPr>
          <t xml:space="preserve">AWL Required 
</t>
        </r>
        <r>
          <rPr>
            <sz val="9"/>
            <color indexed="81"/>
            <rFont val="Tahoma"/>
            <family val="2"/>
          </rPr>
          <t xml:space="preserve">
</t>
        </r>
      </text>
    </comment>
    <comment ref="FC45" authorId="3" shapeId="0" xr:uid="{C105DCE9-53AC-44A2-98D4-AFBB98676F81}">
      <text>
        <t>[Threaded comment]
Your version of Excel allows you to read this threaded comment; however, any edits to it will get removed if the file is opened in a newer version of Excel. Learn more: https://go.microsoft.com/fwlink/?linkid=870924
Comment:
    2 operator tower solution</t>
      </text>
    </comment>
    <comment ref="IZ45" authorId="1" shapeId="0" xr:uid="{14686383-4C47-42E6-95A6-BA6BF8F49861}">
      <text>
        <r>
          <rPr>
            <b/>
            <sz val="9"/>
            <color indexed="81"/>
            <rFont val="Tahoma"/>
            <family val="2"/>
          </rPr>
          <t xml:space="preserve">
Only 2 Days Work o/s - TBC</t>
        </r>
        <r>
          <rPr>
            <sz val="9"/>
            <color indexed="81"/>
            <rFont val="Tahoma"/>
            <family val="2"/>
          </rPr>
          <t xml:space="preserve">
</t>
        </r>
      </text>
    </comment>
  </commentList>
</comments>
</file>

<file path=xl/sharedStrings.xml><?xml version="1.0" encoding="utf-8"?>
<sst xmlns="http://schemas.openxmlformats.org/spreadsheetml/2006/main" count="2664" uniqueCount="651">
  <si>
    <t>Site Details</t>
  </si>
  <si>
    <t>Customer Demand</t>
  </si>
  <si>
    <t>Gating</t>
  </si>
  <si>
    <t>Structure</t>
  </si>
  <si>
    <t>Design</t>
  </si>
  <si>
    <t>PCM</t>
  </si>
  <si>
    <t>Notifications</t>
  </si>
  <si>
    <t>Construction</t>
  </si>
  <si>
    <t>Acceptance</t>
  </si>
  <si>
    <t>Handover</t>
  </si>
  <si>
    <t>Original</t>
  </si>
  <si>
    <t>FP Programme Tracker</t>
  </si>
  <si>
    <t>Design &amp; Construction Programme Tracker 'OCELOT'</t>
  </si>
  <si>
    <t>Index</t>
  </si>
  <si>
    <t>Full Planning</t>
  </si>
  <si>
    <t>Planning Compliance</t>
  </si>
  <si>
    <t>Power Solution</t>
  </si>
  <si>
    <t>Post RFI Works</t>
  </si>
  <si>
    <t>HT</t>
  </si>
  <si>
    <t>VF</t>
  </si>
  <si>
    <t>Milestone</t>
  </si>
  <si>
    <t>MS</t>
  </si>
  <si>
    <t>N.B. Same Date as FP Compliance</t>
  </si>
  <si>
    <t>Commerical Governance</t>
  </si>
  <si>
    <t>Site ID</t>
  </si>
  <si>
    <t>Site Name</t>
  </si>
  <si>
    <t>County</t>
  </si>
  <si>
    <t xml:space="preserve">Portfolio </t>
  </si>
  <si>
    <t xml:space="preserve">Easting </t>
  </si>
  <si>
    <t>Northing</t>
  </si>
  <si>
    <t>Latitude</t>
  </si>
  <si>
    <t>Longitude</t>
  </si>
  <si>
    <t>Current Structure Type</t>
  </si>
  <si>
    <t>Current Height
(m)</t>
  </si>
  <si>
    <t>Proposed Structure Type</t>
  </si>
  <si>
    <t>Proposed Height
(m)</t>
  </si>
  <si>
    <t>LPA</t>
  </si>
  <si>
    <t>Planning Review Category</t>
  </si>
  <si>
    <t>Planner</t>
  </si>
  <si>
    <t>FP Drawing Provider</t>
  </si>
  <si>
    <t>Map Scale</t>
  </si>
  <si>
    <t>FP Drawing Instructed</t>
  </si>
  <si>
    <t>FP Drawing Issued</t>
  </si>
  <si>
    <t>FP Drawing Revision Required</t>
  </si>
  <si>
    <t>FP Drawing Approved</t>
  </si>
  <si>
    <t>Photomontage Required</t>
  </si>
  <si>
    <t>Photomontage Requirement</t>
  </si>
  <si>
    <t>Photomontage Instructed</t>
  </si>
  <si>
    <t>Photomontage Completed</t>
  </si>
  <si>
    <t>Heritage Report Required</t>
  </si>
  <si>
    <t>Applicant</t>
  </si>
  <si>
    <t>RAG Decision Forecast</t>
  </si>
  <si>
    <t>FI Forecast</t>
  </si>
  <si>
    <t>Appeal Forecast</t>
  </si>
  <si>
    <t>Planning Application Submitted Forecast</t>
  </si>
  <si>
    <t>Planning Application Submitted Actual</t>
  </si>
  <si>
    <t>Planning Application Received by LPA</t>
  </si>
  <si>
    <t>Application Reference</t>
  </si>
  <si>
    <t>Application Invalidated</t>
  </si>
  <si>
    <t>Invalidation Reason</t>
  </si>
  <si>
    <t>FI Request</t>
  </si>
  <si>
    <t>FI Request Deadline</t>
  </si>
  <si>
    <t>FI Submission Date</t>
  </si>
  <si>
    <t>Clarification of FI Request</t>
  </si>
  <si>
    <t>Clarification of FI Request Deadline</t>
  </si>
  <si>
    <t>Clarification of FI Submission Date</t>
  </si>
  <si>
    <t>LPA Initial Decision Date Forecast</t>
  </si>
  <si>
    <t>LPA Initial Decision Date Actual</t>
  </si>
  <si>
    <t>LPA Initial Decision Status</t>
  </si>
  <si>
    <t>No of 3rd party Submissions / Objections</t>
  </si>
  <si>
    <t>LPA Final Decision Date Forecast</t>
  </si>
  <si>
    <t>LPA Final Decision Date Actual</t>
  </si>
  <si>
    <t>LPA Final Decision Status</t>
  </si>
  <si>
    <t xml:space="preserve">Planning Decision Year </t>
  </si>
  <si>
    <t>ABP Appeal Deadline</t>
  </si>
  <si>
    <t>1st Party Appeal Submitted</t>
  </si>
  <si>
    <t>3rd Party Appeal Submitted</t>
  </si>
  <si>
    <t>ABP Reference</t>
  </si>
  <si>
    <t xml:space="preserve">Forecast
ABP Final Decision Date </t>
  </si>
  <si>
    <t>Forecast ABP Final Decision</t>
  </si>
  <si>
    <t>Actual
ABP Final Decision Date</t>
  </si>
  <si>
    <t xml:space="preserve">Actual
ABP Decision </t>
  </si>
  <si>
    <t>Forecast
FP Final Decision Date</t>
  </si>
  <si>
    <t>Forecast
FP Final Decision</t>
  </si>
  <si>
    <t>Actual
FP Final Decision Date</t>
  </si>
  <si>
    <t>Actual
FP Final Decision</t>
  </si>
  <si>
    <t>FP Status</t>
  </si>
  <si>
    <t>TL Schedule / Part</t>
  </si>
  <si>
    <t>FP HOP Completed</t>
  </si>
  <si>
    <t>Radix
FP Fields
Updated</t>
  </si>
  <si>
    <t>eir Constraints List(s)</t>
  </si>
  <si>
    <t>eir 'Red' List September 2021</t>
  </si>
  <si>
    <t>LPA Submission Deadline</t>
  </si>
  <si>
    <t>Equiendo Review</t>
  </si>
  <si>
    <t>Review Date</t>
  </si>
  <si>
    <t>Option A  or B</t>
  </si>
  <si>
    <t>3rd party Submissions / Objections by Competitors</t>
  </si>
  <si>
    <t>3rd Party Appeal Submitted by Competitors</t>
  </si>
  <si>
    <t>Radix Height Updates</t>
  </si>
  <si>
    <t>Notes</t>
  </si>
  <si>
    <t>Planning Conditions to be Discharged</t>
  </si>
  <si>
    <t>Financial Contribution / Bond Required</t>
  </si>
  <si>
    <t>AWL Required</t>
  </si>
  <si>
    <t>Colour Scheme Required</t>
  </si>
  <si>
    <t>Landscaping Plan / Scheme Required</t>
  </si>
  <si>
    <t>Traffic / Pedestrian Management Plan Required</t>
  </si>
  <si>
    <t>Construction Management/ Safety Plan Required</t>
  </si>
  <si>
    <t>Commencement Notice Required</t>
  </si>
  <si>
    <t>Other Item(s) Required</t>
  </si>
  <si>
    <t>IAA AWL Mail Sent</t>
  </si>
  <si>
    <t>IAA AWL Response Received</t>
  </si>
  <si>
    <t>Colour Scheme Sent to LPA</t>
  </si>
  <si>
    <t>Colour Scheme Accepted by LPA</t>
  </si>
  <si>
    <t>Landscaping Plan Sent to LPA</t>
  </si>
  <si>
    <t>FP Compliance Submitted</t>
  </si>
  <si>
    <t>FP Compliance Completed</t>
  </si>
  <si>
    <t>Count of Compliance Items per site</t>
  </si>
  <si>
    <t xml:space="preserve">Firm Demand 
No. of Operators </t>
  </si>
  <si>
    <t>eir Mobile</t>
  </si>
  <si>
    <t>VF Nom</t>
  </si>
  <si>
    <t>VF Tag</t>
  </si>
  <si>
    <t>Three
(3Irl)</t>
  </si>
  <si>
    <t>Other Operator 1</t>
  </si>
  <si>
    <t xml:space="preserve">Forecast Demand 
No. of Operators </t>
  </si>
  <si>
    <t>Customer Demand
(By Quarter / Year)</t>
  </si>
  <si>
    <t>DEMAND
STATUS
FOR GATING</t>
  </si>
  <si>
    <t>EARLIEST
FC DEMAND??</t>
  </si>
  <si>
    <t>FP Final Decision Forecast</t>
  </si>
  <si>
    <t>Forecasted
Gated
Date</t>
  </si>
  <si>
    <t>Site Gated</t>
  </si>
  <si>
    <t>Gating Status</t>
  </si>
  <si>
    <t>RFI Priority
#</t>
  </si>
  <si>
    <t>Development Category</t>
  </si>
  <si>
    <t>Structure
(+ FAS)
Ordered</t>
  </si>
  <si>
    <t>Structure Supplier</t>
  </si>
  <si>
    <t>Structure Ready</t>
  </si>
  <si>
    <t>Interface Steelwork Ordered</t>
  </si>
  <si>
    <t>Interface Steelwork Ready</t>
  </si>
  <si>
    <t>Power
ESB Diversion Required</t>
  </si>
  <si>
    <t>Power
ESB Application Submitted</t>
  </si>
  <si>
    <t>Power
ESB Quote Received</t>
  </si>
  <si>
    <t>Power
ESB Quote Expiry Date</t>
  </si>
  <si>
    <t>Power
ESB Quote Approved
(PO Approved)</t>
  </si>
  <si>
    <t>Power
ESB Survey</t>
  </si>
  <si>
    <t>Power
ESB Route &amp; Solution Confirmed
(For DD)</t>
  </si>
  <si>
    <t>Power
ESB Forecast</t>
  </si>
  <si>
    <t>Power
Temporary Connection Required
Y/N</t>
  </si>
  <si>
    <t>Power
Temporary Connection Application Submitted</t>
  </si>
  <si>
    <t>Power
Temporary Connection Confirmed</t>
  </si>
  <si>
    <t>Power
Temporary Connection Forecast</t>
  </si>
  <si>
    <t>SAR Required</t>
  </si>
  <si>
    <t>SAR Provider</t>
  </si>
  <si>
    <t>SAR Instructed</t>
  </si>
  <si>
    <t>SAR Completed</t>
  </si>
  <si>
    <t>TL Site Survey Completed - 
DCP &amp; CAT Scan</t>
  </si>
  <si>
    <t>LUGS Required</t>
  </si>
  <si>
    <t>RAMS for LUGS Surveys / Pre-Foundation Checks Completed</t>
  </si>
  <si>
    <t>eir Notification Submitted for 
LUGS Survey / Pre-Foundation Checks</t>
  </si>
  <si>
    <t>LUGS Survey / Pre-Foundation Works Start</t>
  </si>
  <si>
    <t xml:space="preserve">LUGS Survey / Pre-Foundation Works Finish </t>
  </si>
  <si>
    <t xml:space="preserve">LUGS Survey / Pre-Foundation Works Comment </t>
  </si>
  <si>
    <t>SI / Technical Site Survey Required
Y/N</t>
  </si>
  <si>
    <t>RAMS for SI Surveys Completed</t>
  </si>
  <si>
    <t>eir Notification Submitted for 
SI Survey</t>
  </si>
  <si>
    <t>SI Survey Completed</t>
  </si>
  <si>
    <t>SI Report Completed 
Forecast</t>
  </si>
  <si>
    <t>SI Report Completed 
Actual</t>
  </si>
  <si>
    <t>Piling Design Required</t>
  </si>
  <si>
    <t>Piling Design Instructed</t>
  </si>
  <si>
    <t>Piling Design Completed 
Forecast</t>
  </si>
  <si>
    <t>Piling Design Completed 
Actual</t>
  </si>
  <si>
    <t>Forecasted
ICDD Date</t>
  </si>
  <si>
    <t>ICDD</t>
  </si>
  <si>
    <t>DD Provider</t>
  </si>
  <si>
    <t>External
DD Provider
Site Survey</t>
  </si>
  <si>
    <t>External
DD Provider
Site Survey
Report Issued</t>
  </si>
  <si>
    <t>DD Issued</t>
  </si>
  <si>
    <t>DD Approved 
Forecast</t>
  </si>
  <si>
    <t>DD Approved Actual
Revision Count</t>
  </si>
  <si>
    <t>DD Approved 
Actual</t>
  </si>
  <si>
    <t>DD - Power Solution Completed -
Sheet Added to/Included with DD</t>
  </si>
  <si>
    <t>DRA
Revision Count</t>
  </si>
  <si>
    <t>DRA Issued</t>
  </si>
  <si>
    <t>PHSP Revision Count</t>
  </si>
  <si>
    <t>PHSP Issued</t>
  </si>
  <si>
    <t xml:space="preserve">Appoint External
Contractor
</t>
  </si>
  <si>
    <t>PCM Completed</t>
  </si>
  <si>
    <t>PCM Revision Count</t>
  </si>
  <si>
    <t>Construction Management Plan
Completed</t>
  </si>
  <si>
    <t>CMP Revision Count</t>
  </si>
  <si>
    <t>Forecasted
eir Notification
Submitted</t>
  </si>
  <si>
    <t>eir 
Notification Submitted
N.B. 4 Weeks Notice</t>
  </si>
  <si>
    <t>Notification
Submitted
Revision Count</t>
  </si>
  <si>
    <t>VF 
Notification Issued
(8 Weeks Notice)</t>
  </si>
  <si>
    <t>Three Notification Issued
(8 Weeks Notice)</t>
  </si>
  <si>
    <t>eir Mobile Notification Issued
(8 Weeks Notice)</t>
  </si>
  <si>
    <t>TETRA Notification Issued
(12 Weeks Notice)</t>
  </si>
  <si>
    <t>Other Operator Notification Issued
(8 Weeks TBC Notice)</t>
  </si>
  <si>
    <t>ESB Notification Issued</t>
  </si>
  <si>
    <t>HSA Notification Issued</t>
  </si>
  <si>
    <t>Forecasted
Start on Site</t>
  </si>
  <si>
    <t>Start on Site</t>
  </si>
  <si>
    <t>Enabling Works / 
Pre-Works Start</t>
  </si>
  <si>
    <t>Enabling Works / 
Pre-Works Completed</t>
  </si>
  <si>
    <t>Power
Temporary Connection Civil Works Start</t>
  </si>
  <si>
    <t>Power
Temporary Connection Civil Works Completed</t>
  </si>
  <si>
    <t>Power Independent Supply
Civil Works Start</t>
  </si>
  <si>
    <t>Power Independent Supply 
Civil Works Completed</t>
  </si>
  <si>
    <t>Piling Works
Start</t>
  </si>
  <si>
    <t>Piling Works Completed</t>
  </si>
  <si>
    <t>Foundation Civil Works
Start</t>
  </si>
  <si>
    <t>Foundation Civil Works Completed</t>
  </si>
  <si>
    <t>Structure
Start</t>
  </si>
  <si>
    <t>Structure Erected</t>
  </si>
  <si>
    <t>Interface Steelwork Installed</t>
  </si>
  <si>
    <t>FAS
Installed &amp; Certified</t>
  </si>
  <si>
    <t>Structure Completed</t>
  </si>
  <si>
    <t>Cable Duct/Gantry Completed</t>
  </si>
  <si>
    <t>RFI 
Forecast</t>
  </si>
  <si>
    <t>RFI Forecast
(By Qtr/Yr)</t>
  </si>
  <si>
    <t>RFI 
Actual</t>
  </si>
  <si>
    <t>Works Required</t>
  </si>
  <si>
    <t>Works Required -
Fencing / Landscaping - Planting / Re-instatement / Other</t>
  </si>
  <si>
    <t>Works Completed</t>
  </si>
  <si>
    <t>Redundant Structure
to be
Removed</t>
  </si>
  <si>
    <t>Redundant Structure Details</t>
  </si>
  <si>
    <t>Redundant Structure
Removed
(date)</t>
  </si>
  <si>
    <t>Post- Construction Site Inspection Completed
(PSCS)</t>
  </si>
  <si>
    <t>Snag Report Issued
(PSCS)</t>
  </si>
  <si>
    <t>Snags Cleared
(PSCS)</t>
  </si>
  <si>
    <t>Construction Completion Pack Submitted
(PSCS)</t>
  </si>
  <si>
    <t>Construction Completion Pack 
Approved
(PSDP)</t>
  </si>
  <si>
    <t>Site 
Accepted
(PSDP)</t>
  </si>
  <si>
    <t>AB Drawing Completed
(PSDP)</t>
  </si>
  <si>
    <t>Site Residual Risk Report Completed
(PSDP)</t>
  </si>
  <si>
    <t>Site Safety File Updated &amp; Completed
(PSDP)</t>
  </si>
  <si>
    <t>RADIX Updated</t>
  </si>
  <si>
    <t>Handover to O&amp;M Completed</t>
  </si>
  <si>
    <t>Capex Budget Cost</t>
  </si>
  <si>
    <t>TC68</t>
  </si>
  <si>
    <t>Monopole</t>
  </si>
  <si>
    <t>LOC</t>
  </si>
  <si>
    <t>RC</t>
  </si>
  <si>
    <t>-</t>
  </si>
  <si>
    <t xml:space="preserve">Yes </t>
  </si>
  <si>
    <t xml:space="preserve">Application </t>
  </si>
  <si>
    <t>Amber</t>
  </si>
  <si>
    <t>FI</t>
  </si>
  <si>
    <t>Appeal</t>
  </si>
  <si>
    <t>Grant</t>
  </si>
  <si>
    <t>3f</t>
  </si>
  <si>
    <t>2nd Appl</t>
  </si>
  <si>
    <t>Galway</t>
  </si>
  <si>
    <t>EED</t>
  </si>
  <si>
    <t>Lattice Mast</t>
  </si>
  <si>
    <t>Lattice</t>
  </si>
  <si>
    <t>Galway County</t>
  </si>
  <si>
    <t>Yes</t>
  </si>
  <si>
    <t>Application</t>
  </si>
  <si>
    <t>Part B (1)</t>
  </si>
  <si>
    <t>1st Appl</t>
  </si>
  <si>
    <t>Y</t>
  </si>
  <si>
    <t>State Owned - OPW</t>
  </si>
  <si>
    <t>OPW</t>
  </si>
  <si>
    <t xml:space="preserve">Subject to Agreement </t>
  </si>
  <si>
    <t>TJ</t>
  </si>
  <si>
    <t>14/04/21: REVIEW EXEMPTION SWAP 
Red line" Works Area" for Planning Drawing differs from "TL Site Area" on Crozier Drawing - ONLY for planning application purposes</t>
  </si>
  <si>
    <t>Wicklow</t>
  </si>
  <si>
    <t>Wicklow County</t>
  </si>
  <si>
    <t>No</t>
  </si>
  <si>
    <t>OL</t>
  </si>
  <si>
    <t>Green</t>
  </si>
  <si>
    <t>GRANT</t>
  </si>
  <si>
    <t>Final Grant</t>
  </si>
  <si>
    <t>1st Appl - success</t>
  </si>
  <si>
    <t>YES</t>
  </si>
  <si>
    <t>n/a</t>
  </si>
  <si>
    <t>Meath</t>
  </si>
  <si>
    <t>Wooden Pole</t>
  </si>
  <si>
    <t>Meath County</t>
  </si>
  <si>
    <t>Marcin</t>
  </si>
  <si>
    <t>3B</t>
  </si>
  <si>
    <t>Subject to Agreement</t>
  </si>
  <si>
    <t>Ontower</t>
  </si>
  <si>
    <t>FP OPW</t>
  </si>
  <si>
    <t>Stop</t>
  </si>
  <si>
    <t>Replacement</t>
  </si>
  <si>
    <t>GSM</t>
  </si>
  <si>
    <t>TBC</t>
  </si>
  <si>
    <t>Delmec</t>
  </si>
  <si>
    <t>Limerick</t>
  </si>
  <si>
    <t>Limerick County</t>
  </si>
  <si>
    <t>Refusal</t>
  </si>
  <si>
    <t>Part B (2)</t>
  </si>
  <si>
    <t>No FP OPW</t>
  </si>
  <si>
    <t>Entrust</t>
  </si>
  <si>
    <t>Red</t>
  </si>
  <si>
    <t>Part A (6)</t>
  </si>
  <si>
    <t>19/04/21: Change from 24m Lattice to 21m monopole</t>
  </si>
  <si>
    <t>RFI</t>
  </si>
  <si>
    <t>21m Monopole</t>
  </si>
  <si>
    <t>N/A</t>
  </si>
  <si>
    <t>Not Required</t>
  </si>
  <si>
    <t>TL</t>
  </si>
  <si>
    <t>NB</t>
  </si>
  <si>
    <t>Charterhouse</t>
  </si>
  <si>
    <t>Quayline</t>
  </si>
  <si>
    <t>REFUSED</t>
  </si>
  <si>
    <t>Part A (8)</t>
  </si>
  <si>
    <t xml:space="preserve">1. Development to be carried out in accordance with Plans. Where conditions require details to be agreed with the planning authority, developer shall agree such details in writing. 
2. Developer shall make proposed structure available to third party operators. 
3. Within six months of cessation of use of telecoms structure, all structures permitted under this permission shall be removed and site reinstated at operators expense. 
4. The 12 Metre High Wooden Pole (RR - VF presently located on this) shall be removed from the site within 6 months of the new monopole becoming operational. 
5. Prior to commencement of the development, details of tree planting along the fornt/western boundary of the site shall be agreed in writing with the planning authority. 
6. Prior to commencement of the development, details of the proposed Colour Scheme for the strucuture and ancillary structures shall be submitted to and agreed in writing with the planning authoirty.
7. A low intensity fixed red obstacle light shall be fitted as close to the top of the mast as practicable and shall be visible from all angles in azimuth. 
8. No advertisement or advertisement structure shall be erected or displayed on the proposed structure or on the site. 
9. Site Development 0800 to 1900 Monday to Friday, 0800 to 1400 Saturday, None on Sundays and Public Holidays. Deviation from these times only allowed in exceptional circumstances where prior written approval received from the planning authority. </t>
  </si>
  <si>
    <t>Stop - JR</t>
  </si>
  <si>
    <t>18m Monopole</t>
  </si>
  <si>
    <t>Shorter Standoffs to be ordered.
Platforms to be removed</t>
  </si>
  <si>
    <t>ESB Diversion TBC</t>
  </si>
  <si>
    <t>Plan B</t>
  </si>
  <si>
    <t>Mayo County</t>
  </si>
  <si>
    <t>focus +</t>
  </si>
  <si>
    <t>FP No Demand</t>
  </si>
  <si>
    <t>Dublin</t>
  </si>
  <si>
    <t>Fingal County</t>
  </si>
  <si>
    <t>3P APPEAL</t>
  </si>
  <si>
    <t>Extension</t>
  </si>
  <si>
    <t>Roscommon</t>
  </si>
  <si>
    <t>Roscommon County</t>
  </si>
  <si>
    <t>FIR</t>
  </si>
  <si>
    <t>Cork</t>
  </si>
  <si>
    <t>Cork County</t>
  </si>
  <si>
    <t>n/a - no demand</t>
  </si>
  <si>
    <t>Jul 21 &amp; Mar 22</t>
  </si>
  <si>
    <t xml:space="preserve">NB Surface Water </t>
  </si>
  <si>
    <t>Lattice ext</t>
  </si>
  <si>
    <t>Donegal</t>
  </si>
  <si>
    <t>Donegal County</t>
  </si>
  <si>
    <t>Part A (16)</t>
  </si>
  <si>
    <t>Cavan</t>
  </si>
  <si>
    <t>Cavan County</t>
  </si>
  <si>
    <t>Part A (20)</t>
  </si>
  <si>
    <t>20m Tower</t>
  </si>
  <si>
    <t>Required</t>
  </si>
  <si>
    <t>Subject to Agreement - Current Tetra Mast facilitating Lease Up</t>
  </si>
  <si>
    <t>existing</t>
  </si>
  <si>
    <t xml:space="preserve">No </t>
  </si>
  <si>
    <t>Part A (22)</t>
  </si>
  <si>
    <t>No Structure</t>
  </si>
  <si>
    <t>TL APPEAL</t>
  </si>
  <si>
    <t>Submitted</t>
  </si>
  <si>
    <t>Part A (26)</t>
  </si>
  <si>
    <t>Westmeath County</t>
  </si>
  <si>
    <t>Rooftop</t>
  </si>
  <si>
    <t>Long Lease</t>
  </si>
  <si>
    <t>Wexford County</t>
  </si>
  <si>
    <t>New Structure</t>
  </si>
  <si>
    <t>DW</t>
  </si>
  <si>
    <t>Withdrawn</t>
  </si>
  <si>
    <t>Leitrim County</t>
  </si>
  <si>
    <t>Part A (44)</t>
  </si>
  <si>
    <t>Lattice Tower</t>
  </si>
  <si>
    <t>23/61320</t>
  </si>
  <si>
    <t>Ref 23/61292 Invalidated (Dwg) then Resubmitted 06 Nov 2023 under Ref 23/61320</t>
  </si>
  <si>
    <t>Kilkenny County</t>
  </si>
  <si>
    <t>Kildare County</t>
  </si>
  <si>
    <t>2nd Appl - success</t>
  </si>
  <si>
    <t>Part A (56)</t>
  </si>
  <si>
    <t>Refused</t>
  </si>
  <si>
    <t>Laois County</t>
  </si>
  <si>
    <t>30m Tower</t>
  </si>
  <si>
    <t>3A</t>
  </si>
  <si>
    <t>Cellnex</t>
  </si>
  <si>
    <t xml:space="preserve">n/a </t>
  </si>
  <si>
    <t>Longford</t>
  </si>
  <si>
    <t>Rooftop Guy Pole</t>
  </si>
  <si>
    <t>Longford County</t>
  </si>
  <si>
    <t>Limited Ground Space - No Space for Ground equipment</t>
  </si>
  <si>
    <t>Part A (94)</t>
  </si>
  <si>
    <t>Limited Ground Space - Site Survey completed</t>
  </si>
  <si>
    <t>Waterford</t>
  </si>
  <si>
    <t>Waterford County</t>
  </si>
  <si>
    <t>Site Notice</t>
  </si>
  <si>
    <t>Part A (100)</t>
  </si>
  <si>
    <t>13/10 RR 18m* - FP Granted but with maximum overall height 16m, proposed extension to be submitted towards EOY 2023 for 2m extn to 18m 
05/06: FI request - Change design to monopole and include Photomontage</t>
  </si>
  <si>
    <t>16m* Monopole</t>
  </si>
  <si>
    <t>Clare County</t>
  </si>
  <si>
    <t>South Dublin</t>
  </si>
  <si>
    <t>Part B (39)</t>
  </si>
  <si>
    <t>1st Appl - failed</t>
  </si>
  <si>
    <t>Part B (43)</t>
  </si>
  <si>
    <t>F21A/0640</t>
  </si>
  <si>
    <t>Part A (144)</t>
  </si>
  <si>
    <t xml:space="preserve">1. Development shall be carried out and completed in accordance with the plans and particulars lodged with the application, as amended by the further plans submitted 11 Oct 2022.  Where such conditions require agreement with the planning authority, the developer shall agree such details in writing prior to commencement of the development. 
2. Surface Water drainage arrangements shall comply with the requirements of the planning authority for such services and works.
3. Prior to commencement, details of the proposed colour scheme for the strucuture and ancillary structures shall be submitted to and agreed in writing with the LPA.
4. No advertisement shall be erected or displayed on the proposed strucuture or its appendiges or within the curtilage of the site without a prior grant of planning permission. 
5. The operator shall provide and make available the lattice tower fo co-location.  </t>
  </si>
  <si>
    <t>Part A (161)</t>
  </si>
  <si>
    <t>Limited ground space for development</t>
  </si>
  <si>
    <t>Cables noted while surveying site &amp; they need to be moved</t>
  </si>
  <si>
    <t>2nd Appl - failed</t>
  </si>
  <si>
    <t>Part A (25)</t>
  </si>
  <si>
    <t>3rd Appl - failed</t>
  </si>
  <si>
    <t>Part A (88)</t>
  </si>
  <si>
    <t>Cignal</t>
  </si>
  <si>
    <t>Part A (108)</t>
  </si>
  <si>
    <t>f/c RFI</t>
  </si>
  <si>
    <t>Initial Grant</t>
  </si>
  <si>
    <t>LOC
Requested</t>
  </si>
  <si>
    <t>LOC
Received</t>
  </si>
  <si>
    <t>Notes 05/06</t>
  </si>
  <si>
    <t>TLM red vf &amp; ti</t>
  </si>
  <si>
    <t>Poor coverage, oppt with MNO? 30mtr only option?</t>
  </si>
  <si>
    <t>no demand, developed for TI, VF</t>
  </si>
  <si>
    <t xml:space="preserve">WP TLM G, </t>
  </si>
  <si>
    <t>WP TLM Red, empty</t>
  </si>
  <si>
    <t>WP TLM G, TI</t>
  </si>
  <si>
    <t>WP TLM red, 3 sector. No access</t>
  </si>
  <si>
    <t>Responsible</t>
  </si>
  <si>
    <t>AP</t>
  </si>
  <si>
    <t>RR</t>
  </si>
  <si>
    <t>RH</t>
  </si>
  <si>
    <t>SA</t>
  </si>
  <si>
    <t>SB</t>
  </si>
  <si>
    <t>TG</t>
  </si>
  <si>
    <t>TS</t>
  </si>
  <si>
    <t>BAP</t>
  </si>
  <si>
    <t>BAP/COB</t>
  </si>
  <si>
    <t>Blocker/Stop Details</t>
  </si>
  <si>
    <t>No title, TLM Green. Omni &amp; GPS</t>
  </si>
  <si>
    <t>3 pole cluster, TLM Green. 2 omni, 1dish</t>
  </si>
  <si>
    <t>GSM 02</t>
  </si>
  <si>
    <t>GSM 01</t>
  </si>
  <si>
    <t>Part A (1)</t>
  </si>
  <si>
    <t>Part A (2)</t>
  </si>
  <si>
    <t>Part A (7)</t>
  </si>
  <si>
    <t>Part A (10)</t>
  </si>
  <si>
    <t>Part A (12)</t>
  </si>
  <si>
    <t>Part A (15)</t>
  </si>
  <si>
    <t>Part A (18)</t>
  </si>
  <si>
    <t>Part A (19)</t>
  </si>
  <si>
    <t>Part A (21)</t>
  </si>
  <si>
    <t>Part A (27)</t>
  </si>
  <si>
    <t>Part A (28)</t>
  </si>
  <si>
    <t>Part A (30)</t>
  </si>
  <si>
    <t>Part A (95)</t>
  </si>
  <si>
    <t>Part A (5)</t>
  </si>
  <si>
    <t>Total Firm and f/c Demand</t>
  </si>
  <si>
    <t>eir List Issued November 2020</t>
  </si>
  <si>
    <t>eir List Issued June 2021</t>
  </si>
  <si>
    <t>Mayo</t>
  </si>
  <si>
    <t>Wexford</t>
  </si>
  <si>
    <t>Laois</t>
  </si>
  <si>
    <t>Westmeath</t>
  </si>
  <si>
    <t>Kildare</t>
  </si>
  <si>
    <t>Kilkenny</t>
  </si>
  <si>
    <t>Leitrim</t>
  </si>
  <si>
    <t>UniqueID</t>
  </si>
  <si>
    <t>UID001</t>
  </si>
  <si>
    <t>UID002</t>
  </si>
  <si>
    <t>UID007</t>
  </si>
  <si>
    <t>UID097</t>
  </si>
  <si>
    <t>UID010</t>
  </si>
  <si>
    <t>UID011</t>
  </si>
  <si>
    <t>UID135</t>
  </si>
  <si>
    <t>UID017</t>
  </si>
  <si>
    <t>UID019</t>
  </si>
  <si>
    <t>UID022</t>
  </si>
  <si>
    <t>UID026</t>
  </si>
  <si>
    <t>UID027</t>
  </si>
  <si>
    <t>UID032</t>
  </si>
  <si>
    <t>UID177</t>
  </si>
  <si>
    <t>UID040</t>
  </si>
  <si>
    <t>UID008</t>
  </si>
  <si>
    <t>UID012</t>
  </si>
  <si>
    <t>UID043</t>
  </si>
  <si>
    <t>UID014</t>
  </si>
  <si>
    <t>UID231</t>
  </si>
  <si>
    <t>UID047</t>
  </si>
  <si>
    <t>UID005</t>
  </si>
  <si>
    <t>UID075</t>
  </si>
  <si>
    <t>UID033</t>
  </si>
  <si>
    <t>UID009</t>
  </si>
  <si>
    <t>UID220</t>
  </si>
  <si>
    <t>UID203</t>
  </si>
  <si>
    <t>UID023</t>
  </si>
  <si>
    <t>UID180</t>
  </si>
  <si>
    <t>UID029</t>
  </si>
  <si>
    <t>UID306</t>
  </si>
  <si>
    <t>UID188</t>
  </si>
  <si>
    <t>UID038</t>
  </si>
  <si>
    <t>UID031</t>
  </si>
  <si>
    <t>UID193</t>
  </si>
  <si>
    <t>UID004</t>
  </si>
  <si>
    <t>UID034</t>
  </si>
  <si>
    <t>UID030</t>
  </si>
  <si>
    <t>UID268</t>
  </si>
  <si>
    <t>UID020</t>
  </si>
  <si>
    <t>UID077</t>
  </si>
  <si>
    <t>UID024</t>
  </si>
  <si>
    <t>UID037</t>
  </si>
  <si>
    <t>Landscaping Plan Accepted by LPA</t>
  </si>
  <si>
    <t>Finance</t>
  </si>
  <si>
    <t>Budget
Open/
Closed</t>
  </si>
  <si>
    <t>KMcH</t>
  </si>
  <si>
    <t>Application Status - DO NOT CHANGE</t>
  </si>
  <si>
    <t>Waste Management Plan Required</t>
  </si>
  <si>
    <t>Archaeological Monitoring Plan Required</t>
  </si>
  <si>
    <t>Site Reinstatement / Exisitng Equipment Removal Plan Required</t>
  </si>
  <si>
    <t>Working Days / Hours Confirmation Required</t>
  </si>
  <si>
    <t>Surface Water Drainage Plan Required</t>
  </si>
  <si>
    <t>Noise / Accoustics Mitigation Plan Required</t>
  </si>
  <si>
    <t>Traffic / Pedestrian Management Plan Sent to LPA</t>
  </si>
  <si>
    <t>Traffic / Pedestrian Management Plan Accepted by LPA</t>
  </si>
  <si>
    <t>Construction Management/ Safety Plan Sent to LPA</t>
  </si>
  <si>
    <t>Construction Management/ Safety Plan Accepted by LPA</t>
  </si>
  <si>
    <t>Waste Management Plan Sent to LPA</t>
  </si>
  <si>
    <t>Waste Management Plan Accepted by LPA</t>
  </si>
  <si>
    <t>Site Reinstatement / Exisitng Equipment Removal Plan Sent to LPA</t>
  </si>
  <si>
    <t>Site Reinstatement / Exisitng Equipment Removal Plan Accepted by LPA</t>
  </si>
  <si>
    <t>Archaeological Monitoring Plan Sent to LPA</t>
  </si>
  <si>
    <t>Archaeological Monitoring Plan Accepted by LPA</t>
  </si>
  <si>
    <t>Working Days / Hours Confirmation Sent to LPA</t>
  </si>
  <si>
    <t>Working Days / Hours Confirmation Accepted by LPA</t>
  </si>
  <si>
    <t>Surface Water Drainage Plan Sent to LPA</t>
  </si>
  <si>
    <t>Surface Water Drainage Plan Accepted by LPA</t>
  </si>
  <si>
    <t>Noise / Accoustics Mitigation Plan Sent to LPA</t>
  </si>
  <si>
    <t>Noise / Accoustics Mitigation Plan Accepted by LPA</t>
  </si>
  <si>
    <t>Financial Contribution / Bond Sent to LPA</t>
  </si>
  <si>
    <t>Financial Contribution / Bond Accepted by LPA</t>
  </si>
  <si>
    <t>Commencement Notice Sent to LPA</t>
  </si>
  <si>
    <t>Financial Analysis</t>
  </si>
  <si>
    <t>Live Site</t>
  </si>
  <si>
    <t>Forecast
RFI Date</t>
  </si>
  <si>
    <t>Portfolio</t>
  </si>
  <si>
    <t>FP Drawing
Revision
Counter</t>
  </si>
  <si>
    <t>SAR
Instructed
Revision
Counter</t>
  </si>
  <si>
    <t>SAR
Completed
Revision
Counter</t>
  </si>
  <si>
    <t>Actual Structure Type</t>
  </si>
  <si>
    <t>Actual
Height
(m)</t>
  </si>
  <si>
    <t>FP Expiry
Date</t>
  </si>
  <si>
    <t>Tetra
Ireland</t>
  </si>
  <si>
    <t>Enet</t>
  </si>
  <si>
    <t>Current</t>
  </si>
  <si>
    <t>Complete</t>
  </si>
  <si>
    <t>Forecast</t>
  </si>
  <si>
    <t>1. The development shall be carried out and completed in accordance with the plans and particulars lodged with the application on the 6th of November 2023, and as amended by the plans and particulars received by the Planning Authority on the 17th of April 2024, except as may otherwise be required in order to comply with the following conditions. Where such conditions require points of detail to be agreed with the Planning Authority, these matters shall be the subject of written agreement prior to the works commencement and shall be implemented in accordance with the agreed particulars. 
2. The proposed structure shall have a maximum height of 24m. 
3. The transmitter power output, antenna type and mounting configuration shall be in accordance with the details submitted with this application and, notwithstanding the provisions of the Planning and Development Regulations 2001, and any statutory provision amending or replacing them, shall not be altered without a prior grant of planning permission. 
4.The support structure, antennae and all ancillary structures should be demolished and removed from site if they become obsolete or are no longer required, and the site shall be reinstated on removal of the telecommunications structure and ancillary structures at the operators’ expense. 
5. All public roads and footpaths shall be maintained free from dirt and debris during construction stage of the proposed development. All necessary measures shall be undertaken by the applicant to prevent the spillage or deposit of clay, rubble or other debris on adjoining lands during the course of the works. 
6. The Applicant and any subsequent owners or operators of the installation shall inform the planning section of Galway County Council of impending transfer of installation to another owner or operator to facilitate the continuance of planning conditions. 
7.(i)No material change of use of the structure shall be made without a prior grant of planning permission. (ii) Development described in Class 31 of Part 1 of Schedule 2 of the Planning and Development Regulations, 2001, as amended shall not be carried out within the site, without a prior grant of planning permission. 
8.No advertisement or advertisement structure shall be erected or displayed on the structure or its appendages or within the curtilage of the site without a prior grant of planning permission. 
9.(i) A system of independent monitoring of radiation levels from the mast shall be established/maintained and undertaken periodically to ensure compliance with such guidelines levels as may be set from time to time by the International Radiation Protection Association. (ii) The development shall comply with the terms and conditions of the public exposure guidelines of the international commission on non-ionizing radiation protection. 
10. (i)The applicant/owner/operator shall provide and make available on reasonable terms other licensed mobile telecommunications operators to co-locate their antennae onto the existing structure. (ii) Adequate space to be allowed on site by the applicant for an additional equipment container by a second telecommunications operator should such be required. 
11. A low intensity fixed red obstacle light shall be fitted as close to the top of the mast as practicable and shall be visible from all angles in azimuth unless otherwise agreed in writing with the Planning Authority. 
12.(i)All surface water shall be disposed of on-site to appropriately sizes soakaways in accordance with BRE Digest 365 or equivalent and shall not flow on the road or adjoining property. (ii)The development shall not impair existing land or road drainage.</t>
  </si>
  <si>
    <t>N</t>
  </si>
  <si>
    <t xml:space="preserve">*NOT Updated - TBC If Required </t>
  </si>
  <si>
    <t xml:space="preserve">*NOT Updated - NOT Required </t>
  </si>
  <si>
    <t>RFI Quarter</t>
  </si>
  <si>
    <t>Current Development Plan  (Gated/Live/UTS/Portfolio/FC RFI)</t>
  </si>
  <si>
    <t>ROL
Submitted</t>
  </si>
  <si>
    <t>ROL Expiry
Date</t>
  </si>
  <si>
    <t>Gating status Comments</t>
  </si>
  <si>
    <t xml:space="preserve">FI - TL commited to painting the proposed structure dark green - suggest RAL 6028
The Final Planning Grant Cond 1 (b) requires monopole and any associated antennae permitted shall be painted dark green
Prior to the commencement of any development revised drawings making provision for 16m Monopole painted Drak Green shall be submitted and agreed in writing with the planning authority. </t>
  </si>
  <si>
    <t>Footpath to be agreed in writing.</t>
  </si>
  <si>
    <t>Proposed Planting North West Boundary per Sheet 06 Dwg No TGY6020-PL-05 however no Landscaping Plan required.
Existing 15m Monopole to be Removed.</t>
  </si>
  <si>
    <t xml:space="preserve">N.B. Surface Water </t>
  </si>
  <si>
    <t>Highlighting Required Actions in relation to Compliance Requirements.
Cond 3. Within 3 mths Final Grant - cessation plan to be sumbitted to LPA for when/if site ever ceases to be used as telcos site.
Cond 4. CMP to include TMP &amp; engagement required with LPAs Municipal District Co-Ord prior to finalising Traffic Management Plan for submission.
Cond 8. Commencement Notice required Two Weeks prior to start on site.</t>
  </si>
  <si>
    <t>4. Existing boundary trees to be retained and replaced if they die.
5. Mix of native hedge planting along northern boundary such as Ilex aquilfolium (common holly) and Crataegus monogyna (common hawthorn) or similar available
6. Remove existing wooden pole within 6 months of new structure becoming operational.
7. Standard colour scheme (green palisade fencing)</t>
  </si>
  <si>
    <t>N.B. Drainage, Noise Pollution, Working hours regualtions.</t>
  </si>
  <si>
    <t xml:space="preserve">N.B. Debris deposit, damage to public road, adequate off carriageway parking facilities, and disposal of waste material. </t>
  </si>
  <si>
    <t>N.B. Damage to footpath</t>
  </si>
  <si>
    <t xml:space="preserve">The development shall be carried out strictly in accordance with the plans and details received with the planning application. The applicant is responsible for the repairs of any damage caused to the public footpath and roadway as a direct result of the development works. Prior to the commencement of development, a Construction Environmental Management Plan shall be submitted for the written agreement of the planning authority. On decommissioning of the telecommunications service, or if the service ceases operation for a period of more than one year, the telecommunications structure including foundations and access arrangements shall be removed and the site lands shall be reinstated on removal of the telecommunications structure and ancillary structures within three months of decommissioning at the operators expense. Unless otherwise agreed in writing with the planning authority, the applicant shall engage with the planning authorityin respect of the erection of a low intensity fixed red obstacle light which shall be fitted as close to the top of the mast as practicable and shall be visible from all angles in azimuth. </t>
  </si>
  <si>
    <t xml:space="preserve">NOTE - FP Application submitted for 18m Monopole - Final Grant was for 18m Monopole but with a Height Restriction of 16m. 
1 (a) Proposed Development to be carried out in accordance with the plans and particulars lodged with the application on 25th November 2022, as amended by details submitted to the planning authority on 7th July 2023, except as otherwise may be required in order ot comply with the following conditions.
1 (b) The overall height of the monopole permitted shall not exceed 16m. Prior to the commencement of any development revised drawings making provision for same shall be submitted and agreed in writing with the planning authority. 
1 (c) The monopole and any associated antennae permitted shall be painted dark green in accordance with details submitted to the planning authoirty on 7th July 2023. 
2. In the event of the telecommunications structure and ancillary equipment hereby permitted ceasing to operate for a period of twelve months, the structure and ancillary equipment shall be removed. Details regarding the removal of the structure and reinstatement of the site shall be submitted to and agreed in writing within six months of the structures ceasing to operate and the site shall be reinstated in accordance with the agreed details. 
3. The applicant shall provide and make available at reasonable terms the proposed telecommunications structure for the provision of mobile telecommunications antenna of third party licence mobile phone operators. </t>
  </si>
  <si>
    <t xml:space="preserve">Details of proposed colour scheme to be agreed with LPA prior to commencement of development.                                                                                
Aircraft Warning Light to be installed - this requirement to be submitted to IAA for review.                                                                                                                                   </t>
  </si>
  <si>
    <t xml:space="preserve">1. The development shall be carried out strictly in accordance with the plans and particulars submitted to the Planning Authority on 11th October 2023 and the further information submitted on 14th May 2024, except as otherwise required in order to comply with the conditions of this permission as set out hereunder. No material change of use of the 24 metre monopole, antennas, dishes, associated equipment and cabinets shall be made without a prior grant of planning permission unless such change has the benefit of exempted development status, in accordance with Schedule 2 of the Planning &amp; Development Regulations 2001 (as amended).
2. The transmission power output, antennae type, and mounting configuration shall be in accordance with the details submitted with this application and shall not be altered without a prior grant of planning permission, unless such alterations have the benefit of exempted development status, in accordance with Schedule 2 of the Planning &amp; Development Regulations 2001 (as amended).
3. Within 6 months of the permanent cessation of use of the structures, all structures on site shall be removed at the applicants/developers own expense and the site shall be reinstated in accordance with a restoration plan to be submitted for the written agreement of the Planning Authority within three months of the date of the final grant of this permission. 
4. Prior to commencement of development, the developer shall submit, for the written agreement of the Planning Authority, a detailed Construction Management Plan (to include traffic management proposals) for the proposed development. The traffic management proposals shall be informed by prior engagement with Roscommon County Council’s Roscommon Municipal District Co-Ordinator. The development shall thereafter be undertaken in accordance with the agreed details.
5. All surface water generated within in the site boundaries shall be collected and disposed of within the curtilage of the site. No surface water from roofs, paved areas or otherwise shall discharge onto the public road.
6. The Planning Authority shall be notified of any change of ownership or transfer to a new operator. Such notification shall be made within two months of the date of change of ownership or transfer.
7. Sound pressure levels generated by the development shall not exceed background levels when measured at any dwelling in the vicinity of the site. All sound measurements shall be carried out in accordance with ISO Recommendations 1996 “Assessment of noise with respect to community response” as amended by ISO Recommendations R 1996/1, 2 and 3 “Description and measurement of Environmental Noise” as appropriate.
8. The applicant/developer shall give the Planning Authority two weeks' notice in writing of intent to commence development on the site. </t>
  </si>
  <si>
    <t xml:space="preserve">1. Build according to plans.
2. Make structure available to all telcos.
3. Reinstate land after cessation of use.
4. Keep the boundary trees and replace if they die.
5. Landscaping plan -agree details of boundary trees prior to build start.
6.Remove existing wooden pole within 6 months of new structure becoming operational.
7. Colour scheme required.
8. No adverisements on site.
9. Build only during office hours (8am-7pm mon-fri, 8am-2pm sat). </t>
  </si>
  <si>
    <t xml:space="preserve">1. Develop according to plans submitted.
2. Remove existing Lattice.
3. Remove Structure when obsolete.
4. Inform LPA if ownership changes.
5. Additional planning required if structure is to be used for something else.
6. Cannot advertise structure prior to Final Grant.
7 i. Implement a system to monitor radiation and undertake periodically. 
7 ii. Comply with radiation guidelines.
8 i. Make available the strucutre for MNOs to co-locate.
8 ii.  Make available space on site equipment for multiple MNOs if required.
9 i. Dispose of Surface water. 
9 ii. Do not impair existing drainage.
10 i. Submit Traffic Management Plan.
10 ii. Maintain Sight Distance triangles.
10 iii. Obtain a Road Opening Licence is adjacent to public road.
10 iv. Prevent spillage and debris on adjoining roads during construction. </t>
  </si>
  <si>
    <t xml:space="preserve">The development shall be carried out in accordance with plans and particulars lodged with the planning application. 
No material change of use of the telecommunications equipment and support structures shall be made without a prior grant of planning permission. 
The antenna and mounting configuration shall be in accordance with the details submitted with this application and shall not be altered without a prior grant of planning permission. 
The applicant shall provide and make available at reasonable terms the proposed telecommunications structure for the provision of mobile telecommunications antenna of third party licenced mobile telecommunications operators. 
In the event of the proposed structure becoming obsolete and being decommissioned, the applicant shall at their own expense, remove the mast and antennae and return the site to its original condition. </t>
  </si>
  <si>
    <t>VC: FP for 24mtr grant</t>
  </si>
  <si>
    <t>Reporting
Proposed
Structure Type</t>
  </si>
  <si>
    <t>On hold - OPW</t>
  </si>
  <si>
    <t>True
Part B</t>
  </si>
  <si>
    <t>Modular Monopole</t>
  </si>
  <si>
    <t>2nd GSM Headframe Available in TL Yard</t>
  </si>
  <si>
    <t>OPW TBC</t>
  </si>
  <si>
    <t>On Hold - ROI</t>
  </si>
  <si>
    <t>N.B.</t>
  </si>
  <si>
    <t>UTS Label</t>
  </si>
  <si>
    <t xml:space="preserve">Lattice Tower </t>
  </si>
  <si>
    <t>Ordered</t>
  </si>
  <si>
    <t>Archive</t>
  </si>
  <si>
    <t>UID329</t>
  </si>
  <si>
    <t>FP Instructed
Actual</t>
  </si>
  <si>
    <t>FP Instructed Forecasted</t>
  </si>
  <si>
    <t>Lattice Tower - Openeir Equipment to be Relocated/Removed</t>
  </si>
  <si>
    <t>Assumed ESB Supply Solution issued with DD
N.B. Permanent Solution Required Before Build</t>
  </si>
  <si>
    <t xml:space="preserve">ESB Independent Power Supply Solution issued with DD </t>
  </si>
  <si>
    <t>Temp Power Supply Solution issued with DD</t>
  </si>
  <si>
    <t>11/08: Invalidated due to elevation requirement from LPA 22/07: Crozier change to Option A / B</t>
  </si>
  <si>
    <t>No sound trees to be removed unless necessitated by the development</t>
  </si>
  <si>
    <t>15+</t>
  </si>
  <si>
    <t xml:space="preserve">05/10/2022: Notification issued by email to LPA for temporary installation </t>
  </si>
  <si>
    <t xml:space="preserve">Details of removal of telecommunications structure and reinstatement of site to be submitted for agreement prior to commencement of development - TL planner to submit that should only apply if permitted structure is being removed in future and details will be submitted in that instance prior to its removal.  
No advertisements on structure or site without planning permission.                   Aircraft Warning Light to be installed - this requirement to be submitted to IAA for review             </t>
  </si>
  <si>
    <t>30/10/2019: Nil FP Required ATT - Foundation / Tower Strengthening TBC</t>
  </si>
  <si>
    <t>Colour scheme for structure, ancillary structures and fencing to be submitted and agreed in writing with LPA prior to commencement.</t>
  </si>
  <si>
    <t xml:space="preserve">Development to be carried out in accordance with plans.
Development as per described in public notices. 
Structure to be made available to third party telecommunications operators.  
Within 6 months of the cessation of the use of the structure, all structures to be removed from the site and reinstated in accordance with a scheme to be agreed with the Planning Authority as soon as is practicable.                                                                                                               Colour scheme to be submitted and agreed with Planning Authoirty prior to commencement of development.                                                                                            A low intensity fixed red obstacle light to be fitted to the top of the mast.                                                                                                                          No advertising on the strucutre or within the site.                                                            Site development and building works to be carried out within prescribed hours. </t>
  </si>
  <si>
    <t xml:space="preserve">No response </t>
  </si>
  <si>
    <t>20/11/2019: Site to be reviewed for Cust uptake by AM  - possible customer uptake for NBI</t>
  </si>
  <si>
    <t>Details and drawings of proposed retaining wall to be submitted prior to commencement of development.
Landscaping Scheme to be submitted and agreed prior to commencement of development.</t>
  </si>
  <si>
    <t>NB Parking</t>
  </si>
  <si>
    <t>Drawing and details of retaining wall to be agreed with LPA</t>
  </si>
  <si>
    <t>SD20A/0042</t>
  </si>
  <si>
    <t>Colour Scheme &amp; Landscaping Plan Required.</t>
  </si>
  <si>
    <t>Timed out</t>
  </si>
  <si>
    <t>Further FI to be submitted</t>
  </si>
  <si>
    <t>2. Landscaping scheme to be submitted and agreed with LPA in writing prior to commencement of the development.
3. Surface water drainage to comply with LPA requirements
4. Colour scheme to be agreed with LPA in writing prior to commencement of the development.
5. Construction hours limited to 0700 to 1900 Mon to Fri and 0800 to 1400 on Sat only.
8. AWL to be fitted with details to be submitted and agreed with LPA in writing prior to commencement of the development.
9. Construction management Plan to be submitted including traffic management, noise amangement and waste management.
10. Developer shall lodge a cash deposit, bond or other security to secure reinstatement of the site with an agreement. Form and amount to be agreed between developer and LPA. [Bond confirmed as €6000]</t>
  </si>
  <si>
    <t>NB Surface water</t>
  </si>
  <si>
    <t>Bond wording only</t>
  </si>
  <si>
    <t>19/04/21: Change from 20m HD monopole to 18m Monopole S</t>
  </si>
  <si>
    <t>Gre</t>
  </si>
  <si>
    <t>23/07/20: Change of planner from LOC to JohnC</t>
  </si>
  <si>
    <t>The lattice support structure extension, antennas and cabinets shall be grey in colour.</t>
  </si>
  <si>
    <t>Applicaton
Status</t>
  </si>
  <si>
    <t>UID363</t>
  </si>
  <si>
    <t>JR Issue Date</t>
  </si>
  <si>
    <t>JR Current Status</t>
  </si>
  <si>
    <t>JR Final Decision</t>
  </si>
  <si>
    <t>JR Final Decision Date</t>
  </si>
  <si>
    <t>Remitted</t>
  </si>
  <si>
    <t>Quashed</t>
  </si>
  <si>
    <t>FP Subm
to
Init Grant</t>
  </si>
  <si>
    <t>FP Subm
to
Final Grant</t>
  </si>
  <si>
    <t>mth</t>
  </si>
  <si>
    <t>Appeal
Submission
Date</t>
  </si>
  <si>
    <t>Appeal Subm
to
ABP Decision</t>
  </si>
  <si>
    <t>ABP Final Decision Date</t>
  </si>
  <si>
    <t>Wall footpath realignment?</t>
  </si>
  <si>
    <t>Gate to be erected and fence to be repaired and exiting structure to be removed?</t>
  </si>
  <si>
    <t>Structure
Location</t>
  </si>
  <si>
    <t>Orignal ABP Ref: 315401 quashed by HC as part of JR, remitted and reactivated case 321229 - ABP letter 15/11/24.</t>
  </si>
  <si>
    <t>321229 (old case: 315401)</t>
  </si>
  <si>
    <t>Lattice Tower - 
VF Hot Swap Required</t>
  </si>
  <si>
    <t>Wooden Pole - 
VF Tx Parallel Build Required then VF Omni Antenna &amp; Tx Link Dish &amp; Wooden Pole to be Removed by TL</t>
  </si>
  <si>
    <t xml:space="preserve">Wooden Pole - 
VF Equipment to be Removed  </t>
  </si>
  <si>
    <t>Option A</t>
  </si>
  <si>
    <t>Not Adjacent</t>
  </si>
  <si>
    <t>Hot Swap</t>
  </si>
  <si>
    <t xml:space="preserve">Wooden Pole Replacement - ACA </t>
  </si>
  <si>
    <t>Site name</t>
  </si>
  <si>
    <t xml:space="preserve">Landscape - Planting 
January - March 2025 TBC </t>
  </si>
  <si>
    <t>Reinstatement - Yard</t>
  </si>
  <si>
    <t>xxxxx</t>
  </si>
  <si>
    <t>xxxxxx</t>
  </si>
  <si>
    <t>TLKxxx</t>
  </si>
  <si>
    <t>TCxxxx</t>
  </si>
  <si>
    <t>TDUxxxx</t>
  </si>
  <si>
    <t>TKKxxxx</t>
  </si>
  <si>
    <t>TWWxxxx</t>
  </si>
  <si>
    <t>TWHxxxx</t>
  </si>
  <si>
    <t>TCNxxxx</t>
  </si>
  <si>
    <t>TMHxxxx</t>
  </si>
  <si>
    <t>TLKxxxx</t>
  </si>
  <si>
    <t>TGYxxxx</t>
  </si>
  <si>
    <t>TLMxxxx</t>
  </si>
  <si>
    <t>TMOxxxx</t>
  </si>
  <si>
    <t xml:space="preserve">Notes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</si>
</sst>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yyyy"/>
    <numFmt numFmtId="166" formatCode="[$€-83C]#,##0"/>
    <numFmt numFmtId="167" formatCode="0;\-0;;@"/>
  </numFmts>
  <fonts count="17" x14ac:knownFonts="1">
    <font>
      <sz val="11"/>
      <color theme="1"/>
      <name val="Calibri"/>
      <family val="2"/>
      <scheme val="minor"/>
    </font>
    <font>
      <b/>
      <sz val="9"/>
      <color theme="1"/>
      <name val="Calibri"/>
      <family val="2"/>
      <scheme val="minor"/>
    </font>
    <font>
      <sz val="9"/>
      <color theme="1"/>
      <name val="Calibri"/>
      <family val="2"/>
      <scheme val="minor"/>
    </font>
    <font>
      <i/>
      <sz val="9"/>
      <color rgb="FFFF0000"/>
      <name val="Calibri"/>
      <family val="2"/>
      <scheme val="minor"/>
    </font>
    <font>
      <b/>
      <sz val="9"/>
      <name val="Calibri"/>
      <family val="2"/>
      <scheme val="minor"/>
    </font>
    <font>
      <b/>
      <sz val="9"/>
      <color theme="0"/>
      <name val="Calibri"/>
      <family val="2"/>
      <scheme val="minor"/>
    </font>
    <font>
      <b/>
      <sz val="9"/>
      <color indexed="81"/>
      <name val="Tahoma"/>
      <family val="2"/>
    </font>
    <font>
      <sz val="9"/>
      <color rgb="FFFF0000"/>
      <name val="Calibri"/>
      <family val="2"/>
      <scheme val="minor"/>
    </font>
    <font>
      <sz val="9"/>
      <color indexed="81"/>
      <name val="Tahoma"/>
      <family val="2"/>
    </font>
    <font>
      <sz val="9"/>
      <name val="Calibri"/>
      <family val="2"/>
      <scheme val="minor"/>
    </font>
    <font>
      <b/>
      <sz val="10"/>
      <color theme="1"/>
      <name val="Calibri"/>
      <family val="2"/>
      <scheme val="minor"/>
    </font>
    <font>
      <sz val="8"/>
      <name val="Calibri"/>
      <family val="2"/>
      <scheme val="minor"/>
    </font>
    <font>
      <b/>
      <sz val="11"/>
      <color theme="1"/>
      <name val="Calibri"/>
      <family val="2"/>
      <scheme val="minor"/>
    </font>
    <font>
      <sz val="11"/>
      <color theme="1"/>
      <name val="Calibri"/>
      <family val="2"/>
      <scheme val="minor"/>
    </font>
    <font>
      <sz val="9"/>
      <color theme="0" tint="-0.249977111117893"/>
      <name val="Calibri"/>
      <family val="2"/>
      <scheme val="minor"/>
    </font>
    <font>
      <sz val="9"/>
      <color rgb="FF333333"/>
      <name val="Calibri"/>
      <family val="2"/>
      <scheme val="minor"/>
    </font>
    <font>
      <sz val="9"/>
      <color theme="1"/>
      <name val="Calibri"/>
      <family val="2"/>
    </font>
  </fonts>
  <fills count="21">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0" tint="-0.249977111117893"/>
        <bgColor indexed="64"/>
      </patternFill>
    </fill>
    <fill>
      <patternFill patternType="solid">
        <fgColor rgb="FFFFC000"/>
        <bgColor indexed="64"/>
      </patternFill>
    </fill>
    <fill>
      <patternFill patternType="solid">
        <fgColor rgb="FFFFFF99"/>
        <bgColor indexed="64"/>
      </patternFill>
    </fill>
    <fill>
      <patternFill patternType="solid">
        <fgColor rgb="FFFF0000"/>
        <bgColor indexed="64"/>
      </patternFill>
    </fill>
    <fill>
      <patternFill patternType="solid">
        <fgColor rgb="FF92D050"/>
        <bgColor indexed="64"/>
      </patternFill>
    </fill>
    <fill>
      <patternFill patternType="solid">
        <fgColor rgb="FF00B050"/>
        <bgColor indexed="64"/>
      </patternFill>
    </fill>
    <fill>
      <patternFill patternType="solid">
        <fgColor rgb="FFF5F5F5"/>
        <bgColor indexed="64"/>
      </patternFill>
    </fill>
    <fill>
      <patternFill patternType="solid">
        <fgColor rgb="FFFFFFFF"/>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FFFFCC"/>
        <bgColor indexed="64"/>
      </patternFill>
    </fill>
    <fill>
      <patternFill patternType="solid">
        <fgColor theme="1"/>
        <bgColor indexed="64"/>
      </patternFill>
    </fill>
    <fill>
      <patternFill patternType="solid">
        <fgColor theme="0"/>
        <bgColor indexed="64"/>
      </patternFill>
    </fill>
    <fill>
      <patternFill patternType="solid">
        <fgColor theme="7" tint="0.59999389629810485"/>
        <bgColor indexed="64"/>
      </patternFill>
    </fill>
    <fill>
      <patternFill patternType="solid">
        <fgColor theme="9"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s>
  <cellStyleXfs count="2">
    <xf numFmtId="0" fontId="0" fillId="0" borderId="0"/>
    <xf numFmtId="0" fontId="13" fillId="0" borderId="0"/>
  </cellStyleXfs>
  <cellXfs count="164">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4" fillId="0" borderId="0" xfId="0" applyFont="1" applyAlignment="1">
      <alignment horizontal="center" vertical="center" wrapText="1"/>
    </xf>
    <xf numFmtId="0" fontId="4" fillId="3" borderId="1" xfId="0" applyFont="1" applyFill="1" applyBorder="1" applyAlignment="1">
      <alignment horizontal="center" vertical="center" wrapText="1"/>
    </xf>
    <xf numFmtId="17" fontId="4"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0" borderId="0" xfId="0" applyFont="1" applyAlignment="1">
      <alignment horizontal="center" vertical="center" wrapText="1"/>
    </xf>
    <xf numFmtId="0" fontId="4" fillId="4" borderId="1" xfId="0" applyFont="1" applyFill="1" applyBorder="1" applyAlignment="1">
      <alignment horizontal="center" vertical="center" wrapText="1"/>
    </xf>
    <xf numFmtId="1" fontId="4" fillId="4" borderId="1" xfId="0"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0" fontId="1" fillId="0" borderId="0" xfId="0" applyFont="1" applyAlignment="1">
      <alignment vertical="center" wrapText="1"/>
    </xf>
    <xf numFmtId="0" fontId="2" fillId="0" borderId="0" xfId="0" applyFont="1" applyAlignment="1">
      <alignment vertical="center" wrapText="1"/>
    </xf>
    <xf numFmtId="1" fontId="4" fillId="7" borderId="1" xfId="0" applyNumberFormat="1"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14" fontId="1" fillId="0" borderId="0" xfId="0" applyNumberFormat="1" applyFont="1" applyAlignment="1">
      <alignment vertical="center"/>
    </xf>
    <xf numFmtId="14" fontId="4" fillId="4" borderId="1" xfId="0" applyNumberFormat="1"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14" fontId="2" fillId="0" borderId="0" xfId="0" applyNumberFormat="1" applyFont="1" applyAlignment="1">
      <alignment vertical="center"/>
    </xf>
    <xf numFmtId="17" fontId="1" fillId="0" borderId="0" xfId="0" applyNumberFormat="1" applyFont="1" applyAlignment="1">
      <alignment vertical="center"/>
    </xf>
    <xf numFmtId="17" fontId="2" fillId="0" borderId="0" xfId="0" applyNumberFormat="1" applyFont="1" applyAlignment="1">
      <alignment vertical="center"/>
    </xf>
    <xf numFmtId="1" fontId="1" fillId="0" borderId="0" xfId="0" applyNumberFormat="1" applyFont="1" applyAlignment="1">
      <alignment vertical="center"/>
    </xf>
    <xf numFmtId="1" fontId="1" fillId="0" borderId="0" xfId="0" applyNumberFormat="1" applyFont="1" applyAlignment="1">
      <alignment horizontal="center" vertical="center"/>
    </xf>
    <xf numFmtId="1" fontId="2" fillId="0" borderId="0" xfId="0" applyNumberFormat="1" applyFont="1" applyAlignment="1">
      <alignment vertical="center"/>
    </xf>
    <xf numFmtId="0" fontId="4" fillId="9" borderId="0" xfId="0" applyFont="1" applyFill="1" applyAlignment="1">
      <alignment horizontal="center" vertical="center" wrapText="1"/>
    </xf>
    <xf numFmtId="14" fontId="1" fillId="0" borderId="0" xfId="0" applyNumberFormat="1" applyFont="1" applyAlignment="1">
      <alignment vertical="center" wrapText="1"/>
    </xf>
    <xf numFmtId="14" fontId="2" fillId="0" borderId="0" xfId="0" applyNumberFormat="1" applyFont="1" applyAlignment="1">
      <alignment vertical="center" wrapText="1"/>
    </xf>
    <xf numFmtId="0" fontId="0" fillId="0" borderId="0" xfId="0" applyAlignment="1">
      <alignment vertical="center"/>
    </xf>
    <xf numFmtId="0" fontId="0" fillId="0" borderId="0" xfId="0" applyAlignment="1">
      <alignment horizontal="center" vertical="center"/>
    </xf>
    <xf numFmtId="165" fontId="0" fillId="15" borderId="0" xfId="0" applyNumberFormat="1" applyFill="1" applyAlignment="1">
      <alignment horizontal="center" vertical="center"/>
    </xf>
    <xf numFmtId="0" fontId="0" fillId="15" borderId="0" xfId="0" applyFill="1" applyAlignment="1">
      <alignment horizontal="center" vertical="center"/>
    </xf>
    <xf numFmtId="165" fontId="12" fillId="4" borderId="1" xfId="0" applyNumberFormat="1" applyFont="1" applyFill="1" applyBorder="1" applyAlignment="1">
      <alignment horizontal="center" vertical="center"/>
    </xf>
    <xf numFmtId="165" fontId="12" fillId="14" borderId="1" xfId="0" applyNumberFormat="1" applyFont="1" applyFill="1"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12" fillId="0" borderId="0" xfId="0" applyFont="1" applyAlignment="1">
      <alignment vertical="center"/>
    </xf>
    <xf numFmtId="14" fontId="1" fillId="0" borderId="0" xfId="0" applyNumberFormat="1" applyFont="1" applyAlignment="1">
      <alignment horizontal="center" vertical="center"/>
    </xf>
    <xf numFmtId="14" fontId="2" fillId="0" borderId="0" xfId="0" applyNumberFormat="1" applyFont="1" applyAlignment="1">
      <alignment horizontal="center" vertical="center"/>
    </xf>
    <xf numFmtId="14" fontId="4" fillId="2" borderId="1" xfId="0" applyNumberFormat="1" applyFont="1" applyFill="1" applyBorder="1" applyAlignment="1">
      <alignment horizontal="center" vertical="center" wrapText="1"/>
    </xf>
    <xf numFmtId="0" fontId="0" fillId="0" borderId="8" xfId="0" applyBorder="1" applyAlignment="1">
      <alignment horizontal="center" vertical="center"/>
    </xf>
    <xf numFmtId="14" fontId="4" fillId="16" borderId="1" xfId="0" applyNumberFormat="1" applyFont="1" applyFill="1" applyBorder="1" applyAlignment="1">
      <alignment horizontal="center" vertical="center" wrapText="1"/>
    </xf>
    <xf numFmtId="0" fontId="2" fillId="2" borderId="0" xfId="0" applyFont="1" applyFill="1" applyAlignment="1">
      <alignment vertical="center"/>
    </xf>
    <xf numFmtId="17" fontId="1" fillId="0" borderId="0" xfId="0" applyNumberFormat="1" applyFont="1" applyAlignment="1">
      <alignment horizontal="center" vertical="center"/>
    </xf>
    <xf numFmtId="14" fontId="1" fillId="0" borderId="0" xfId="0" applyNumberFormat="1"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left" vertical="center"/>
    </xf>
    <xf numFmtId="0" fontId="5" fillId="17" borderId="0" xfId="0" applyFont="1" applyFill="1" applyAlignment="1">
      <alignment horizontal="center" vertical="center"/>
    </xf>
    <xf numFmtId="1" fontId="4" fillId="2" borderId="4"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1" fontId="2" fillId="0" borderId="0" xfId="0" applyNumberFormat="1" applyFont="1" applyAlignment="1">
      <alignment horizontal="center" vertical="center"/>
    </xf>
    <xf numFmtId="1" fontId="1" fillId="4" borderId="1" xfId="0" applyNumberFormat="1" applyFont="1" applyFill="1" applyBorder="1" applyAlignment="1">
      <alignment horizontal="center" vertical="center" wrapText="1"/>
    </xf>
    <xf numFmtId="1" fontId="4" fillId="0" borderId="1" xfId="0" applyNumberFormat="1" applyFont="1" applyBorder="1" applyAlignment="1">
      <alignment horizontal="center" vertical="center" wrapText="1"/>
    </xf>
    <xf numFmtId="0" fontId="2" fillId="15" borderId="1" xfId="0" applyFont="1" applyFill="1" applyBorder="1" applyAlignment="1" applyProtection="1">
      <alignment vertical="center"/>
      <protection locked="0"/>
    </xf>
    <xf numFmtId="0" fontId="0" fillId="0" borderId="0" xfId="0" applyAlignment="1" applyProtection="1">
      <alignment horizontal="center" vertical="center"/>
      <protection locked="0"/>
    </xf>
    <xf numFmtId="0" fontId="2" fillId="0" borderId="0" xfId="0" applyFont="1" applyAlignment="1" applyProtection="1">
      <alignment vertical="center"/>
      <protection locked="0"/>
    </xf>
    <xf numFmtId="0" fontId="2" fillId="0" borderId="1" xfId="0" applyFont="1" applyBorder="1" applyAlignment="1" applyProtection="1">
      <alignment horizontal="center" vertical="center"/>
      <protection locked="0"/>
    </xf>
    <xf numFmtId="14" fontId="2" fillId="0" borderId="1" xfId="0" applyNumberFormat="1" applyFont="1" applyBorder="1" applyAlignment="1" applyProtection="1">
      <alignment horizontal="center" vertical="center"/>
      <protection locked="0"/>
    </xf>
    <xf numFmtId="1" fontId="2" fillId="0" borderId="1" xfId="0" applyNumberFormat="1"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14" fontId="2" fillId="6" borderId="1" xfId="0" applyNumberFormat="1" applyFont="1" applyFill="1" applyBorder="1" applyAlignment="1" applyProtection="1">
      <alignment horizontal="center" vertical="center"/>
      <protection locked="0"/>
    </xf>
    <xf numFmtId="14" fontId="2" fillId="0" borderId="7" xfId="0" applyNumberFormat="1" applyFont="1" applyBorder="1" applyAlignment="1" applyProtection="1">
      <alignment horizontal="center" vertical="center"/>
      <protection locked="0"/>
    </xf>
    <xf numFmtId="0" fontId="2" fillId="6" borderId="1" xfId="0" applyFont="1" applyFill="1" applyBorder="1" applyAlignment="1" applyProtection="1">
      <alignment horizontal="center" vertical="center"/>
      <protection locked="0"/>
    </xf>
    <xf numFmtId="0" fontId="2" fillId="0" borderId="0" xfId="0" applyFont="1" applyAlignment="1" applyProtection="1">
      <alignment horizontal="center" vertical="center"/>
      <protection locked="0"/>
    </xf>
    <xf numFmtId="17" fontId="2" fillId="0" borderId="1" xfId="0" applyNumberFormat="1" applyFont="1" applyBorder="1" applyAlignment="1" applyProtection="1">
      <alignment horizontal="center" vertical="center"/>
      <protection locked="0"/>
    </xf>
    <xf numFmtId="0" fontId="2" fillId="0" borderId="1" xfId="0" applyFont="1" applyBorder="1" applyAlignment="1" applyProtection="1">
      <alignment vertical="center" wrapText="1"/>
      <protection locked="0"/>
    </xf>
    <xf numFmtId="0" fontId="2" fillId="0" borderId="0" xfId="0" applyFont="1" applyAlignment="1" applyProtection="1">
      <alignment vertical="center" wrapText="1"/>
      <protection locked="0"/>
    </xf>
    <xf numFmtId="14" fontId="2" fillId="10" borderId="1" xfId="0" applyNumberFormat="1" applyFont="1" applyFill="1" applyBorder="1" applyAlignment="1" applyProtection="1">
      <alignment horizontal="center" vertical="center"/>
      <protection locked="0"/>
    </xf>
    <xf numFmtId="14" fontId="2" fillId="16" borderId="1" xfId="0" applyNumberFormat="1" applyFont="1" applyFill="1" applyBorder="1" applyAlignment="1" applyProtection="1">
      <alignment horizontal="center" vertical="center"/>
      <protection locked="0"/>
    </xf>
    <xf numFmtId="0" fontId="2" fillId="16" borderId="1" xfId="0" applyFont="1" applyFill="1" applyBorder="1" applyAlignment="1" applyProtection="1">
      <alignment horizontal="center" vertical="center"/>
      <protection locked="0"/>
    </xf>
    <xf numFmtId="14" fontId="2" fillId="9" borderId="1" xfId="0" applyNumberFormat="1" applyFont="1" applyFill="1" applyBorder="1" applyAlignment="1" applyProtection="1">
      <alignment horizontal="center" vertical="center"/>
      <protection locked="0"/>
    </xf>
    <xf numFmtId="165" fontId="2" fillId="0" borderId="0" xfId="0" applyNumberFormat="1" applyFont="1" applyAlignment="1" applyProtection="1">
      <alignment horizontal="center" vertical="center"/>
      <protection locked="0"/>
    </xf>
    <xf numFmtId="0" fontId="2" fillId="10" borderId="1" xfId="0" applyFont="1" applyFill="1" applyBorder="1" applyAlignment="1" applyProtection="1">
      <alignment horizontal="center" vertical="center" wrapText="1"/>
      <protection locked="0"/>
    </xf>
    <xf numFmtId="14" fontId="2" fillId="0" borderId="1" xfId="0" applyNumberFormat="1" applyFont="1" applyBorder="1" applyAlignment="1" applyProtection="1">
      <alignment horizontal="center" vertical="center" wrapText="1"/>
      <protection locked="0"/>
    </xf>
    <xf numFmtId="1" fontId="2" fillId="0" borderId="1" xfId="0" applyNumberFormat="1" applyFont="1" applyBorder="1" applyAlignment="1" applyProtection="1">
      <alignment horizontal="center" vertical="center" wrapText="1"/>
      <protection locked="0"/>
    </xf>
    <xf numFmtId="14" fontId="2" fillId="15" borderId="1" xfId="0" applyNumberFormat="1" applyFont="1" applyFill="1" applyBorder="1" applyAlignment="1" applyProtection="1">
      <alignment horizontal="center" vertical="center"/>
      <protection locked="0"/>
    </xf>
    <xf numFmtId="14" fontId="2" fillId="0" borderId="0" xfId="0" applyNumberFormat="1" applyFont="1" applyAlignment="1" applyProtection="1">
      <alignment vertical="center"/>
      <protection locked="0"/>
    </xf>
    <xf numFmtId="0" fontId="2" fillId="9" borderId="1" xfId="0" applyFont="1" applyFill="1" applyBorder="1" applyAlignment="1" applyProtection="1">
      <alignment horizontal="center" vertical="center"/>
      <protection locked="0"/>
    </xf>
    <xf numFmtId="14" fontId="2" fillId="10" borderId="1" xfId="0" applyNumberFormat="1" applyFont="1" applyFill="1" applyBorder="1" applyAlignment="1" applyProtection="1">
      <alignment horizontal="center" vertical="center" wrapText="1"/>
      <protection locked="0"/>
    </xf>
    <xf numFmtId="0" fontId="2" fillId="0" borderId="1" xfId="0" applyFont="1" applyBorder="1" applyAlignment="1" applyProtection="1">
      <alignment vertical="center"/>
      <protection locked="0"/>
    </xf>
    <xf numFmtId="14" fontId="2" fillId="18" borderId="1" xfId="0" applyNumberFormat="1" applyFont="1" applyFill="1" applyBorder="1" applyAlignment="1" applyProtection="1">
      <alignment horizontal="center" vertical="center"/>
      <protection locked="0"/>
    </xf>
    <xf numFmtId="166" fontId="2" fillId="0" borderId="1" xfId="0" applyNumberFormat="1" applyFont="1" applyBorder="1" applyAlignment="1" applyProtection="1">
      <alignment horizontal="center" vertical="center"/>
      <protection locked="0"/>
    </xf>
    <xf numFmtId="14" fontId="2" fillId="11" borderId="1" xfId="0" applyNumberFormat="1" applyFont="1" applyFill="1" applyBorder="1" applyAlignment="1" applyProtection="1">
      <alignment horizontal="center" vertical="center"/>
      <protection locked="0"/>
    </xf>
    <xf numFmtId="0" fontId="2" fillId="11" borderId="1" xfId="0" applyFont="1" applyFill="1" applyBorder="1" applyAlignment="1" applyProtection="1">
      <alignment horizontal="center" vertical="center"/>
      <protection locked="0"/>
    </xf>
    <xf numFmtId="14" fontId="2" fillId="10" borderId="7" xfId="0" applyNumberFormat="1" applyFont="1" applyFill="1" applyBorder="1" applyAlignment="1" applyProtection="1">
      <alignment horizontal="center" vertical="center"/>
      <protection locked="0"/>
    </xf>
    <xf numFmtId="14" fontId="2" fillId="2" borderId="1" xfId="0" applyNumberFormat="1" applyFont="1" applyFill="1" applyBorder="1" applyAlignment="1" applyProtection="1">
      <alignment horizontal="center" vertical="center"/>
      <protection locked="0"/>
    </xf>
    <xf numFmtId="0" fontId="2" fillId="7" borderId="1" xfId="0" applyFont="1" applyFill="1" applyBorder="1" applyAlignment="1" applyProtection="1">
      <alignment horizontal="center" vertical="center"/>
      <protection locked="0"/>
    </xf>
    <xf numFmtId="14" fontId="9" fillId="9" borderId="1" xfId="0" applyNumberFormat="1" applyFont="1" applyFill="1" applyBorder="1" applyAlignment="1" applyProtection="1">
      <alignment horizontal="center" vertical="center" wrapText="1"/>
      <protection locked="0"/>
    </xf>
    <xf numFmtId="0" fontId="9" fillId="9" borderId="1" xfId="0" applyFont="1" applyFill="1" applyBorder="1" applyAlignment="1" applyProtection="1">
      <alignment horizontal="center" vertical="center"/>
      <protection locked="0"/>
    </xf>
    <xf numFmtId="14" fontId="9" fillId="0" borderId="1" xfId="0" applyNumberFormat="1" applyFont="1" applyBorder="1" applyAlignment="1" applyProtection="1">
      <alignment horizontal="center" vertical="center" wrapText="1"/>
      <protection locked="0"/>
    </xf>
    <xf numFmtId="0" fontId="2" fillId="7" borderId="1" xfId="0" applyFont="1" applyFill="1" applyBorder="1" applyAlignment="1" applyProtection="1">
      <alignment vertical="center" wrapText="1"/>
      <protection locked="0"/>
    </xf>
    <xf numFmtId="164" fontId="2" fillId="10" borderId="1" xfId="0" applyNumberFormat="1" applyFont="1" applyFill="1" applyBorder="1" applyAlignment="1" applyProtection="1">
      <alignment horizontal="center" vertical="center"/>
      <protection locked="0"/>
    </xf>
    <xf numFmtId="0" fontId="2" fillId="10" borderId="1" xfId="0" applyFont="1" applyFill="1" applyBorder="1" applyAlignment="1" applyProtection="1">
      <alignment horizontal="center" vertical="center"/>
      <protection locked="0"/>
    </xf>
    <xf numFmtId="14" fontId="2" fillId="0" borderId="0" xfId="0" applyNumberFormat="1" applyFont="1" applyAlignment="1" applyProtection="1">
      <alignment horizontal="center" vertical="center"/>
      <protection locked="0"/>
    </xf>
    <xf numFmtId="14" fontId="9" fillId="10" borderId="1" xfId="0" applyNumberFormat="1" applyFont="1" applyFill="1" applyBorder="1" applyAlignment="1" applyProtection="1">
      <alignment horizontal="center" vertical="center" wrapText="1"/>
      <protection locked="0"/>
    </xf>
    <xf numFmtId="14" fontId="11" fillId="10" borderId="1" xfId="0" applyNumberFormat="1" applyFont="1" applyFill="1" applyBorder="1" applyAlignment="1" applyProtection="1">
      <alignment horizontal="center" vertical="center" wrapText="1"/>
      <protection locked="0"/>
    </xf>
    <xf numFmtId="14" fontId="2" fillId="7" borderId="1" xfId="0" applyNumberFormat="1" applyFont="1" applyFill="1" applyBorder="1" applyAlignment="1" applyProtection="1">
      <alignment horizontal="center" vertical="center" wrapText="1"/>
      <protection locked="0"/>
    </xf>
    <xf numFmtId="0" fontId="2" fillId="6" borderId="0" xfId="0" applyFont="1" applyFill="1" applyAlignment="1" applyProtection="1">
      <alignment horizontal="center" vertical="center"/>
      <protection locked="0"/>
    </xf>
    <xf numFmtId="0" fontId="2" fillId="7" borderId="1" xfId="0" applyFont="1" applyFill="1" applyBorder="1" applyAlignment="1" applyProtection="1">
      <alignment horizontal="center" vertical="center" wrapText="1"/>
      <protection locked="0"/>
    </xf>
    <xf numFmtId="14" fontId="9" fillId="7" borderId="1" xfId="0" applyNumberFormat="1" applyFont="1" applyFill="1" applyBorder="1" applyAlignment="1" applyProtection="1">
      <alignment horizontal="center" vertical="center" wrapText="1"/>
      <protection locked="0"/>
    </xf>
    <xf numFmtId="0" fontId="2" fillId="0" borderId="1" xfId="0" applyFont="1" applyBorder="1" applyAlignment="1" applyProtection="1">
      <alignment horizontal="left" vertical="center"/>
      <protection locked="0"/>
    </xf>
    <xf numFmtId="14" fontId="2" fillId="0" borderId="3" xfId="0" applyNumberFormat="1" applyFont="1" applyBorder="1" applyAlignment="1" applyProtection="1">
      <alignment horizontal="center" vertical="center"/>
      <protection locked="0"/>
    </xf>
    <xf numFmtId="14" fontId="2" fillId="0" borderId="2" xfId="0" applyNumberFormat="1" applyFont="1" applyBorder="1" applyAlignment="1" applyProtection="1">
      <alignment horizontal="center" vertical="center"/>
      <protection locked="0"/>
    </xf>
    <xf numFmtId="1" fontId="2" fillId="0" borderId="7" xfId="0" applyNumberFormat="1" applyFont="1" applyBorder="1" applyAlignment="1" applyProtection="1">
      <alignment horizontal="center" vertical="center"/>
      <protection locked="0"/>
    </xf>
    <xf numFmtId="14" fontId="2" fillId="0" borderId="4" xfId="0" applyNumberFormat="1" applyFont="1" applyBorder="1" applyAlignment="1" applyProtection="1">
      <alignment horizontal="center" vertical="center"/>
      <protection locked="0"/>
    </xf>
    <xf numFmtId="0" fontId="2" fillId="0" borderId="2" xfId="0" applyFont="1" applyBorder="1" applyAlignment="1" applyProtection="1">
      <alignment horizontal="center" vertical="center" wrapText="1"/>
      <protection locked="0"/>
    </xf>
    <xf numFmtId="14" fontId="2" fillId="0" borderId="6" xfId="0" applyNumberFormat="1" applyFont="1" applyBorder="1" applyAlignment="1" applyProtection="1">
      <alignment horizontal="center" vertical="center"/>
      <protection locked="0"/>
    </xf>
    <xf numFmtId="14" fontId="2" fillId="0" borderId="5" xfId="0" applyNumberFormat="1" applyFont="1" applyBorder="1" applyAlignment="1" applyProtection="1">
      <alignment horizontal="center" vertical="center"/>
      <protection locked="0"/>
    </xf>
    <xf numFmtId="1" fontId="2" fillId="0" borderId="3" xfId="0" applyNumberFormat="1" applyFont="1" applyBorder="1" applyAlignment="1" applyProtection="1">
      <alignment horizontal="center" vertical="center"/>
      <protection locked="0"/>
    </xf>
    <xf numFmtId="0" fontId="2" fillId="0" borderId="7" xfId="0" applyFont="1" applyBorder="1" applyAlignment="1" applyProtection="1">
      <alignment horizontal="center" vertical="center"/>
      <protection locked="0"/>
    </xf>
    <xf numFmtId="0" fontId="7" fillId="0" borderId="1" xfId="0" applyFont="1" applyBorder="1" applyAlignment="1" applyProtection="1">
      <alignment vertical="center"/>
      <protection locked="0"/>
    </xf>
    <xf numFmtId="0" fontId="2" fillId="10" borderId="1" xfId="0" applyFont="1" applyFill="1" applyBorder="1" applyAlignment="1" applyProtection="1">
      <alignment vertical="center"/>
      <protection locked="0"/>
    </xf>
    <xf numFmtId="14" fontId="2" fillId="7" borderId="1" xfId="0" applyNumberFormat="1" applyFont="1" applyFill="1" applyBorder="1" applyAlignment="1" applyProtection="1">
      <alignment horizontal="center" vertical="center"/>
      <protection locked="0"/>
    </xf>
    <xf numFmtId="164" fontId="2" fillId="10" borderId="3" xfId="0" applyNumberFormat="1" applyFont="1" applyFill="1" applyBorder="1" applyAlignment="1" applyProtection="1">
      <alignment horizontal="center" vertical="center"/>
      <protection locked="0"/>
    </xf>
    <xf numFmtId="14" fontId="2" fillId="10" borderId="2" xfId="0" applyNumberFormat="1" applyFont="1" applyFill="1" applyBorder="1" applyAlignment="1" applyProtection="1">
      <alignment horizontal="center" vertical="center" wrapText="1"/>
      <protection locked="0"/>
    </xf>
    <xf numFmtId="0" fontId="2" fillId="10" borderId="0" xfId="0" applyFont="1" applyFill="1" applyAlignment="1" applyProtection="1">
      <alignment horizontal="center" vertical="center" wrapText="1"/>
      <protection locked="0"/>
    </xf>
    <xf numFmtId="0" fontId="9" fillId="0" borderId="0" xfId="0" applyFont="1" applyAlignment="1" applyProtection="1">
      <alignment horizontal="center" vertical="center"/>
      <protection locked="0"/>
    </xf>
    <xf numFmtId="0" fontId="9" fillId="0" borderId="0" xfId="0" applyFont="1" applyAlignment="1" applyProtection="1">
      <alignment vertical="center"/>
      <protection locked="0"/>
    </xf>
    <xf numFmtId="0" fontId="2" fillId="0" borderId="4" xfId="0" applyFont="1" applyBorder="1" applyAlignment="1" applyProtection="1">
      <alignment horizontal="center" vertical="center"/>
      <protection locked="0"/>
    </xf>
    <xf numFmtId="0" fontId="2" fillId="0" borderId="3"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9" fillId="0" borderId="1" xfId="0" applyFont="1" applyBorder="1" applyAlignment="1" applyProtection="1">
      <alignment horizontal="center" vertical="center"/>
      <protection locked="0"/>
    </xf>
    <xf numFmtId="14" fontId="2" fillId="0" borderId="1" xfId="0" applyNumberFormat="1" applyFont="1" applyBorder="1" applyAlignment="1" applyProtection="1">
      <alignment vertical="center"/>
      <protection locked="0"/>
    </xf>
    <xf numFmtId="0" fontId="2" fillId="0" borderId="1" xfId="0" applyFont="1" applyBorder="1" applyAlignment="1" applyProtection="1">
      <alignment horizontal="left" vertical="center" wrapText="1"/>
      <protection locked="0"/>
    </xf>
    <xf numFmtId="0" fontId="2" fillId="13" borderId="1" xfId="0" applyFont="1" applyFill="1" applyBorder="1" applyAlignment="1" applyProtection="1">
      <alignment horizontal="center" vertical="center"/>
      <protection locked="0"/>
    </xf>
    <xf numFmtId="0" fontId="2" fillId="0" borderId="0" xfId="0" applyFont="1" applyAlignment="1" applyProtection="1">
      <alignment horizontal="left" vertical="center"/>
      <protection locked="0"/>
    </xf>
    <xf numFmtId="167" fontId="2" fillId="0" borderId="1" xfId="0" applyNumberFormat="1" applyFont="1" applyBorder="1" applyAlignment="1" applyProtection="1">
      <alignment horizontal="center" vertical="center"/>
      <protection locked="0"/>
    </xf>
    <xf numFmtId="0" fontId="14" fillId="0" borderId="3" xfId="0" applyFont="1" applyBorder="1" applyAlignment="1" applyProtection="1">
      <alignment horizontal="center" vertical="center"/>
      <protection locked="0"/>
    </xf>
    <xf numFmtId="0" fontId="14" fillId="0" borderId="1" xfId="0" applyFont="1" applyBorder="1" applyAlignment="1" applyProtection="1">
      <alignment horizontal="center" vertical="center"/>
      <protection locked="0"/>
    </xf>
    <xf numFmtId="0" fontId="10" fillId="4" borderId="3" xfId="0" applyFont="1" applyFill="1" applyBorder="1" applyAlignment="1">
      <alignment horizontal="center" vertical="center" wrapText="1"/>
    </xf>
    <xf numFmtId="164" fontId="2" fillId="0" borderId="1" xfId="0" applyNumberFormat="1" applyFont="1" applyBorder="1" applyAlignment="1" applyProtection="1">
      <alignment horizontal="center" vertical="center" wrapText="1"/>
      <protection locked="0"/>
    </xf>
    <xf numFmtId="14" fontId="15" fillId="12" borderId="1" xfId="0" applyNumberFormat="1" applyFont="1" applyFill="1" applyBorder="1" applyAlignment="1" applyProtection="1">
      <alignment horizontal="center" vertical="center" wrapText="1"/>
      <protection locked="0"/>
    </xf>
    <xf numFmtId="14" fontId="2" fillId="0" borderId="1" xfId="0" applyNumberFormat="1" applyFont="1" applyBorder="1" applyAlignment="1" applyProtection="1">
      <alignment vertical="center" wrapText="1"/>
      <protection locked="0"/>
    </xf>
    <xf numFmtId="17" fontId="2" fillId="0" borderId="1" xfId="0" applyNumberFormat="1" applyFont="1" applyBorder="1" applyAlignment="1" applyProtection="1">
      <alignment horizontal="center" vertical="center" wrapText="1"/>
      <protection locked="0"/>
    </xf>
    <xf numFmtId="14" fontId="2" fillId="10" borderId="0" xfId="0" applyNumberFormat="1" applyFont="1" applyFill="1" applyAlignment="1" applyProtection="1">
      <alignment horizontal="center" vertical="center"/>
      <protection locked="0"/>
    </xf>
    <xf numFmtId="14" fontId="16" fillId="10" borderId="1" xfId="0" applyNumberFormat="1" applyFont="1" applyFill="1" applyBorder="1" applyAlignment="1" applyProtection="1">
      <alignment horizontal="center" vertical="center"/>
      <protection locked="0"/>
    </xf>
    <xf numFmtId="49" fontId="10" fillId="4" borderId="7" xfId="0" applyNumberFormat="1" applyFont="1" applyFill="1" applyBorder="1" applyAlignment="1">
      <alignment vertical="center" wrapText="1"/>
    </xf>
    <xf numFmtId="0" fontId="10" fillId="4" borderId="9" xfId="0" applyFont="1" applyFill="1" applyBorder="1" applyAlignment="1">
      <alignment vertical="center" wrapText="1"/>
    </xf>
    <xf numFmtId="0" fontId="10" fillId="4" borderId="4" xfId="0" applyFont="1" applyFill="1" applyBorder="1" applyAlignment="1">
      <alignment vertical="center" wrapText="1"/>
    </xf>
    <xf numFmtId="0" fontId="10" fillId="4" borderId="9" xfId="0" applyFont="1" applyFill="1" applyBorder="1" applyAlignment="1">
      <alignment vertical="center"/>
    </xf>
    <xf numFmtId="0" fontId="7" fillId="11" borderId="1" xfId="0" applyFont="1" applyFill="1" applyBorder="1" applyAlignment="1" applyProtection="1">
      <alignment horizontal="center" vertical="center" wrapText="1"/>
      <protection locked="0"/>
    </xf>
    <xf numFmtId="0" fontId="3" fillId="0" borderId="0" xfId="0" applyFont="1" applyAlignment="1">
      <alignment vertical="center" wrapText="1"/>
    </xf>
    <xf numFmtId="0" fontId="2" fillId="2" borderId="1" xfId="0" applyFont="1" applyFill="1"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0" fontId="10" fillId="19" borderId="1" xfId="0" applyFont="1" applyFill="1" applyBorder="1" applyAlignment="1">
      <alignment horizontal="center" vertical="center" wrapText="1"/>
    </xf>
    <xf numFmtId="1" fontId="2" fillId="0" borderId="0" xfId="0" applyNumberFormat="1" applyFont="1" applyAlignment="1" applyProtection="1">
      <alignment horizontal="center" vertical="center"/>
      <protection locked="0"/>
    </xf>
    <xf numFmtId="0" fontId="10" fillId="20" borderId="1" xfId="0" applyFont="1" applyFill="1" applyBorder="1" applyAlignment="1">
      <alignment horizontal="center" vertical="center" wrapText="1"/>
    </xf>
    <xf numFmtId="14" fontId="2" fillId="2" borderId="1" xfId="0" applyNumberFormat="1" applyFont="1" applyFill="1" applyBorder="1" applyAlignment="1" applyProtection="1">
      <alignment horizontal="center" vertical="center" wrapText="1"/>
      <protection locked="0"/>
    </xf>
    <xf numFmtId="0" fontId="5" fillId="5" borderId="2"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 fillId="2" borderId="1" xfId="0" applyFont="1" applyFill="1" applyBorder="1" applyAlignment="1">
      <alignment horizontal="center" vertical="center" wrapText="1"/>
    </xf>
    <xf numFmtId="165" fontId="2" fillId="2" borderId="0" xfId="0" applyNumberFormat="1" applyFont="1" applyFill="1" applyAlignment="1" applyProtection="1">
      <alignment horizontal="center" vertical="center"/>
      <protection locked="0"/>
    </xf>
    <xf numFmtId="165" fontId="2" fillId="2" borderId="1" xfId="0" applyNumberFormat="1" applyFont="1" applyFill="1" applyBorder="1" applyAlignment="1" applyProtection="1">
      <alignment horizontal="center" vertical="center"/>
      <protection locked="0"/>
    </xf>
    <xf numFmtId="14" fontId="9" fillId="0" borderId="2" xfId="0" applyNumberFormat="1" applyFont="1" applyBorder="1" applyAlignment="1" applyProtection="1">
      <alignment horizontal="center" vertical="center" wrapText="1"/>
      <protection locked="0"/>
    </xf>
    <xf numFmtId="0" fontId="2" fillId="18" borderId="1" xfId="0" applyFont="1" applyFill="1" applyBorder="1" applyAlignment="1" applyProtection="1">
      <alignment horizontal="center" vertical="center"/>
      <protection locked="0"/>
    </xf>
    <xf numFmtId="0" fontId="2" fillId="18" borderId="7" xfId="0" applyFont="1" applyFill="1" applyBorder="1" applyAlignment="1" applyProtection="1">
      <alignment horizontal="center" vertical="center"/>
      <protection locked="0"/>
    </xf>
    <xf numFmtId="49" fontId="10" fillId="4" borderId="7" xfId="0" applyNumberFormat="1" applyFont="1" applyFill="1" applyBorder="1" applyAlignment="1">
      <alignment horizontal="center" vertical="center" wrapText="1"/>
    </xf>
    <xf numFmtId="49" fontId="10" fillId="4" borderId="9" xfId="0" applyNumberFormat="1" applyFont="1" applyFill="1" applyBorder="1" applyAlignment="1">
      <alignment horizontal="center" vertical="center" wrapText="1"/>
    </xf>
    <xf numFmtId="49" fontId="10" fillId="4" borderId="4" xfId="0" applyNumberFormat="1" applyFont="1" applyFill="1" applyBorder="1" applyAlignment="1">
      <alignment horizontal="center" vertical="center" wrapText="1"/>
    </xf>
  </cellXfs>
  <cellStyles count="2">
    <cellStyle name="Normal" xfId="0" builtinId="0"/>
    <cellStyle name="Normal 9" xfId="1" xr:uid="{F357A292-51B1-4614-B9DB-971796991366}"/>
  </cellStyles>
  <dxfs count="28">
    <dxf>
      <font>
        <color theme="0" tint="-0.14996795556505021"/>
      </font>
    </dxf>
    <dxf>
      <font>
        <color theme="0"/>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font>
    </dxf>
    <dxf>
      <font>
        <color theme="0"/>
      </font>
    </dxf>
    <dxf>
      <font>
        <color theme="0"/>
      </font>
    </dxf>
    <dxf>
      <font>
        <color theme="0"/>
      </font>
    </dxf>
    <dxf>
      <font>
        <color theme="0"/>
      </font>
    </dxf>
    <dxf>
      <font>
        <color theme="0"/>
      </font>
    </dxf>
    <dxf>
      <font>
        <color theme="0" tint="-0.24994659260841701"/>
      </font>
    </dxf>
    <dxf>
      <fill>
        <patternFill>
          <bgColor rgb="FF92D050"/>
        </patternFill>
      </fill>
    </dxf>
    <dxf>
      <fill>
        <patternFill>
          <bgColor rgb="FFFFC000"/>
        </patternFill>
      </fill>
    </dxf>
    <dxf>
      <fill>
        <patternFill>
          <bgColor rgb="FFFFFFCC"/>
        </patternFill>
      </fill>
    </dxf>
    <dxf>
      <fill>
        <patternFill>
          <bgColor theme="5" tint="0.59996337778862885"/>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535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5353"/>
      <color rgb="FFFF7C80"/>
      <color rgb="FF66FFFF"/>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Victor Collins" id="{3A1DA3D1-B854-4654-9AE4-4736AAB918D8}" userId="S::vcollins@towercom.ie::9b7df04e-bf00-4496-a1a2-450069218ef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G42" dT="2024-06-11T10:52:30.29" personId="{3A1DA3D1-B854-4654-9AE4-4736AAB918D8}" id="{D5BDD428-53E4-4BBB-B096-6E653116DDA9}">
    <text>Cellnex</text>
  </threadedComment>
  <threadedComment ref="FC45" dT="2024-05-19T18:30:01.51" personId="{3A1DA3D1-B854-4654-9AE4-4736AAB918D8}" id="{C105DCE9-53AC-44A2-98D4-AFBB98676F81}">
    <text>2 operator tower solution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CCF38-2263-4A9D-B8E9-20CCD4C221D9}">
  <sheetPr codeName="Sheet2">
    <tabColor rgb="FF00B050"/>
  </sheetPr>
  <dimension ref="A1:MO50"/>
  <sheetViews>
    <sheetView showGridLines="0" tabSelected="1" zoomScale="70" zoomScaleNormal="70" workbookViewId="0">
      <pane xSplit="3" ySplit="5" topLeftCell="D6" activePane="bottomRight" state="frozen"/>
      <selection pane="topRight" activeCell="D1" sqref="D1"/>
      <selection pane="bottomLeft" activeCell="A5" sqref="A5"/>
      <selection pane="bottomRight" activeCell="M49" sqref="M49:P49"/>
    </sheetView>
  </sheetViews>
  <sheetFormatPr defaultColWidth="9.140625" defaultRowHeight="15" outlineLevelCol="2" x14ac:dyDescent="0.25"/>
  <cols>
    <col min="1" max="1" width="12.140625" style="3" customWidth="1"/>
    <col min="2" max="3" width="20.85546875" style="3" customWidth="1"/>
    <col min="4" max="4" width="20.85546875" style="4" customWidth="1"/>
    <col min="5" max="7" width="10.85546875" style="4" customWidth="1"/>
    <col min="8" max="8" width="9.140625" style="34" bestFit="1" customWidth="1"/>
    <col min="9" max="12" width="10.85546875" style="3" customWidth="1"/>
    <col min="13" max="13" width="20.140625" style="4" customWidth="1"/>
    <col min="14" max="14" width="10.85546875" style="4" customWidth="1"/>
    <col min="15" max="15" width="20.140625" style="4" customWidth="1"/>
    <col min="16" max="16" width="10.85546875" style="4" customWidth="1"/>
    <col min="17" max="17" width="18.85546875" style="4" customWidth="1"/>
    <col min="18" max="18" width="10.85546875" style="4" customWidth="1"/>
    <col min="19" max="19" width="12.5703125" style="4" customWidth="1"/>
    <col min="20" max="20" width="43.140625" style="4" customWidth="1"/>
    <col min="21" max="21" width="18.140625" style="3" customWidth="1"/>
    <col min="22" max="22" width="10.85546875" style="4" customWidth="1" outlineLevel="1"/>
    <col min="23" max="23" width="14.42578125" style="3" customWidth="1" outlineLevel="1"/>
    <col min="24" max="24" width="12.85546875" style="3" customWidth="1" outlineLevel="1"/>
    <col min="25" max="25" width="12.140625" style="3" customWidth="1" outlineLevel="1"/>
    <col min="26" max="26" width="15.140625" style="3" customWidth="1" outlineLevel="1"/>
    <col min="27" max="27" width="9.140625" style="3" customWidth="1" outlineLevel="1"/>
    <col min="28" max="28" width="14.85546875" style="3" customWidth="1" outlineLevel="1"/>
    <col min="29" max="29" width="12.85546875" style="3" customWidth="1" outlineLevel="1"/>
    <col min="30" max="30" width="14.140625" style="3" customWidth="1" outlineLevel="1"/>
    <col min="31" max="31" width="14.140625" style="55" customWidth="1" outlineLevel="1"/>
    <col min="32" max="32" width="12" style="3" customWidth="1" outlineLevel="1"/>
    <col min="33" max="34" width="10.85546875" style="24" customWidth="1" outlineLevel="1"/>
    <col min="35" max="36" width="14.85546875" style="3" customWidth="1" outlineLevel="1"/>
    <col min="37" max="38" width="14.85546875" style="24" customWidth="1" outlineLevel="1"/>
    <col min="39" max="39" width="12.85546875" style="24" customWidth="1" outlineLevel="1"/>
    <col min="40" max="40" width="19.85546875" style="17" customWidth="1" outlineLevel="1"/>
    <col min="41" max="43" width="9.140625" style="3" customWidth="1" outlineLevel="1"/>
    <col min="44" max="44" width="14.42578125" style="3" customWidth="1" outlineLevel="1"/>
    <col min="45" max="45" width="14" style="3" customWidth="1" outlineLevel="1"/>
    <col min="46" max="46" width="14.140625" style="24" customWidth="1" outlineLevel="1"/>
    <col min="47" max="47" width="10.42578125" style="3" customWidth="1" outlineLevel="1"/>
    <col min="48" max="48" width="12.5703125" style="3" customWidth="1" outlineLevel="1"/>
    <col min="49" max="49" width="21.85546875" style="3" customWidth="1" outlineLevel="1"/>
    <col min="50" max="51" width="10.85546875" style="24" customWidth="1" outlineLevel="1"/>
    <col min="52" max="52" width="12.85546875" style="24" customWidth="1" outlineLevel="1"/>
    <col min="53" max="55" width="14.85546875" style="3" customWidth="1" outlineLevel="1"/>
    <col min="56" max="56" width="16.140625" style="3" customWidth="1" outlineLevel="1"/>
    <col min="57" max="57" width="11.85546875" style="3" customWidth="1" outlineLevel="1"/>
    <col min="58" max="58" width="12.85546875" style="3" customWidth="1" outlineLevel="1"/>
    <col min="59" max="59" width="14.85546875" style="3" customWidth="1" outlineLevel="1"/>
    <col min="60" max="60" width="16.140625" style="3" customWidth="1" outlineLevel="1"/>
    <col min="61" max="61" width="10.140625" style="3" customWidth="1" outlineLevel="1"/>
    <col min="62" max="62" width="14.85546875" style="3" customWidth="1" outlineLevel="1"/>
    <col min="63" max="63" width="10.140625" style="29" customWidth="1" outlineLevel="1"/>
    <col min="64" max="64" width="10.140625" style="3" customWidth="1" outlineLevel="1"/>
    <col min="65" max="65" width="10.5703125" style="3" customWidth="1" outlineLevel="1"/>
    <col min="66" max="66" width="11.42578125" style="3" customWidth="1" outlineLevel="1"/>
    <col min="67" max="68" width="10.42578125" style="3" customWidth="1" outlineLevel="1"/>
    <col min="69" max="69" width="11" style="3" customWidth="1" outlineLevel="1"/>
    <col min="70" max="70" width="10.42578125" style="3" customWidth="1" outlineLevel="1"/>
    <col min="71" max="71" width="9.140625" style="3" customWidth="1" outlineLevel="1"/>
    <col min="72" max="72" width="16.140625" style="3" customWidth="1"/>
    <col min="73" max="74" width="10.42578125" style="3" customWidth="1" outlineLevel="1"/>
    <col min="75" max="75" width="16.85546875" style="47" customWidth="1"/>
    <col min="76" max="76" width="10.42578125" style="3" customWidth="1" outlineLevel="1"/>
    <col min="77" max="77" width="9.85546875" style="3" customWidth="1"/>
    <col min="78" max="79" width="13.42578125" style="3" customWidth="1"/>
    <col min="80" max="80" width="14.140625" style="3" customWidth="1"/>
    <col min="81" max="81" width="9.140625" style="3" customWidth="1"/>
    <col min="82" max="82" width="15.5703125" style="4" bestFit="1" customWidth="1" collapsed="1"/>
    <col min="83" max="83" width="19" style="3" customWidth="1" collapsed="1"/>
    <col min="84" max="84" width="12.85546875" style="3" customWidth="1" outlineLevel="1"/>
    <col min="85" max="85" width="17.85546875" style="3" customWidth="1" outlineLevel="1"/>
    <col min="86" max="86" width="12.85546875" style="3" customWidth="1" outlineLevel="1"/>
    <col min="87" max="87" width="12.85546875" style="51" customWidth="1" outlineLevel="1"/>
    <col min="88" max="89" width="12.85546875" style="3" customWidth="1" outlineLevel="1"/>
    <col min="90" max="90" width="12.85546875" style="26" customWidth="1" outlineLevel="1"/>
    <col min="91" max="94" width="12.85546875" style="3" customWidth="1" outlineLevel="1"/>
    <col min="95" max="95" width="40.85546875" style="17" customWidth="1" outlineLevel="1"/>
    <col min="96" max="96" width="9.140625" style="3" customWidth="1"/>
    <col min="97" max="97" width="105.85546875" style="3" customWidth="1"/>
    <col min="98" max="102" width="12.85546875" style="3" customWidth="1" outlineLevel="1"/>
    <col min="103" max="105" width="14.85546875" style="3" customWidth="1" outlineLevel="1"/>
    <col min="106" max="106" width="16.85546875" style="3" customWidth="1" outlineLevel="1"/>
    <col min="107" max="107" width="14.85546875" style="3" customWidth="1" outlineLevel="1"/>
    <col min="108" max="109" width="12.85546875" style="3" customWidth="1" outlineLevel="1"/>
    <col min="110" max="110" width="16.85546875" style="3" customWidth="1" outlineLevel="1"/>
    <col min="111" max="111" width="25.85546875" style="3" customWidth="1" outlineLevel="1"/>
    <col min="112" max="112" width="9.140625" style="3" customWidth="1" outlineLevel="1"/>
    <col min="113" max="114" width="14.85546875" style="3" customWidth="1" outlineLevel="1"/>
    <col min="115" max="118" width="12.85546875" style="3" customWidth="1" outlineLevel="1"/>
    <col min="119" max="128" width="14.85546875" style="3" customWidth="1" outlineLevel="1"/>
    <col min="129" max="130" width="16.85546875" style="3" customWidth="1" outlineLevel="1"/>
    <col min="131" max="132" width="14.85546875" style="3" customWidth="1" outlineLevel="1"/>
    <col min="133" max="136" width="12.85546875" style="3" customWidth="1" outlineLevel="1"/>
    <col min="137" max="137" width="16.85546875" style="3" customWidth="1" outlineLevel="1"/>
    <col min="138" max="138" width="9.140625" style="3" customWidth="1" outlineLevel="1"/>
    <col min="139" max="141" width="12.85546875" style="3" customWidth="1" outlineLevel="1"/>
    <col min="142" max="142" width="37.85546875" style="3" customWidth="1" outlineLevel="1"/>
    <col min="143" max="143" width="15.85546875" style="3" customWidth="1"/>
    <col min="144" max="144" width="12.140625" style="3" customWidth="1"/>
    <col min="145" max="145" width="11.42578125" style="3" customWidth="1" outlineLevel="1"/>
    <col min="146" max="146" width="12.5703125" style="24" customWidth="1" outlineLevel="1"/>
    <col min="147" max="147" width="14.140625" style="24" customWidth="1" outlineLevel="1"/>
    <col min="148" max="148" width="12.85546875" style="24" customWidth="1" outlineLevel="1"/>
    <col min="149" max="149" width="14.5703125" style="24" customWidth="1" outlineLevel="1"/>
    <col min="150" max="150" width="12.140625" style="24" customWidth="1" outlineLevel="1"/>
    <col min="151" max="154" width="10" style="24" customWidth="1" outlineLevel="1"/>
    <col min="155" max="155" width="11.85546875" style="3" customWidth="1" outlineLevel="1"/>
    <col min="156" max="156" width="12" style="3" customWidth="1" outlineLevel="1"/>
    <col min="157" max="159" width="10.140625" style="3" customWidth="1" outlineLevel="1"/>
    <col min="160" max="160" width="13.85546875" style="3" customWidth="1" outlineLevel="1"/>
    <col min="161" max="161" width="11.140625" style="3" customWidth="1" outlineLevel="1"/>
    <col min="162" max="162" width="18.140625" style="4" customWidth="1"/>
    <col min="163" max="163" width="15.140625" style="3" customWidth="1"/>
    <col min="164" max="164" width="13.5703125" style="4" customWidth="1"/>
    <col min="165" max="165" width="15.140625" style="3" customWidth="1"/>
    <col min="166" max="167" width="13.42578125" style="3" bestFit="1" customWidth="1"/>
    <col min="168" max="168" width="9.140625" style="3" customWidth="1" outlineLevel="1"/>
    <col min="169" max="169" width="9.140625" style="3" customWidth="1" outlineLevel="2"/>
    <col min="170" max="170" width="14.85546875" style="3" customWidth="1" outlineLevel="2"/>
    <col min="171" max="171" width="9.140625" style="3" hidden="1" customWidth="1" outlineLevel="1"/>
    <col min="172" max="173" width="14.85546875" style="3" hidden="1" customWidth="1" outlineLevel="1"/>
    <col min="174" max="174" width="10.85546875" style="3" hidden="1" customWidth="1" outlineLevel="2"/>
    <col min="175" max="175" width="12.85546875" style="3" hidden="1" customWidth="1" outlineLevel="2"/>
    <col min="176" max="177" width="10.85546875" style="3" hidden="1" customWidth="1" outlineLevel="2"/>
    <col min="178" max="178" width="9.140625" style="3" hidden="1" customWidth="1" outlineLevel="1" collapsed="1"/>
    <col min="179" max="179" width="12.85546875" style="3" hidden="1" customWidth="1" outlineLevel="1"/>
    <col min="180" max="182" width="12.85546875" style="3" hidden="1" customWidth="1" outlineLevel="2"/>
    <col min="183" max="183" width="14.85546875" style="3" hidden="1" customWidth="1" outlineLevel="2"/>
    <col min="184" max="184" width="10.85546875" style="3" hidden="1" customWidth="1" outlineLevel="2"/>
    <col min="185" max="185" width="14.85546875" style="3" hidden="1" customWidth="1" outlineLevel="2"/>
    <col min="186" max="186" width="10.85546875" style="3" hidden="1" customWidth="1" outlineLevel="2"/>
    <col min="187" max="190" width="14.85546875" style="3" hidden="1" customWidth="1" outlineLevel="2"/>
    <col min="191" max="191" width="9.140625" style="3" hidden="1" customWidth="1" outlineLevel="1" collapsed="1"/>
    <col min="192" max="192" width="12.85546875" style="24" hidden="1" customWidth="1" outlineLevel="1"/>
    <col min="193" max="195" width="12.85546875" style="24" hidden="1" customWidth="1" outlineLevel="2"/>
    <col min="196" max="197" width="12.85546875" style="55" hidden="1" customWidth="1" outlineLevel="2"/>
    <col min="198" max="198" width="14.85546875" style="24" hidden="1" customWidth="1" outlineLevel="2"/>
    <col min="199" max="199" width="10.85546875" style="24" hidden="1" customWidth="1" outlineLevel="2"/>
    <col min="200" max="201" width="14.85546875" style="24" hidden="1" customWidth="1" outlineLevel="2"/>
    <col min="202" max="203" width="12.85546875" style="24" hidden="1" customWidth="1" outlineLevel="2"/>
    <col min="204" max="204" width="30.85546875" style="32" hidden="1" customWidth="1" outlineLevel="2"/>
    <col min="205" max="205" width="14.85546875" style="24" hidden="1" customWidth="1" outlineLevel="2"/>
    <col min="206" max="206" width="12.85546875" style="24" hidden="1" customWidth="1" outlineLevel="2"/>
    <col min="207" max="207" width="14.85546875" style="24" hidden="1" customWidth="1" outlineLevel="2"/>
    <col min="208" max="208" width="12.85546875" style="24" hidden="1" customWidth="1" outlineLevel="2"/>
    <col min="209" max="209" width="14.42578125" style="3" customWidth="1" outlineLevel="2"/>
    <col min="210" max="212" width="10.85546875" style="3" hidden="1" customWidth="1" outlineLevel="2"/>
    <col min="213" max="213" width="12.85546875" style="3" customWidth="1" outlineLevel="2"/>
    <col min="214" max="214" width="12.85546875" style="3" hidden="1" customWidth="1" outlineLevel="2"/>
    <col min="215" max="215" width="14.85546875" style="3" customWidth="1" outlineLevel="2"/>
    <col min="216" max="216" width="9.5703125" style="3" hidden="1" customWidth="1" outlineLevel="2"/>
    <col min="217" max="217" width="9.140625" style="3" hidden="1" customWidth="1" outlineLevel="2"/>
    <col min="218" max="218" width="13.140625" style="24" hidden="1" customWidth="1" outlineLevel="2"/>
    <col min="219" max="219" width="10.85546875" style="3" hidden="1" customWidth="1" outlineLevel="2"/>
    <col min="220" max="220" width="9.5703125" style="3" hidden="1" customWidth="1" outlineLevel="2"/>
    <col min="221" max="221" width="13.140625" style="3" customWidth="1" outlineLevel="2"/>
    <col min="222" max="222" width="10.85546875" style="29" hidden="1" customWidth="1" outlineLevel="2"/>
    <col min="223" max="223" width="10.85546875" style="3" hidden="1" customWidth="1" outlineLevel="2"/>
    <col min="224" max="224" width="35.85546875" style="3" hidden="1" customWidth="1" outlineLevel="2"/>
    <col min="225" max="225" width="9.140625" style="3" hidden="1" customWidth="1" outlineLevel="1"/>
    <col min="226" max="226" width="10.85546875" style="3" hidden="1" customWidth="1" outlineLevel="1"/>
    <col min="227" max="227" width="9.5703125" style="3" hidden="1" customWidth="1" outlineLevel="2"/>
    <col min="228" max="228" width="10.85546875" style="3" hidden="1" customWidth="1" outlineLevel="2"/>
    <col min="229" max="229" width="9.5703125" style="3" hidden="1" customWidth="1" outlineLevel="2"/>
    <col min="230" max="231" width="12.85546875" style="3" hidden="1" customWidth="1" outlineLevel="2"/>
    <col min="232" max="232" width="10.85546875" style="3" hidden="1" customWidth="1" outlineLevel="2"/>
    <col min="233" max="233" width="14.85546875" style="3" hidden="1" customWidth="1" outlineLevel="2"/>
    <col min="234" max="234" width="9.5703125" style="3" hidden="1" customWidth="1" outlineLevel="2"/>
    <col min="235" max="235" width="9.140625" style="3" hidden="1" customWidth="1" outlineLevel="2"/>
    <col min="236" max="236" width="12.85546875" style="3" customWidth="1" outlineLevel="2"/>
    <col min="237" max="245" width="12.85546875" style="3" hidden="1" customWidth="1" outlineLevel="2"/>
    <col min="246" max="247" width="12.85546875" style="43" hidden="1" customWidth="1" outlineLevel="2"/>
    <col min="248" max="248" width="22" style="3" hidden="1" customWidth="1" outlineLevel="2"/>
    <col min="249" max="249" width="9.140625" style="3" hidden="1" customWidth="1" outlineLevel="1"/>
    <col min="250" max="250" width="12.85546875" style="3" customWidth="1" outlineLevel="1"/>
    <col min="251" max="251" width="9.5703125" style="3" hidden="1" customWidth="1" outlineLevel="1"/>
    <col min="252" max="255" width="12.85546875" style="3" hidden="1" customWidth="1" outlineLevel="1"/>
    <col min="256" max="257" width="14.85546875" style="3" hidden="1" customWidth="1" outlineLevel="1"/>
    <col min="258" max="258" width="10.85546875" style="3" hidden="1" customWidth="1" outlineLevel="1"/>
    <col min="259" max="261" width="12.85546875" style="3" hidden="1" customWidth="1" outlineLevel="1"/>
    <col min="262" max="265" width="10.85546875" style="3" hidden="1" customWidth="1" outlineLevel="1"/>
    <col min="266" max="267" width="12.85546875" style="3" hidden="1" customWidth="1" outlineLevel="1"/>
    <col min="268" max="268" width="12.85546875" style="3" customWidth="1" outlineLevel="1"/>
    <col min="269" max="269" width="16.140625" style="3" customWidth="1"/>
    <col min="270" max="270" width="12.85546875" style="3" customWidth="1"/>
    <col min="271" max="271" width="10.140625" style="3" customWidth="1"/>
    <col min="272" max="272" width="16.85546875" style="3" customWidth="1"/>
    <col min="273" max="273" width="17.5703125" style="3" customWidth="1" outlineLevel="1"/>
    <col min="274" max="274" width="12.85546875" style="3" customWidth="1" outlineLevel="1"/>
    <col min="275" max="275" width="12.85546875" style="4" customWidth="1" outlineLevel="1"/>
    <col min="276" max="276" width="17" style="3" customWidth="1" outlineLevel="1"/>
    <col min="277" max="277" width="12.85546875" style="3" customWidth="1" outlineLevel="1"/>
    <col min="278" max="278" width="9.140625" style="3" customWidth="1" outlineLevel="1"/>
    <col min="279" max="279" width="12.85546875" style="3" customWidth="1" outlineLevel="1"/>
    <col min="280" max="281" width="10.85546875" style="3" customWidth="1" outlineLevel="1"/>
    <col min="282" max="282" width="16.140625" style="3" customWidth="1" outlineLevel="1"/>
    <col min="283" max="283" width="17.5703125" style="3" customWidth="1" outlineLevel="1"/>
    <col min="284" max="284" width="10.85546875" style="3" customWidth="1" outlineLevel="1"/>
    <col min="285" max="285" width="9.140625" style="3" customWidth="1" outlineLevel="1"/>
    <col min="286" max="286" width="10.85546875" style="3" customWidth="1" outlineLevel="1"/>
    <col min="287" max="287" width="12.85546875" style="3" customWidth="1" outlineLevel="1"/>
    <col min="288" max="288" width="10.85546875" style="3" customWidth="1" outlineLevel="1"/>
    <col min="289" max="289" width="9.140625" style="3" customWidth="1" outlineLevel="1"/>
    <col min="290" max="290" width="10.85546875" style="3" customWidth="1" outlineLevel="1"/>
    <col min="291" max="291" width="20.85546875" style="3" customWidth="1" outlineLevel="1"/>
    <col min="292" max="292" width="9.140625" style="3" customWidth="1"/>
    <col min="293" max="293" width="13.140625" style="4" customWidth="1"/>
    <col min="294" max="294" width="8.85546875" style="3" customWidth="1"/>
    <col min="295" max="295" width="9.140625" style="24"/>
    <col min="296" max="296" width="9.140625" style="43"/>
    <col min="297" max="297" width="9.140625" style="4"/>
    <col min="298" max="298" width="10.85546875" style="4" customWidth="1"/>
    <col min="299" max="299" width="11.85546875" style="4" customWidth="1"/>
    <col min="300" max="300" width="13.140625" style="4" customWidth="1"/>
    <col min="301" max="301" width="9.140625" style="4"/>
    <col min="302" max="302" width="16.42578125" style="4" customWidth="1"/>
    <col min="303" max="303" width="17" style="4" customWidth="1"/>
    <col min="304" max="304" width="46.140625" style="4" bestFit="1" customWidth="1"/>
    <col min="305" max="306" width="9.140625" style="4"/>
    <col min="307" max="307" width="19.140625" style="4" bestFit="1" customWidth="1"/>
    <col min="308" max="308" width="9.140625" style="4"/>
    <col min="309" max="309" width="19" style="4" bestFit="1" customWidth="1"/>
    <col min="310" max="310" width="9.140625" style="4"/>
    <col min="311" max="312" width="9.140625" style="3"/>
    <col min="313" max="316" width="9.140625" style="4" bestFit="1" customWidth="1"/>
    <col min="317" max="320" width="9.140625" style="3"/>
    <col min="321" max="321" width="9.140625" style="3" bestFit="1" customWidth="1"/>
    <col min="322" max="326" width="9.140625" style="3"/>
    <col min="327" max="328" width="9.140625" style="3" bestFit="1" customWidth="1"/>
    <col min="329" max="16384" width="9.140625" style="3"/>
  </cols>
  <sheetData>
    <row r="1" spans="1:353" s="1" customFormat="1" ht="47.25" customHeight="1" x14ac:dyDescent="0.25">
      <c r="A1" s="1" t="s">
        <v>10</v>
      </c>
      <c r="B1" s="1" t="s">
        <v>11</v>
      </c>
      <c r="D1" s="2"/>
      <c r="E1" s="2"/>
      <c r="F1" s="2"/>
      <c r="G1" s="2"/>
      <c r="H1" s="2"/>
      <c r="M1" s="2"/>
      <c r="N1" s="2"/>
      <c r="O1" s="2"/>
      <c r="P1" s="2"/>
      <c r="Q1" s="2"/>
      <c r="R1" s="2"/>
      <c r="S1" s="2"/>
      <c r="T1" s="2"/>
      <c r="V1" s="2"/>
      <c r="AE1" s="28"/>
      <c r="AG1" s="21"/>
      <c r="AH1" s="21"/>
      <c r="AK1" s="21"/>
      <c r="AL1" s="21"/>
      <c r="AM1" s="21"/>
      <c r="AN1" s="21"/>
      <c r="AT1" s="21"/>
      <c r="AX1" s="21"/>
      <c r="AY1" s="21"/>
      <c r="AZ1" s="21"/>
      <c r="BK1" s="27"/>
      <c r="CD1" s="2"/>
      <c r="CI1" s="50"/>
      <c r="CL1" s="25"/>
      <c r="CQ1" s="16"/>
      <c r="EP1" s="21"/>
      <c r="EQ1" s="21"/>
      <c r="ER1" s="21"/>
      <c r="ES1" s="21"/>
      <c r="ET1" s="21"/>
      <c r="EU1" s="21"/>
      <c r="EV1" s="21"/>
      <c r="EW1" s="21"/>
      <c r="EX1" s="21"/>
      <c r="FF1" s="2"/>
      <c r="FH1" s="2"/>
      <c r="FJ1" s="1" t="s">
        <v>12</v>
      </c>
      <c r="GJ1" s="21"/>
      <c r="GK1" s="21"/>
      <c r="GL1" s="21"/>
      <c r="GM1" s="21"/>
      <c r="GN1" s="28"/>
      <c r="GO1" s="28"/>
      <c r="GP1" s="21"/>
      <c r="GQ1" s="21"/>
      <c r="GR1" s="21"/>
      <c r="GS1" s="21"/>
      <c r="GT1" s="21"/>
      <c r="GU1" s="21"/>
      <c r="GV1" s="31"/>
      <c r="GW1" s="21"/>
      <c r="GX1" s="21"/>
      <c r="GY1" s="21"/>
      <c r="GZ1" s="21"/>
      <c r="HJ1" s="21"/>
      <c r="HN1" s="27"/>
      <c r="IL1" s="42"/>
      <c r="IM1" s="42"/>
      <c r="JO1" s="2"/>
      <c r="KG1" s="2"/>
      <c r="KI1" s="21"/>
      <c r="KJ1" s="42"/>
      <c r="KK1" s="2"/>
      <c r="KL1" s="2"/>
      <c r="KM1" s="2"/>
      <c r="KN1" s="2"/>
      <c r="KO1" s="2"/>
      <c r="KP1" s="2"/>
      <c r="KQ1" s="2"/>
      <c r="KR1" s="2"/>
      <c r="KS1" s="2"/>
      <c r="KT1" s="2"/>
      <c r="KU1" s="2"/>
      <c r="KV1" s="2"/>
      <c r="KW1" s="2"/>
      <c r="KX1" s="2"/>
      <c r="LA1" s="2"/>
      <c r="LB1" s="2"/>
      <c r="LC1" s="2"/>
      <c r="LD1" s="2"/>
    </row>
    <row r="2" spans="1:353" s="1" customFormat="1" ht="25.5" customHeight="1" x14ac:dyDescent="0.25">
      <c r="A2" s="1" t="s">
        <v>13</v>
      </c>
      <c r="B2" s="1" t="s">
        <v>0</v>
      </c>
      <c r="D2" s="2"/>
      <c r="E2" s="2"/>
      <c r="F2" s="2"/>
      <c r="G2" s="2"/>
      <c r="H2" s="2"/>
      <c r="M2" s="2"/>
      <c r="N2" s="2"/>
      <c r="O2" s="2"/>
      <c r="P2" s="2"/>
      <c r="Q2" s="2"/>
      <c r="R2" s="2"/>
      <c r="S2" s="2"/>
      <c r="T2" s="2"/>
      <c r="U2" s="1" t="s">
        <v>14</v>
      </c>
      <c r="V2" s="2"/>
      <c r="AE2" s="28"/>
      <c r="AG2" s="21"/>
      <c r="AH2" s="21"/>
      <c r="AK2" s="21"/>
      <c r="AL2" s="21"/>
      <c r="AM2" s="21"/>
      <c r="AN2" s="21"/>
      <c r="AS2" s="9"/>
      <c r="AT2" s="21"/>
      <c r="AX2" s="21"/>
      <c r="AY2" s="21"/>
      <c r="AZ2" s="21"/>
      <c r="BD2" s="2"/>
      <c r="BK2" s="27"/>
      <c r="CD2" s="2"/>
      <c r="CI2" s="50"/>
      <c r="CL2" s="25"/>
      <c r="CQ2" s="16"/>
      <c r="CS2" s="1" t="s">
        <v>15</v>
      </c>
      <c r="EN2" s="1" t="s">
        <v>1</v>
      </c>
      <c r="EP2" s="21"/>
      <c r="EQ2" s="21"/>
      <c r="ER2" s="21"/>
      <c r="ES2" s="21"/>
      <c r="ET2" s="21"/>
      <c r="EU2" s="21"/>
      <c r="EV2" s="21"/>
      <c r="EW2" s="21"/>
      <c r="EX2" s="21"/>
      <c r="FF2" s="2"/>
      <c r="FH2" s="2"/>
      <c r="FJ2" s="1" t="s">
        <v>2</v>
      </c>
      <c r="FP2" s="1" t="s">
        <v>3</v>
      </c>
      <c r="FW2" s="1" t="s">
        <v>16</v>
      </c>
      <c r="GJ2" s="21" t="s">
        <v>4</v>
      </c>
      <c r="GK2" s="21"/>
      <c r="GL2" s="21"/>
      <c r="GM2" s="21"/>
      <c r="GN2" s="28"/>
      <c r="GO2" s="28"/>
      <c r="GP2" s="21"/>
      <c r="GQ2" s="21"/>
      <c r="GR2" s="21"/>
      <c r="GS2" s="21"/>
      <c r="GT2" s="21"/>
      <c r="GU2" s="21"/>
      <c r="GV2" s="31"/>
      <c r="GW2" s="21"/>
      <c r="GX2" s="21"/>
      <c r="GY2" s="21"/>
      <c r="GZ2" s="21"/>
      <c r="HG2" s="27"/>
      <c r="HJ2" s="21"/>
      <c r="HM2" s="27"/>
      <c r="HN2" s="27"/>
      <c r="HR2" s="1" t="s">
        <v>5</v>
      </c>
      <c r="IB2" s="1" t="s">
        <v>6</v>
      </c>
      <c r="IL2" s="42"/>
      <c r="IM2" s="42"/>
      <c r="IP2" s="1" t="s">
        <v>7</v>
      </c>
      <c r="JL2" s="1" t="s">
        <v>17</v>
      </c>
      <c r="JO2" s="2"/>
      <c r="JS2" s="1" t="s">
        <v>8</v>
      </c>
      <c r="JZ2" s="1" t="s">
        <v>9</v>
      </c>
      <c r="KG2" s="52" t="s">
        <v>18</v>
      </c>
      <c r="KI2" s="21"/>
      <c r="KJ2" s="2" t="s">
        <v>494</v>
      </c>
      <c r="KK2" s="2"/>
      <c r="KL2" s="2"/>
      <c r="KM2" s="2"/>
      <c r="KN2" s="2"/>
      <c r="KO2" s="2"/>
      <c r="KP2" s="2"/>
      <c r="KQ2" s="2"/>
      <c r="KR2" s="2"/>
      <c r="KS2" s="2"/>
      <c r="KT2" s="2"/>
      <c r="KU2" s="2"/>
      <c r="KV2" s="2"/>
      <c r="KW2" s="2"/>
      <c r="KX2" s="2"/>
      <c r="LA2" s="2"/>
      <c r="LB2" s="2"/>
      <c r="LC2" s="2"/>
      <c r="LD2" s="2"/>
    </row>
    <row r="3" spans="1:353" s="1" customFormat="1" ht="37.5" customHeight="1" x14ac:dyDescent="0.25">
      <c r="A3" s="1" t="s">
        <v>20</v>
      </c>
      <c r="B3" s="9"/>
      <c r="C3" s="9"/>
      <c r="D3" s="9"/>
      <c r="E3" s="2"/>
      <c r="F3" s="2"/>
      <c r="G3" s="2"/>
      <c r="H3" s="2"/>
      <c r="I3" s="9"/>
      <c r="J3" s="9"/>
      <c r="K3" s="9"/>
      <c r="L3" s="9"/>
      <c r="M3" s="2"/>
      <c r="N3" s="2"/>
      <c r="O3" s="2"/>
      <c r="P3" s="2"/>
      <c r="Q3" s="9"/>
      <c r="R3" s="9"/>
      <c r="S3" s="9"/>
      <c r="T3" s="9"/>
      <c r="V3" s="2"/>
      <c r="W3" s="1" t="s">
        <v>21</v>
      </c>
      <c r="X3" s="2"/>
      <c r="AE3" s="28"/>
      <c r="AG3" s="21"/>
      <c r="AH3" s="21"/>
      <c r="AK3" s="21"/>
      <c r="AL3" s="21"/>
      <c r="AM3" s="21"/>
      <c r="AN3" s="16"/>
      <c r="AS3" s="2" t="s">
        <v>21</v>
      </c>
      <c r="AT3" s="21"/>
      <c r="AX3" s="21"/>
      <c r="AY3" s="21"/>
      <c r="AZ3" s="21"/>
      <c r="BD3" s="2"/>
      <c r="BE3" s="2" t="s">
        <v>21</v>
      </c>
      <c r="BH3" s="2"/>
      <c r="BI3" s="2" t="s">
        <v>21</v>
      </c>
      <c r="BK3" s="27"/>
      <c r="BP3" s="2"/>
      <c r="BQ3" s="2"/>
      <c r="BR3" s="2" t="s">
        <v>21</v>
      </c>
      <c r="BS3" s="2"/>
      <c r="BT3" s="2"/>
      <c r="BU3" s="2"/>
      <c r="BV3" s="2" t="s">
        <v>21</v>
      </c>
      <c r="BW3" s="2"/>
      <c r="BX3" s="2"/>
      <c r="CD3" s="2"/>
      <c r="CI3" s="50"/>
      <c r="CL3" s="25"/>
      <c r="CQ3" s="16"/>
      <c r="EP3" s="21"/>
      <c r="EQ3" s="21"/>
      <c r="ER3" s="21"/>
      <c r="ES3" s="21"/>
      <c r="ET3" s="21"/>
      <c r="EU3" s="21"/>
      <c r="EV3" s="21"/>
      <c r="EW3" s="21"/>
      <c r="EX3" s="21"/>
      <c r="FF3" s="2"/>
      <c r="FH3" s="2"/>
      <c r="FJ3" s="2"/>
      <c r="FK3" s="2" t="s">
        <v>21</v>
      </c>
      <c r="FM3" s="146" t="s">
        <v>540</v>
      </c>
      <c r="GJ3" s="21"/>
      <c r="GK3" s="21"/>
      <c r="GL3" s="21"/>
      <c r="GM3" s="21"/>
      <c r="GN3" s="28"/>
      <c r="GO3" s="28"/>
      <c r="GP3" s="21"/>
      <c r="GQ3" s="21"/>
      <c r="GR3" s="21"/>
      <c r="GS3" s="21"/>
      <c r="GT3" s="21"/>
      <c r="GU3" s="21"/>
      <c r="GV3" s="31"/>
      <c r="GW3" s="21"/>
      <c r="GX3" s="21"/>
      <c r="GY3" s="21"/>
      <c r="GZ3" s="21"/>
      <c r="HA3" s="2" t="s">
        <v>21</v>
      </c>
      <c r="HB3" s="2" t="s">
        <v>21</v>
      </c>
      <c r="HE3" s="2" t="s">
        <v>21</v>
      </c>
      <c r="HF3" s="2" t="s">
        <v>21</v>
      </c>
      <c r="HG3" s="2"/>
      <c r="HH3" s="2" t="s">
        <v>21</v>
      </c>
      <c r="HJ3" s="21"/>
      <c r="HM3" s="2" t="s">
        <v>21</v>
      </c>
      <c r="HN3" s="28"/>
      <c r="HO3" s="2" t="s">
        <v>21</v>
      </c>
      <c r="IL3" s="42"/>
      <c r="IM3" s="42"/>
      <c r="IN3" s="16" t="s">
        <v>22</v>
      </c>
      <c r="JH3" s="1" t="s">
        <v>21</v>
      </c>
      <c r="JJ3" s="2" t="s">
        <v>21</v>
      </c>
      <c r="JO3" s="2"/>
      <c r="KG3" s="9" t="s">
        <v>23</v>
      </c>
      <c r="KI3" s="21"/>
      <c r="KJ3" s="42"/>
      <c r="KK3" s="2"/>
      <c r="KL3" s="2"/>
      <c r="KM3" s="2"/>
      <c r="KN3" s="2"/>
      <c r="KO3" s="2"/>
      <c r="KP3" s="2"/>
      <c r="KQ3" s="2"/>
      <c r="KR3" s="2"/>
      <c r="KS3" s="2"/>
      <c r="KT3" s="2"/>
      <c r="KU3" s="2"/>
      <c r="KV3" s="2"/>
      <c r="KW3" s="2"/>
      <c r="KX3" s="2"/>
      <c r="LA3" s="2"/>
      <c r="LB3" s="2"/>
      <c r="LC3" s="2"/>
      <c r="LD3" s="2"/>
    </row>
    <row r="4" spans="1:353" s="2" customFormat="1" ht="27.75" customHeight="1" x14ac:dyDescent="0.25">
      <c r="A4" s="50" t="s">
        <v>410</v>
      </c>
      <c r="B4" s="2" t="s">
        <v>411</v>
      </c>
      <c r="C4" s="2" t="s">
        <v>411</v>
      </c>
      <c r="D4" s="2" t="s">
        <v>411</v>
      </c>
      <c r="E4" s="2" t="s">
        <v>411</v>
      </c>
      <c r="F4" s="2" t="s">
        <v>411</v>
      </c>
      <c r="G4" s="2" t="s">
        <v>496</v>
      </c>
      <c r="I4" s="2" t="s">
        <v>412</v>
      </c>
      <c r="J4" s="2" t="s">
        <v>412</v>
      </c>
      <c r="K4" s="2" t="s">
        <v>412</v>
      </c>
      <c r="L4" s="2" t="s">
        <v>412</v>
      </c>
      <c r="M4" s="2" t="s">
        <v>412</v>
      </c>
      <c r="N4" s="2" t="s">
        <v>412</v>
      </c>
      <c r="O4" s="2" t="s">
        <v>412</v>
      </c>
      <c r="P4" s="2" t="s">
        <v>412</v>
      </c>
      <c r="Q4" s="2" t="s">
        <v>412</v>
      </c>
      <c r="R4" s="2" t="s">
        <v>412</v>
      </c>
      <c r="S4" s="2" t="s">
        <v>417</v>
      </c>
      <c r="U4" s="2" t="s">
        <v>241</v>
      </c>
      <c r="V4" s="2" t="s">
        <v>241</v>
      </c>
      <c r="W4" s="2" t="s">
        <v>412</v>
      </c>
      <c r="Y4" s="2" t="s">
        <v>412</v>
      </c>
      <c r="Z4" s="2" t="s">
        <v>415</v>
      </c>
      <c r="AA4" s="2" t="s">
        <v>241</v>
      </c>
      <c r="AB4" s="2" t="s">
        <v>241</v>
      </c>
      <c r="AC4" s="2" t="s">
        <v>241</v>
      </c>
      <c r="AD4" s="2" t="s">
        <v>241</v>
      </c>
      <c r="AE4" s="28" t="s">
        <v>415</v>
      </c>
      <c r="AF4" s="2" t="s">
        <v>241</v>
      </c>
      <c r="AG4" s="49" t="s">
        <v>412</v>
      </c>
      <c r="AH4" s="49" t="s">
        <v>412</v>
      </c>
      <c r="AI4" s="2" t="s">
        <v>241</v>
      </c>
      <c r="AJ4" s="2" t="s">
        <v>241</v>
      </c>
      <c r="AK4" s="42" t="s">
        <v>241</v>
      </c>
      <c r="AL4" s="42" t="s">
        <v>241</v>
      </c>
      <c r="AM4" s="42" t="s">
        <v>241</v>
      </c>
      <c r="AN4" s="9" t="s">
        <v>412</v>
      </c>
      <c r="AO4" s="146" t="s">
        <v>541</v>
      </c>
      <c r="AP4" s="2" t="s">
        <v>241</v>
      </c>
      <c r="AQ4" s="2" t="s">
        <v>241</v>
      </c>
      <c r="AR4" s="2" t="s">
        <v>241</v>
      </c>
      <c r="AS4" s="2" t="s">
        <v>241</v>
      </c>
      <c r="AT4" s="42" t="s">
        <v>241</v>
      </c>
      <c r="AU4" s="2" t="s">
        <v>241</v>
      </c>
      <c r="AV4" s="2" t="s">
        <v>241</v>
      </c>
      <c r="AW4" s="2" t="s">
        <v>241</v>
      </c>
      <c r="AX4" s="42" t="s">
        <v>241</v>
      </c>
      <c r="AY4" s="42" t="s">
        <v>241</v>
      </c>
      <c r="AZ4" s="42" t="s">
        <v>241</v>
      </c>
      <c r="BA4" s="2" t="s">
        <v>241</v>
      </c>
      <c r="BB4" s="2" t="s">
        <v>241</v>
      </c>
      <c r="BC4" s="2" t="s">
        <v>241</v>
      </c>
      <c r="BE4" s="2" t="s">
        <v>241</v>
      </c>
      <c r="BF4" s="2" t="s">
        <v>241</v>
      </c>
      <c r="BG4" s="2" t="s">
        <v>241</v>
      </c>
      <c r="BI4" s="2" t="s">
        <v>241</v>
      </c>
      <c r="BJ4" s="2" t="s">
        <v>241</v>
      </c>
      <c r="BK4" s="28" t="s">
        <v>241</v>
      </c>
      <c r="BL4" s="2" t="s">
        <v>241</v>
      </c>
      <c r="BM4" s="2" t="s">
        <v>241</v>
      </c>
      <c r="BN4" s="2" t="s">
        <v>241</v>
      </c>
      <c r="BO4" s="2" t="s">
        <v>241</v>
      </c>
      <c r="BQ4" s="2" t="s">
        <v>241</v>
      </c>
      <c r="BR4" s="2" t="s">
        <v>241</v>
      </c>
      <c r="BS4" s="2" t="s">
        <v>241</v>
      </c>
      <c r="BU4" s="2" t="s">
        <v>241</v>
      </c>
      <c r="BV4" s="2" t="s">
        <v>241</v>
      </c>
      <c r="BW4" s="2" t="s">
        <v>241</v>
      </c>
      <c r="BX4" s="2" t="s">
        <v>412</v>
      </c>
      <c r="BY4" s="2" t="s">
        <v>241</v>
      </c>
      <c r="BZ4" s="2" t="s">
        <v>412</v>
      </c>
      <c r="CA4" s="2" t="s">
        <v>412</v>
      </c>
      <c r="CB4" s="2" t="s">
        <v>412</v>
      </c>
      <c r="CC4" s="2" t="s">
        <v>412</v>
      </c>
      <c r="CD4" s="2" t="s">
        <v>412</v>
      </c>
      <c r="CE4" s="2" t="s">
        <v>411</v>
      </c>
      <c r="CF4" s="2" t="s">
        <v>412</v>
      </c>
      <c r="CG4" s="2" t="s">
        <v>412</v>
      </c>
      <c r="CH4" s="2" t="s">
        <v>412</v>
      </c>
      <c r="CI4" s="2" t="s">
        <v>412</v>
      </c>
      <c r="CJ4" s="2" t="s">
        <v>412</v>
      </c>
      <c r="CK4" s="2" t="s">
        <v>412</v>
      </c>
      <c r="CL4" s="48" t="s">
        <v>412</v>
      </c>
      <c r="CM4" s="2" t="s">
        <v>412</v>
      </c>
      <c r="CN4" s="2" t="s">
        <v>412</v>
      </c>
      <c r="CO4" s="2" t="s">
        <v>412</v>
      </c>
      <c r="CP4" s="2" t="s">
        <v>412</v>
      </c>
      <c r="CQ4" s="9" t="s">
        <v>412</v>
      </c>
      <c r="CS4" s="2" t="s">
        <v>412</v>
      </c>
      <c r="CT4" s="2" t="s">
        <v>412</v>
      </c>
      <c r="CU4" s="2" t="s">
        <v>412</v>
      </c>
      <c r="CV4" s="2" t="s">
        <v>412</v>
      </c>
      <c r="CW4" s="2" t="s">
        <v>412</v>
      </c>
      <c r="CX4" s="2" t="s">
        <v>412</v>
      </c>
      <c r="CY4" s="2" t="s">
        <v>412</v>
      </c>
      <c r="CZ4" s="2" t="s">
        <v>412</v>
      </c>
      <c r="DA4" s="2" t="s">
        <v>412</v>
      </c>
      <c r="DB4" s="2" t="s">
        <v>412</v>
      </c>
      <c r="DC4" s="2" t="s">
        <v>412</v>
      </c>
      <c r="DD4" s="2" t="s">
        <v>412</v>
      </c>
      <c r="DE4" s="2" t="s">
        <v>412</v>
      </c>
      <c r="DF4" s="2" t="s">
        <v>412</v>
      </c>
      <c r="DG4" s="2" t="s">
        <v>412</v>
      </c>
      <c r="DI4" s="2" t="s">
        <v>241</v>
      </c>
      <c r="DJ4" s="2" t="s">
        <v>241</v>
      </c>
      <c r="DK4" s="2" t="s">
        <v>241</v>
      </c>
      <c r="DL4" s="2" t="s">
        <v>241</v>
      </c>
      <c r="DM4" s="2" t="s">
        <v>241</v>
      </c>
      <c r="DN4" s="2" t="s">
        <v>241</v>
      </c>
      <c r="DO4" s="2" t="s">
        <v>241</v>
      </c>
      <c r="DP4" s="2" t="s">
        <v>241</v>
      </c>
      <c r="DQ4" s="2" t="s">
        <v>241</v>
      </c>
      <c r="DR4" s="2" t="s">
        <v>241</v>
      </c>
      <c r="DS4" s="2" t="s">
        <v>241</v>
      </c>
      <c r="DT4" s="2" t="s">
        <v>241</v>
      </c>
      <c r="DU4" s="2" t="s">
        <v>241</v>
      </c>
      <c r="DV4" s="2" t="s">
        <v>241</v>
      </c>
      <c r="DW4" s="2" t="s">
        <v>241</v>
      </c>
      <c r="DX4" s="2" t="s">
        <v>241</v>
      </c>
      <c r="DY4" s="2" t="s">
        <v>241</v>
      </c>
      <c r="DZ4" s="2" t="s">
        <v>241</v>
      </c>
      <c r="EA4" s="2" t="s">
        <v>241</v>
      </c>
      <c r="EB4" s="2" t="s">
        <v>241</v>
      </c>
      <c r="EC4" s="2" t="s">
        <v>241</v>
      </c>
      <c r="ED4" s="2" t="s">
        <v>241</v>
      </c>
      <c r="EE4" s="2" t="s">
        <v>241</v>
      </c>
      <c r="EF4" s="2" t="s">
        <v>241</v>
      </c>
      <c r="EG4" s="2" t="s">
        <v>241</v>
      </c>
      <c r="EI4" s="2" t="s">
        <v>241</v>
      </c>
      <c r="EJ4" s="2" t="s">
        <v>241</v>
      </c>
      <c r="EK4" s="2" t="s">
        <v>241</v>
      </c>
      <c r="EL4" s="2" t="s">
        <v>241</v>
      </c>
      <c r="EN4" s="2" t="s">
        <v>411</v>
      </c>
      <c r="EO4" s="2" t="s">
        <v>413</v>
      </c>
      <c r="EP4" s="42" t="s">
        <v>413</v>
      </c>
      <c r="EQ4" s="42" t="s">
        <v>413</v>
      </c>
      <c r="ER4" s="42" t="s">
        <v>413</v>
      </c>
      <c r="ES4" s="42" t="s">
        <v>413</v>
      </c>
      <c r="ET4" s="42" t="s">
        <v>413</v>
      </c>
      <c r="EU4" s="42" t="s">
        <v>413</v>
      </c>
      <c r="EV4" s="42" t="s">
        <v>413</v>
      </c>
      <c r="EW4" s="42" t="s">
        <v>413</v>
      </c>
      <c r="EX4" s="42" t="s">
        <v>413</v>
      </c>
      <c r="EY4" s="2" t="s">
        <v>413</v>
      </c>
      <c r="EZ4" s="2" t="s">
        <v>413</v>
      </c>
      <c r="FA4" s="2" t="s">
        <v>413</v>
      </c>
      <c r="FB4" s="2" t="s">
        <v>413</v>
      </c>
      <c r="FC4" s="2" t="s">
        <v>413</v>
      </c>
      <c r="FD4" s="2" t="s">
        <v>413</v>
      </c>
      <c r="FF4" s="2" t="s">
        <v>411</v>
      </c>
      <c r="FG4" s="2" t="s">
        <v>411</v>
      </c>
      <c r="FI4" s="2" t="s">
        <v>414</v>
      </c>
      <c r="FJ4" s="2" t="s">
        <v>414</v>
      </c>
      <c r="FK4" s="2" t="s">
        <v>414</v>
      </c>
      <c r="FL4" s="2" t="s">
        <v>414</v>
      </c>
      <c r="FM4" s="2" t="s">
        <v>414</v>
      </c>
      <c r="FN4" s="2" t="s">
        <v>414</v>
      </c>
      <c r="FP4" s="2" t="s">
        <v>415</v>
      </c>
      <c r="FR4" s="2" t="s">
        <v>415</v>
      </c>
      <c r="FS4" s="2" t="s">
        <v>415</v>
      </c>
      <c r="FT4" s="2" t="s">
        <v>415</v>
      </c>
      <c r="FU4" s="2" t="s">
        <v>415</v>
      </c>
      <c r="FW4" s="2" t="s">
        <v>415</v>
      </c>
      <c r="FX4" s="2" t="s">
        <v>416</v>
      </c>
      <c r="FY4" s="2" t="s">
        <v>416</v>
      </c>
      <c r="FZ4" s="2" t="s">
        <v>416</v>
      </c>
      <c r="GA4" s="2" t="s">
        <v>416</v>
      </c>
      <c r="GB4" s="2" t="s">
        <v>416</v>
      </c>
      <c r="GC4" s="2" t="s">
        <v>416</v>
      </c>
      <c r="GD4" s="2" t="s">
        <v>416</v>
      </c>
      <c r="GE4" s="2" t="s">
        <v>416</v>
      </c>
      <c r="GF4" s="2" t="s">
        <v>416</v>
      </c>
      <c r="GG4" s="2" t="s">
        <v>416</v>
      </c>
      <c r="GH4" s="2" t="s">
        <v>416</v>
      </c>
      <c r="GJ4" s="42" t="s">
        <v>415</v>
      </c>
      <c r="GK4" s="42" t="s">
        <v>415</v>
      </c>
      <c r="GL4" s="42" t="s">
        <v>415</v>
      </c>
      <c r="GM4" s="42" t="s">
        <v>415</v>
      </c>
      <c r="GN4" s="28" t="s">
        <v>415</v>
      </c>
      <c r="GO4" s="28" t="s">
        <v>415</v>
      </c>
      <c r="GP4" s="42" t="s">
        <v>417</v>
      </c>
      <c r="GQ4" s="42" t="s">
        <v>417</v>
      </c>
      <c r="GR4" s="42" t="s">
        <v>418</v>
      </c>
      <c r="GS4" s="42" t="s">
        <v>416</v>
      </c>
      <c r="GT4" s="42" t="s">
        <v>417</v>
      </c>
      <c r="GU4" s="42" t="s">
        <v>417</v>
      </c>
      <c r="GV4" s="49" t="s">
        <v>417</v>
      </c>
      <c r="GW4" s="42" t="s">
        <v>417</v>
      </c>
      <c r="GX4" s="42" t="s">
        <v>418</v>
      </c>
      <c r="GY4" s="42" t="s">
        <v>416</v>
      </c>
      <c r="GZ4" s="42" t="s">
        <v>417</v>
      </c>
      <c r="HB4" s="2" t="s">
        <v>417</v>
      </c>
      <c r="HC4" s="2" t="s">
        <v>415</v>
      </c>
      <c r="HD4" s="2" t="s">
        <v>415</v>
      </c>
      <c r="HF4" s="2" t="s">
        <v>415</v>
      </c>
      <c r="HH4" s="2" t="s">
        <v>415</v>
      </c>
      <c r="HI4" s="2" t="s">
        <v>415</v>
      </c>
      <c r="HJ4" s="42" t="s">
        <v>415</v>
      </c>
      <c r="HK4" s="2" t="s">
        <v>415</v>
      </c>
      <c r="HL4" s="2" t="s">
        <v>415</v>
      </c>
      <c r="HN4" s="28" t="s">
        <v>415</v>
      </c>
      <c r="HO4" s="2" t="s">
        <v>415</v>
      </c>
      <c r="HP4" s="2" t="s">
        <v>415</v>
      </c>
      <c r="HR4" s="2" t="s">
        <v>415</v>
      </c>
      <c r="HS4" s="2" t="s">
        <v>415</v>
      </c>
      <c r="HT4" s="2" t="s">
        <v>415</v>
      </c>
      <c r="HU4" s="2" t="s">
        <v>415</v>
      </c>
      <c r="HV4" s="2" t="s">
        <v>417</v>
      </c>
      <c r="HW4" s="2" t="s">
        <v>415</v>
      </c>
      <c r="HX4" s="2" t="s">
        <v>415</v>
      </c>
      <c r="HY4" s="2" t="s">
        <v>418</v>
      </c>
      <c r="HZ4" s="2" t="s">
        <v>418</v>
      </c>
      <c r="IC4" s="2" t="s">
        <v>416</v>
      </c>
      <c r="IE4" s="2" t="s">
        <v>413</v>
      </c>
      <c r="IF4" s="2" t="s">
        <v>413</v>
      </c>
      <c r="IG4" s="2" t="s">
        <v>413</v>
      </c>
      <c r="IH4" s="2" t="s">
        <v>413</v>
      </c>
      <c r="II4" s="2" t="s">
        <v>413</v>
      </c>
      <c r="IJ4" s="2" t="s">
        <v>416</v>
      </c>
      <c r="IK4" s="2" t="s">
        <v>419</v>
      </c>
      <c r="IL4" s="42" t="s">
        <v>419</v>
      </c>
      <c r="IM4" s="42" t="s">
        <v>419</v>
      </c>
      <c r="IN4" s="9"/>
      <c r="IR4" s="2" t="s">
        <v>417</v>
      </c>
      <c r="IS4" s="2" t="s">
        <v>417</v>
      </c>
      <c r="IT4" s="2" t="s">
        <v>417</v>
      </c>
      <c r="IU4" s="2" t="s">
        <v>417</v>
      </c>
      <c r="IV4" s="2" t="s">
        <v>417</v>
      </c>
      <c r="IW4" s="2" t="s">
        <v>417</v>
      </c>
      <c r="IX4" s="2" t="s">
        <v>417</v>
      </c>
      <c r="IY4" s="2" t="s">
        <v>417</v>
      </c>
      <c r="IZ4" s="2" t="s">
        <v>417</v>
      </c>
      <c r="JA4" s="2" t="s">
        <v>417</v>
      </c>
      <c r="JB4" s="2" t="s">
        <v>417</v>
      </c>
      <c r="JC4" s="2" t="s">
        <v>417</v>
      </c>
      <c r="JD4" s="2" t="s">
        <v>417</v>
      </c>
      <c r="JE4" s="2" t="s">
        <v>417</v>
      </c>
      <c r="JF4" s="2" t="s">
        <v>417</v>
      </c>
      <c r="JG4" s="2" t="s">
        <v>417</v>
      </c>
      <c r="JJ4" s="2" t="s">
        <v>414</v>
      </c>
      <c r="JL4" s="2" t="s">
        <v>417</v>
      </c>
      <c r="JM4" s="2" t="s">
        <v>417</v>
      </c>
      <c r="JN4" s="2" t="s">
        <v>417</v>
      </c>
      <c r="JO4" s="2" t="s">
        <v>417</v>
      </c>
      <c r="JP4" s="2" t="s">
        <v>417</v>
      </c>
      <c r="JQ4" s="2" t="s">
        <v>417</v>
      </c>
      <c r="JU4" s="2" t="s">
        <v>417</v>
      </c>
      <c r="JX4" s="2" t="s">
        <v>415</v>
      </c>
      <c r="JZ4" s="2" t="s">
        <v>415</v>
      </c>
      <c r="KA4" s="2" t="s">
        <v>415</v>
      </c>
      <c r="KB4" s="2" t="s">
        <v>415</v>
      </c>
      <c r="KC4" s="2" t="s">
        <v>415</v>
      </c>
      <c r="KD4" s="2" t="s">
        <v>415</v>
      </c>
      <c r="KE4" s="2" t="s">
        <v>415</v>
      </c>
      <c r="KI4" s="141"/>
      <c r="KJ4" s="161" t="s">
        <v>494</v>
      </c>
      <c r="KK4" s="162"/>
      <c r="KL4" s="162"/>
      <c r="KM4" s="162"/>
      <c r="KN4" s="162"/>
      <c r="KO4" s="162"/>
      <c r="KP4" s="162"/>
      <c r="KQ4" s="162"/>
      <c r="KR4" s="162"/>
      <c r="KS4" s="162"/>
      <c r="KT4" s="163"/>
      <c r="KU4" s="142"/>
      <c r="KV4" s="144" t="s">
        <v>523</v>
      </c>
      <c r="KW4" s="142"/>
      <c r="KX4" s="143"/>
    </row>
    <row r="5" spans="1:353" s="2" customFormat="1" ht="63.75" x14ac:dyDescent="0.25">
      <c r="B5" s="10" t="s">
        <v>24</v>
      </c>
      <c r="C5" s="10" t="s">
        <v>25</v>
      </c>
      <c r="D5" s="10" t="s">
        <v>26</v>
      </c>
      <c r="E5" s="10" t="s">
        <v>27</v>
      </c>
      <c r="F5" s="10" t="s">
        <v>449</v>
      </c>
      <c r="G5" s="10" t="s">
        <v>495</v>
      </c>
      <c r="I5" s="11" t="s">
        <v>28</v>
      </c>
      <c r="J5" s="11" t="s">
        <v>29</v>
      </c>
      <c r="K5" s="11" t="s">
        <v>30</v>
      </c>
      <c r="L5" s="11" t="s">
        <v>31</v>
      </c>
      <c r="M5" s="11" t="s">
        <v>32</v>
      </c>
      <c r="N5" s="11" t="s">
        <v>33</v>
      </c>
      <c r="O5" s="11" t="s">
        <v>34</v>
      </c>
      <c r="P5" s="11" t="s">
        <v>35</v>
      </c>
      <c r="Q5" s="12" t="s">
        <v>530</v>
      </c>
      <c r="R5" s="12" t="s">
        <v>531</v>
      </c>
      <c r="S5" s="153" t="s">
        <v>623</v>
      </c>
      <c r="T5" s="153" t="s">
        <v>402</v>
      </c>
      <c r="U5" s="10" t="s">
        <v>36</v>
      </c>
      <c r="V5" s="10" t="s">
        <v>37</v>
      </c>
      <c r="W5" s="13" t="s">
        <v>578</v>
      </c>
      <c r="X5" s="12" t="s">
        <v>577</v>
      </c>
      <c r="Y5" s="10" t="s">
        <v>38</v>
      </c>
      <c r="Z5" s="10" t="s">
        <v>39</v>
      </c>
      <c r="AA5" s="11" t="s">
        <v>40</v>
      </c>
      <c r="AB5" s="10" t="s">
        <v>41</v>
      </c>
      <c r="AC5" s="10" t="s">
        <v>42</v>
      </c>
      <c r="AD5" s="10" t="s">
        <v>43</v>
      </c>
      <c r="AE5" s="11" t="s">
        <v>527</v>
      </c>
      <c r="AF5" s="10" t="s">
        <v>44</v>
      </c>
      <c r="AG5" s="10" t="s">
        <v>400</v>
      </c>
      <c r="AH5" s="22" t="s">
        <v>401</v>
      </c>
      <c r="AI5" s="10" t="s">
        <v>45</v>
      </c>
      <c r="AJ5" s="10" t="s">
        <v>46</v>
      </c>
      <c r="AK5" s="22" t="s">
        <v>47</v>
      </c>
      <c r="AL5" s="22" t="s">
        <v>48</v>
      </c>
      <c r="AM5" s="22" t="s">
        <v>49</v>
      </c>
      <c r="AN5" s="10" t="s">
        <v>50</v>
      </c>
      <c r="AO5" s="54" t="s">
        <v>51</v>
      </c>
      <c r="AP5" s="14" t="s">
        <v>52</v>
      </c>
      <c r="AQ5" s="14" t="s">
        <v>53</v>
      </c>
      <c r="AR5" s="13" t="s">
        <v>54</v>
      </c>
      <c r="AS5" s="12" t="s">
        <v>55</v>
      </c>
      <c r="AT5" s="22" t="s">
        <v>56</v>
      </c>
      <c r="AU5" s="10" t="s">
        <v>57</v>
      </c>
      <c r="AV5" s="10" t="s">
        <v>58</v>
      </c>
      <c r="AW5" s="10" t="s">
        <v>59</v>
      </c>
      <c r="AX5" s="22" t="s">
        <v>60</v>
      </c>
      <c r="AY5" s="22" t="s">
        <v>61</v>
      </c>
      <c r="AZ5" s="22" t="s">
        <v>62</v>
      </c>
      <c r="BA5" s="10" t="s">
        <v>63</v>
      </c>
      <c r="BB5" s="10" t="s">
        <v>64</v>
      </c>
      <c r="BC5" s="10" t="s">
        <v>65</v>
      </c>
      <c r="BD5" s="13" t="s">
        <v>66</v>
      </c>
      <c r="BE5" s="12" t="s">
        <v>67</v>
      </c>
      <c r="BF5" s="12" t="s">
        <v>68</v>
      </c>
      <c r="BG5" s="10" t="s">
        <v>69</v>
      </c>
      <c r="BH5" s="13" t="s">
        <v>70</v>
      </c>
      <c r="BI5" s="12" t="s">
        <v>71</v>
      </c>
      <c r="BJ5" s="12" t="s">
        <v>72</v>
      </c>
      <c r="BK5" s="11" t="s">
        <v>73</v>
      </c>
      <c r="BL5" s="10" t="s">
        <v>74</v>
      </c>
      <c r="BM5" s="10" t="s">
        <v>75</v>
      </c>
      <c r="BN5" s="10" t="s">
        <v>76</v>
      </c>
      <c r="BO5" s="10" t="s">
        <v>77</v>
      </c>
      <c r="BP5" s="13" t="s">
        <v>78</v>
      </c>
      <c r="BQ5" s="13" t="s">
        <v>79</v>
      </c>
      <c r="BR5" s="12" t="s">
        <v>80</v>
      </c>
      <c r="BS5" s="12" t="s">
        <v>81</v>
      </c>
      <c r="BT5" s="13" t="s">
        <v>82</v>
      </c>
      <c r="BU5" s="13" t="s">
        <v>83</v>
      </c>
      <c r="BV5" s="13" t="s">
        <v>84</v>
      </c>
      <c r="BW5" s="155" t="s">
        <v>85</v>
      </c>
      <c r="BX5" s="13" t="s">
        <v>532</v>
      </c>
      <c r="BY5" s="13" t="s">
        <v>86</v>
      </c>
      <c r="BZ5" s="13" t="s">
        <v>87</v>
      </c>
      <c r="CA5" s="13" t="s">
        <v>566</v>
      </c>
      <c r="CB5" s="13" t="s">
        <v>88</v>
      </c>
      <c r="CC5" s="13" t="s">
        <v>89</v>
      </c>
      <c r="CD5" s="9" t="s">
        <v>607</v>
      </c>
      <c r="CE5" s="9" t="s">
        <v>497</v>
      </c>
      <c r="CF5" s="6" t="s">
        <v>90</v>
      </c>
      <c r="CG5" s="6" t="s">
        <v>440</v>
      </c>
      <c r="CH5" s="6" t="s">
        <v>441</v>
      </c>
      <c r="CI5" s="6" t="s">
        <v>91</v>
      </c>
      <c r="CJ5" s="6" t="s">
        <v>92</v>
      </c>
      <c r="CK5" s="6" t="s">
        <v>93</v>
      </c>
      <c r="CL5" s="7" t="s">
        <v>94</v>
      </c>
      <c r="CM5" s="6" t="s">
        <v>95</v>
      </c>
      <c r="CN5" s="8" t="s">
        <v>96</v>
      </c>
      <c r="CO5" s="8" t="s">
        <v>97</v>
      </c>
      <c r="CP5" s="6" t="s">
        <v>98</v>
      </c>
      <c r="CQ5" s="6" t="s">
        <v>99</v>
      </c>
      <c r="CR5" s="9"/>
      <c r="CS5" s="14" t="s">
        <v>100</v>
      </c>
      <c r="CT5" s="10" t="s">
        <v>101</v>
      </c>
      <c r="CU5" s="10" t="s">
        <v>102</v>
      </c>
      <c r="CV5" s="10" t="s">
        <v>103</v>
      </c>
      <c r="CW5" s="10" t="s">
        <v>104</v>
      </c>
      <c r="CX5" s="10" t="s">
        <v>105</v>
      </c>
      <c r="CY5" s="10" t="s">
        <v>106</v>
      </c>
      <c r="CZ5" s="10" t="s">
        <v>498</v>
      </c>
      <c r="DA5" s="10" t="s">
        <v>500</v>
      </c>
      <c r="DB5" s="10" t="s">
        <v>499</v>
      </c>
      <c r="DC5" s="10" t="s">
        <v>501</v>
      </c>
      <c r="DD5" s="10" t="s">
        <v>502</v>
      </c>
      <c r="DE5" s="10" t="s">
        <v>503</v>
      </c>
      <c r="DF5" s="10" t="s">
        <v>107</v>
      </c>
      <c r="DG5" s="10" t="s">
        <v>108</v>
      </c>
      <c r="DI5" s="10" t="s">
        <v>520</v>
      </c>
      <c r="DJ5" s="10" t="s">
        <v>521</v>
      </c>
      <c r="DK5" s="10" t="s">
        <v>109</v>
      </c>
      <c r="DL5" s="10" t="s">
        <v>110</v>
      </c>
      <c r="DM5" s="10" t="s">
        <v>111</v>
      </c>
      <c r="DN5" s="10" t="s">
        <v>112</v>
      </c>
      <c r="DO5" s="10" t="s">
        <v>113</v>
      </c>
      <c r="DP5" s="10" t="s">
        <v>493</v>
      </c>
      <c r="DQ5" s="10" t="s">
        <v>504</v>
      </c>
      <c r="DR5" s="10" t="s">
        <v>505</v>
      </c>
      <c r="DS5" s="10" t="s">
        <v>506</v>
      </c>
      <c r="DT5" s="10" t="s">
        <v>507</v>
      </c>
      <c r="DU5" s="10" t="s">
        <v>508</v>
      </c>
      <c r="DV5" s="10" t="s">
        <v>509</v>
      </c>
      <c r="DW5" s="10" t="s">
        <v>510</v>
      </c>
      <c r="DX5" s="10" t="s">
        <v>511</v>
      </c>
      <c r="DY5" s="10" t="s">
        <v>512</v>
      </c>
      <c r="DZ5" s="10" t="s">
        <v>513</v>
      </c>
      <c r="EA5" s="10" t="s">
        <v>514</v>
      </c>
      <c r="EB5" s="10" t="s">
        <v>515</v>
      </c>
      <c r="EC5" s="10" t="s">
        <v>516</v>
      </c>
      <c r="ED5" s="10" t="s">
        <v>517</v>
      </c>
      <c r="EE5" s="10" t="s">
        <v>518</v>
      </c>
      <c r="EF5" s="10" t="s">
        <v>519</v>
      </c>
      <c r="EG5" s="10" t="s">
        <v>522</v>
      </c>
      <c r="EH5" s="5"/>
      <c r="EI5" s="10" t="s">
        <v>114</v>
      </c>
      <c r="EJ5" s="10" t="s">
        <v>115</v>
      </c>
      <c r="EK5" s="10" t="s">
        <v>116</v>
      </c>
      <c r="EL5" s="10" t="s">
        <v>650</v>
      </c>
      <c r="EM5" s="5"/>
      <c r="EN5" s="54" t="s">
        <v>439</v>
      </c>
      <c r="EO5" s="53" t="s">
        <v>117</v>
      </c>
      <c r="EP5" s="44" t="s">
        <v>118</v>
      </c>
      <c r="EQ5" s="44" t="s">
        <v>119</v>
      </c>
      <c r="ER5" s="46" t="s">
        <v>120</v>
      </c>
      <c r="ES5" s="44" t="s">
        <v>121</v>
      </c>
      <c r="ET5" s="44" t="s">
        <v>122</v>
      </c>
      <c r="EU5" s="46" t="s">
        <v>533</v>
      </c>
      <c r="EV5" s="46" t="s">
        <v>534</v>
      </c>
      <c r="EW5" s="46"/>
      <c r="EX5" s="46"/>
      <c r="EY5" s="18" t="s">
        <v>123</v>
      </c>
      <c r="EZ5" s="18" t="s">
        <v>118</v>
      </c>
      <c r="FA5" s="18" t="s">
        <v>19</v>
      </c>
      <c r="FB5" s="46" t="s">
        <v>120</v>
      </c>
      <c r="FC5" s="18" t="s">
        <v>121</v>
      </c>
      <c r="FD5" s="18" t="s">
        <v>122</v>
      </c>
      <c r="FE5" s="19" t="s">
        <v>124</v>
      </c>
      <c r="FF5" s="9" t="s">
        <v>125</v>
      </c>
      <c r="FG5" s="30" t="s">
        <v>126</v>
      </c>
      <c r="FH5" s="13" t="s">
        <v>127</v>
      </c>
      <c r="FI5" s="30" t="s">
        <v>420</v>
      </c>
      <c r="FJ5" s="12" t="s">
        <v>128</v>
      </c>
      <c r="FK5" s="12" t="s">
        <v>129</v>
      </c>
      <c r="FL5" s="11" t="s">
        <v>130</v>
      </c>
      <c r="FM5" s="57" t="s">
        <v>131</v>
      </c>
      <c r="FN5" s="10" t="s">
        <v>132</v>
      </c>
      <c r="FO5" s="5"/>
      <c r="FP5" s="14" t="s">
        <v>133</v>
      </c>
      <c r="FQ5" s="14" t="s">
        <v>564</v>
      </c>
      <c r="FR5" s="14" t="s">
        <v>134</v>
      </c>
      <c r="FS5" s="14" t="s">
        <v>135</v>
      </c>
      <c r="FT5" s="14" t="s">
        <v>136</v>
      </c>
      <c r="FU5" s="14" t="s">
        <v>137</v>
      </c>
      <c r="FV5" s="9"/>
      <c r="FW5" s="14" t="s">
        <v>138</v>
      </c>
      <c r="FX5" s="10" t="s">
        <v>139</v>
      </c>
      <c r="FY5" s="10" t="s">
        <v>140</v>
      </c>
      <c r="FZ5" s="10" t="s">
        <v>141</v>
      </c>
      <c r="GA5" s="10" t="s">
        <v>142</v>
      </c>
      <c r="GB5" s="10" t="s">
        <v>143</v>
      </c>
      <c r="GC5" s="10" t="s">
        <v>144</v>
      </c>
      <c r="GD5" s="10" t="s">
        <v>145</v>
      </c>
      <c r="GE5" s="10" t="s">
        <v>146</v>
      </c>
      <c r="GF5" s="10" t="s">
        <v>147</v>
      </c>
      <c r="GG5" s="10" t="s">
        <v>148</v>
      </c>
      <c r="GH5" s="10" t="s">
        <v>149</v>
      </c>
      <c r="GI5" s="5"/>
      <c r="GJ5" s="22" t="s">
        <v>150</v>
      </c>
      <c r="GK5" s="23" t="s">
        <v>151</v>
      </c>
      <c r="GL5" s="23" t="s">
        <v>152</v>
      </c>
      <c r="GM5" s="23" t="s">
        <v>528</v>
      </c>
      <c r="GN5" s="11" t="s">
        <v>153</v>
      </c>
      <c r="GO5" s="56" t="s">
        <v>529</v>
      </c>
      <c r="GP5" s="22" t="s">
        <v>154</v>
      </c>
      <c r="GQ5" s="22" t="s">
        <v>155</v>
      </c>
      <c r="GR5" s="22" t="s">
        <v>156</v>
      </c>
      <c r="GS5" s="22" t="s">
        <v>157</v>
      </c>
      <c r="GT5" s="22" t="s">
        <v>158</v>
      </c>
      <c r="GU5" s="22" t="s">
        <v>159</v>
      </c>
      <c r="GV5" s="22" t="s">
        <v>160</v>
      </c>
      <c r="GW5" s="22" t="s">
        <v>161</v>
      </c>
      <c r="GX5" s="22" t="s">
        <v>162</v>
      </c>
      <c r="GY5" s="22" t="s">
        <v>163</v>
      </c>
      <c r="GZ5" s="22" t="s">
        <v>164</v>
      </c>
      <c r="HA5" s="13" t="s">
        <v>165</v>
      </c>
      <c r="HB5" s="12" t="s">
        <v>166</v>
      </c>
      <c r="HC5" s="10" t="s">
        <v>167</v>
      </c>
      <c r="HD5" s="10" t="s">
        <v>168</v>
      </c>
      <c r="HE5" s="13" t="s">
        <v>169</v>
      </c>
      <c r="HF5" s="12" t="s">
        <v>170</v>
      </c>
      <c r="HG5" s="13" t="s">
        <v>171</v>
      </c>
      <c r="HH5" s="12" t="s">
        <v>172</v>
      </c>
      <c r="HI5" s="10" t="s">
        <v>173</v>
      </c>
      <c r="HJ5" s="22" t="s">
        <v>174</v>
      </c>
      <c r="HK5" s="10" t="s">
        <v>175</v>
      </c>
      <c r="HL5" s="10" t="s">
        <v>176</v>
      </c>
      <c r="HM5" s="13" t="s">
        <v>177</v>
      </c>
      <c r="HN5" s="11" t="s">
        <v>178</v>
      </c>
      <c r="HO5" s="12" t="s">
        <v>179</v>
      </c>
      <c r="HP5" s="10" t="s">
        <v>180</v>
      </c>
      <c r="HQ5" s="5"/>
      <c r="HR5" s="10" t="s">
        <v>181</v>
      </c>
      <c r="HS5" s="10" t="s">
        <v>182</v>
      </c>
      <c r="HT5" s="10" t="s">
        <v>183</v>
      </c>
      <c r="HU5" s="10" t="s">
        <v>184</v>
      </c>
      <c r="HV5" s="10" t="s">
        <v>185</v>
      </c>
      <c r="HW5" s="10" t="s">
        <v>186</v>
      </c>
      <c r="HX5" s="10" t="s">
        <v>187</v>
      </c>
      <c r="HY5" s="10" t="s">
        <v>188</v>
      </c>
      <c r="HZ5" s="10" t="s">
        <v>189</v>
      </c>
      <c r="IA5" s="5"/>
      <c r="IB5" s="13" t="s">
        <v>190</v>
      </c>
      <c r="IC5" s="10" t="s">
        <v>191</v>
      </c>
      <c r="ID5" s="10" t="s">
        <v>192</v>
      </c>
      <c r="IE5" s="10" t="s">
        <v>193</v>
      </c>
      <c r="IF5" s="10" t="s">
        <v>194</v>
      </c>
      <c r="IG5" s="10" t="s">
        <v>195</v>
      </c>
      <c r="IH5" s="10" t="s">
        <v>196</v>
      </c>
      <c r="II5" s="10" t="s">
        <v>197</v>
      </c>
      <c r="IJ5" s="10" t="s">
        <v>198</v>
      </c>
      <c r="IK5" s="10" t="s">
        <v>199</v>
      </c>
      <c r="IL5" s="22" t="s">
        <v>544</v>
      </c>
      <c r="IM5" s="22" t="s">
        <v>545</v>
      </c>
      <c r="IN5" s="10" t="s">
        <v>115</v>
      </c>
      <c r="IO5" s="5"/>
      <c r="IP5" s="13" t="s">
        <v>200</v>
      </c>
      <c r="IQ5" s="10" t="s">
        <v>201</v>
      </c>
      <c r="IR5" s="10" t="s">
        <v>202</v>
      </c>
      <c r="IS5" s="10" t="s">
        <v>203</v>
      </c>
      <c r="IT5" s="10" t="s">
        <v>204</v>
      </c>
      <c r="IU5" s="10" t="s">
        <v>205</v>
      </c>
      <c r="IV5" s="10" t="s">
        <v>206</v>
      </c>
      <c r="IW5" s="10" t="s">
        <v>207</v>
      </c>
      <c r="IX5" s="10" t="s">
        <v>208</v>
      </c>
      <c r="IY5" s="10" t="s">
        <v>209</v>
      </c>
      <c r="IZ5" s="10" t="s">
        <v>210</v>
      </c>
      <c r="JA5" s="10" t="s">
        <v>211</v>
      </c>
      <c r="JB5" s="10" t="s">
        <v>212</v>
      </c>
      <c r="JC5" s="10" t="s">
        <v>213</v>
      </c>
      <c r="JD5" s="10" t="s">
        <v>214</v>
      </c>
      <c r="JE5" s="10" t="s">
        <v>215</v>
      </c>
      <c r="JF5" s="10" t="s">
        <v>216</v>
      </c>
      <c r="JG5" s="10" t="s">
        <v>217</v>
      </c>
      <c r="JH5" s="13" t="s">
        <v>218</v>
      </c>
      <c r="JI5" s="20" t="s">
        <v>219</v>
      </c>
      <c r="JJ5" s="12" t="s">
        <v>220</v>
      </c>
      <c r="JK5" s="5"/>
      <c r="JL5" s="10" t="s">
        <v>221</v>
      </c>
      <c r="JM5" s="10" t="s">
        <v>222</v>
      </c>
      <c r="JN5" s="10" t="s">
        <v>223</v>
      </c>
      <c r="JO5" s="10" t="s">
        <v>224</v>
      </c>
      <c r="JP5" s="10" t="s">
        <v>225</v>
      </c>
      <c r="JQ5" s="10" t="s">
        <v>226</v>
      </c>
      <c r="JR5" s="5"/>
      <c r="JS5" s="10" t="s">
        <v>227</v>
      </c>
      <c r="JT5" s="10" t="s">
        <v>228</v>
      </c>
      <c r="JU5" s="10" t="s">
        <v>229</v>
      </c>
      <c r="JV5" s="10" t="s">
        <v>230</v>
      </c>
      <c r="JW5" s="10" t="s">
        <v>231</v>
      </c>
      <c r="JX5" s="10" t="s">
        <v>232</v>
      </c>
      <c r="JY5" s="5"/>
      <c r="JZ5" s="10" t="s">
        <v>233</v>
      </c>
      <c r="KA5" s="10" t="s">
        <v>234</v>
      </c>
      <c r="KB5" s="10" t="s">
        <v>235</v>
      </c>
      <c r="KC5" s="10" t="s">
        <v>236</v>
      </c>
      <c r="KD5" s="10" t="s">
        <v>237</v>
      </c>
      <c r="KE5" s="15" t="s">
        <v>99</v>
      </c>
      <c r="KG5" s="15" t="s">
        <v>238</v>
      </c>
      <c r="KI5" s="134" t="s">
        <v>572</v>
      </c>
      <c r="KJ5" s="134" t="s">
        <v>524</v>
      </c>
      <c r="KK5" s="134" t="s">
        <v>24</v>
      </c>
      <c r="KL5" s="134" t="s">
        <v>525</v>
      </c>
      <c r="KM5" s="134" t="s">
        <v>220</v>
      </c>
      <c r="KN5" s="134" t="s">
        <v>34</v>
      </c>
      <c r="KO5" s="134" t="s">
        <v>526</v>
      </c>
      <c r="KP5" s="134" t="s">
        <v>546</v>
      </c>
      <c r="KQ5" s="134" t="s">
        <v>542</v>
      </c>
      <c r="KR5" s="134" t="s">
        <v>543</v>
      </c>
      <c r="KS5" s="154" t="s">
        <v>130</v>
      </c>
      <c r="KT5" s="134" t="s">
        <v>633</v>
      </c>
      <c r="KU5" s="134" t="s">
        <v>32</v>
      </c>
      <c r="KV5" s="134" t="s">
        <v>33</v>
      </c>
      <c r="KW5" s="134" t="s">
        <v>34</v>
      </c>
      <c r="KX5" s="134" t="s">
        <v>35</v>
      </c>
      <c r="LA5" s="149" t="s">
        <v>609</v>
      </c>
      <c r="LB5" s="149" t="s">
        <v>610</v>
      </c>
      <c r="LC5" s="149" t="s">
        <v>612</v>
      </c>
      <c r="LD5" s="149" t="s">
        <v>611</v>
      </c>
      <c r="LE5" s="9"/>
      <c r="LI5" s="151" t="s">
        <v>615</v>
      </c>
      <c r="LJ5" s="151" t="s">
        <v>617</v>
      </c>
      <c r="LL5" s="151" t="s">
        <v>616</v>
      </c>
      <c r="LM5" s="151" t="s">
        <v>617</v>
      </c>
      <c r="LO5" s="151" t="s">
        <v>618</v>
      </c>
      <c r="LP5" s="151" t="s">
        <v>619</v>
      </c>
      <c r="LQ5" s="151" t="s">
        <v>617</v>
      </c>
      <c r="LS5" s="9" t="s">
        <v>620</v>
      </c>
    </row>
    <row r="6" spans="1:353" ht="21" customHeight="1" x14ac:dyDescent="0.25">
      <c r="B6" s="58" t="s">
        <v>638</v>
      </c>
      <c r="C6" s="58" t="s">
        <v>633</v>
      </c>
      <c r="D6" s="159" t="s">
        <v>290</v>
      </c>
      <c r="E6" s="159" t="s">
        <v>253</v>
      </c>
      <c r="F6" s="159" t="s">
        <v>450</v>
      </c>
      <c r="G6" s="159"/>
      <c r="H6" s="59"/>
      <c r="I6" s="159" t="s">
        <v>636</v>
      </c>
      <c r="J6" s="159" t="s">
        <v>636</v>
      </c>
      <c r="K6" s="159" t="s">
        <v>636</v>
      </c>
      <c r="L6" s="159" t="s">
        <v>637</v>
      </c>
      <c r="M6" s="159" t="s">
        <v>255</v>
      </c>
      <c r="N6" s="159">
        <v>12</v>
      </c>
      <c r="O6" s="159" t="s">
        <v>240</v>
      </c>
      <c r="P6" s="159">
        <v>24</v>
      </c>
      <c r="Q6" s="159"/>
      <c r="R6" s="160"/>
      <c r="S6" s="159" t="s">
        <v>629</v>
      </c>
      <c r="T6" s="159"/>
      <c r="U6" s="61" t="s">
        <v>291</v>
      </c>
      <c r="V6" s="61">
        <v>3</v>
      </c>
      <c r="W6" s="65"/>
      <c r="X6" s="72" t="s">
        <v>257</v>
      </c>
      <c r="Y6" s="61" t="s">
        <v>305</v>
      </c>
      <c r="Z6" s="61" t="s">
        <v>270</v>
      </c>
      <c r="AA6" s="61">
        <v>2500</v>
      </c>
      <c r="AB6" s="72">
        <v>43927</v>
      </c>
      <c r="AC6" s="72">
        <v>44028</v>
      </c>
      <c r="AD6" s="62"/>
      <c r="AE6" s="63"/>
      <c r="AF6" s="62"/>
      <c r="AG6" s="62"/>
      <c r="AH6" s="62"/>
      <c r="AI6" s="61"/>
      <c r="AJ6" s="61"/>
      <c r="AK6" s="62"/>
      <c r="AL6" s="62"/>
      <c r="AM6" s="62"/>
      <c r="AN6" s="64"/>
      <c r="AO6" s="61" t="s">
        <v>246</v>
      </c>
      <c r="AP6" s="61"/>
      <c r="AQ6" s="61"/>
      <c r="AR6" s="65">
        <v>44047</v>
      </c>
      <c r="AS6" s="72">
        <v>44047</v>
      </c>
      <c r="AT6" s="72" t="s">
        <v>257</v>
      </c>
      <c r="AU6" s="61">
        <v>20912</v>
      </c>
      <c r="AV6" s="61" t="s">
        <v>261</v>
      </c>
      <c r="AW6" s="61"/>
      <c r="AX6" s="62"/>
      <c r="AY6" s="62"/>
      <c r="AZ6" s="66"/>
      <c r="BA6" s="61"/>
      <c r="BB6" s="61"/>
      <c r="BC6" s="61"/>
      <c r="BD6" s="65">
        <v>44155</v>
      </c>
      <c r="BE6" s="72">
        <v>44140</v>
      </c>
      <c r="BF6" s="62" t="s">
        <v>272</v>
      </c>
      <c r="BG6" s="61"/>
      <c r="BH6" s="65">
        <v>44174</v>
      </c>
      <c r="BI6" s="72">
        <v>44174</v>
      </c>
      <c r="BJ6" s="62" t="s">
        <v>272</v>
      </c>
      <c r="BK6" s="61">
        <v>2020</v>
      </c>
      <c r="BL6" s="62">
        <v>44167</v>
      </c>
      <c r="BM6" s="62"/>
      <c r="BN6" s="62"/>
      <c r="BO6" s="61"/>
      <c r="BP6" s="65"/>
      <c r="BQ6" s="67"/>
      <c r="BR6" s="62"/>
      <c r="BS6" s="61"/>
      <c r="BT6" s="65">
        <v>44174</v>
      </c>
      <c r="BU6" s="65" t="s">
        <v>249</v>
      </c>
      <c r="BV6" s="65">
        <v>44174</v>
      </c>
      <c r="BW6" s="147" t="s">
        <v>272</v>
      </c>
      <c r="BX6" s="65">
        <f t="shared" ref="BX6:BX7" si="0">IF(BW6="Grant",BV6+1825,0)</f>
        <v>45999</v>
      </c>
      <c r="BY6" s="61" t="s">
        <v>273</v>
      </c>
      <c r="BZ6" s="61" t="s">
        <v>425</v>
      </c>
      <c r="CA6" s="61"/>
      <c r="CB6" s="72">
        <v>44754</v>
      </c>
      <c r="CC6" s="61"/>
      <c r="CD6" s="68" t="s">
        <v>536</v>
      </c>
      <c r="CE6" s="60" t="s">
        <v>274</v>
      </c>
      <c r="CF6" s="61"/>
      <c r="CG6" s="61"/>
      <c r="CH6" s="61"/>
      <c r="CI6" s="62"/>
      <c r="CJ6" s="62"/>
      <c r="CK6" s="61"/>
      <c r="CL6" s="69"/>
      <c r="CM6" s="61"/>
      <c r="CN6" s="61"/>
      <c r="CO6" s="61"/>
      <c r="CP6" s="61"/>
      <c r="CQ6" s="64" t="s">
        <v>583</v>
      </c>
      <c r="CR6" s="60"/>
      <c r="CS6" s="70" t="s">
        <v>584</v>
      </c>
      <c r="CT6" s="61" t="s">
        <v>269</v>
      </c>
      <c r="CU6" s="61" t="s">
        <v>269</v>
      </c>
      <c r="CV6" s="61" t="s">
        <v>269</v>
      </c>
      <c r="CW6" s="91" t="s">
        <v>304</v>
      </c>
      <c r="CX6" s="61" t="s">
        <v>269</v>
      </c>
      <c r="CY6" s="82" t="s">
        <v>275</v>
      </c>
      <c r="CZ6" s="82" t="s">
        <v>275</v>
      </c>
      <c r="DA6" s="61"/>
      <c r="DB6" s="61"/>
      <c r="DC6" s="61"/>
      <c r="DD6" s="61"/>
      <c r="DE6" s="61"/>
      <c r="DF6" s="61" t="s">
        <v>269</v>
      </c>
      <c r="DG6" s="61" t="s">
        <v>269</v>
      </c>
      <c r="DH6" s="60"/>
      <c r="DI6" s="62"/>
      <c r="DJ6" s="62"/>
      <c r="DK6" s="62"/>
      <c r="DL6" s="62"/>
      <c r="DM6" s="62"/>
      <c r="DN6" s="62"/>
      <c r="DO6" s="62"/>
      <c r="DP6" s="62"/>
      <c r="DQ6" s="62"/>
      <c r="DR6" s="62"/>
      <c r="DS6" s="62"/>
      <c r="DT6" s="62"/>
      <c r="DU6" s="62"/>
      <c r="DV6" s="62"/>
      <c r="DW6" s="62"/>
      <c r="DX6" s="62"/>
      <c r="DY6" s="62"/>
      <c r="DZ6" s="62"/>
      <c r="EA6" s="62"/>
      <c r="EB6" s="62"/>
      <c r="EC6" s="62"/>
      <c r="ED6" s="62"/>
      <c r="EE6" s="62"/>
      <c r="EF6" s="62"/>
      <c r="EG6" s="62"/>
      <c r="EH6" s="60"/>
      <c r="EI6" s="72">
        <v>44792</v>
      </c>
      <c r="EJ6" s="72">
        <v>44847</v>
      </c>
      <c r="EK6" s="61">
        <v>3</v>
      </c>
      <c r="EL6" s="70"/>
      <c r="EM6" s="71"/>
      <c r="EN6" s="132">
        <f>EO6+EY6</f>
        <v>4</v>
      </c>
      <c r="EO6" s="61">
        <f>COUNT(ES6:ET6)+COUNT(EP6:EQ6)</f>
        <v>2</v>
      </c>
      <c r="EP6" s="72">
        <v>44894</v>
      </c>
      <c r="EQ6" s="72">
        <v>44858</v>
      </c>
      <c r="ER6" s="73"/>
      <c r="ES6" s="62"/>
      <c r="ET6" s="62"/>
      <c r="EU6" s="62"/>
      <c r="EV6" s="62"/>
      <c r="EW6" s="62"/>
      <c r="EX6" s="62"/>
      <c r="EY6" s="61">
        <f>COUNT(FC6:FD6)+COUNT(EZ6:FA6)</f>
        <v>2</v>
      </c>
      <c r="EZ6" s="61"/>
      <c r="FA6" s="61"/>
      <c r="FB6" s="74"/>
      <c r="FC6" s="62">
        <v>47119</v>
      </c>
      <c r="FD6" s="75">
        <v>45292</v>
      </c>
      <c r="FE6" s="61"/>
      <c r="FF6" s="68" t="str">
        <f>IF(BY6="Final Grant",IF(EO6&gt;0,"FP &amp; Demand","FP / No Demand"),IF(EO6&gt;0,"No FP &amp; Demand","No FP / No Demand"))</f>
        <v>FP &amp; Demand</v>
      </c>
      <c r="FG6" s="76">
        <f>IF((MIN(EZ6:FD6))=0,"-",(MIN(EZ6:FD6)))</f>
        <v>45292</v>
      </c>
      <c r="FH6" s="65">
        <f>BT6</f>
        <v>44174</v>
      </c>
      <c r="FI6" s="76"/>
      <c r="FJ6" s="62">
        <f>FH6+7</f>
        <v>44181</v>
      </c>
      <c r="FK6" s="62">
        <v>44616</v>
      </c>
      <c r="FL6" s="61" t="s">
        <v>299</v>
      </c>
      <c r="FM6" s="61"/>
      <c r="FN6" s="61"/>
      <c r="FO6" s="60"/>
      <c r="FP6" s="64"/>
      <c r="FQ6" s="64"/>
      <c r="FR6" s="61"/>
      <c r="FS6" s="77" t="s">
        <v>257</v>
      </c>
      <c r="FT6" s="61"/>
      <c r="FU6" s="61"/>
      <c r="FV6" s="60"/>
      <c r="FW6" s="61"/>
      <c r="FX6" s="61"/>
      <c r="FY6" s="61"/>
      <c r="FZ6" s="61"/>
      <c r="GA6" s="61"/>
      <c r="GB6" s="61"/>
      <c r="GC6" s="61"/>
      <c r="GD6" s="61"/>
      <c r="GE6" s="61"/>
      <c r="GF6" s="61"/>
      <c r="GG6" s="61"/>
      <c r="GH6" s="61"/>
      <c r="GI6" s="60"/>
      <c r="GJ6" s="62"/>
      <c r="GK6" s="62"/>
      <c r="GL6" s="62"/>
      <c r="GM6" s="62"/>
      <c r="GN6" s="63"/>
      <c r="GO6" s="63"/>
      <c r="GP6" s="62"/>
      <c r="GQ6" s="62"/>
      <c r="GR6" s="62"/>
      <c r="GS6" s="62"/>
      <c r="GT6" s="62"/>
      <c r="GU6" s="62"/>
      <c r="GV6" s="78"/>
      <c r="GW6" s="62"/>
      <c r="GX6" s="62"/>
      <c r="GY6" s="62"/>
      <c r="GZ6" s="62"/>
      <c r="HA6" s="67"/>
      <c r="HB6" s="62"/>
      <c r="HC6" s="62"/>
      <c r="HD6" s="62"/>
      <c r="HE6" s="65"/>
      <c r="HF6" s="62"/>
      <c r="HG6" s="65">
        <f>FJ6+10</f>
        <v>44191</v>
      </c>
      <c r="HH6" s="62"/>
      <c r="HI6" s="61"/>
      <c r="HJ6" s="62"/>
      <c r="HK6" s="62"/>
      <c r="HL6" s="62"/>
      <c r="HM6" s="65">
        <f>IF(GW6="Yes",HE6,HG6+50)</f>
        <v>44241</v>
      </c>
      <c r="HN6" s="63"/>
      <c r="HO6" s="62"/>
      <c r="HP6" s="78"/>
      <c r="HQ6" s="60"/>
      <c r="HR6" s="63"/>
      <c r="HS6" s="62"/>
      <c r="HT6" s="63"/>
      <c r="HU6" s="62"/>
      <c r="HV6" s="62"/>
      <c r="HW6" s="62"/>
      <c r="HX6" s="79"/>
      <c r="HY6" s="62"/>
      <c r="HZ6" s="79"/>
      <c r="IA6" s="60"/>
      <c r="IB6" s="65">
        <f>HM6+10</f>
        <v>44251</v>
      </c>
      <c r="IC6" s="62"/>
      <c r="ID6" s="61"/>
      <c r="IE6" s="61"/>
      <c r="IF6" s="61"/>
      <c r="IG6" s="61"/>
      <c r="IH6" s="61"/>
      <c r="II6" s="61"/>
      <c r="IJ6" s="61"/>
      <c r="IK6" s="61"/>
      <c r="IL6" s="62"/>
      <c r="IM6" s="62"/>
      <c r="IN6" s="72">
        <f>IF(EJ6=0,"-",EJ6)</f>
        <v>44847</v>
      </c>
      <c r="IO6" s="60"/>
      <c r="IP6" s="65">
        <f>IB6+30</f>
        <v>44281</v>
      </c>
      <c r="IQ6" s="62">
        <f>MIN(IR6,IT6,IV6,IX6,IZ6)</f>
        <v>0</v>
      </c>
      <c r="IR6" s="62"/>
      <c r="IS6" s="62"/>
      <c r="IT6" s="62"/>
      <c r="IU6" s="62"/>
      <c r="IV6" s="62"/>
      <c r="IW6" s="62"/>
      <c r="IX6" s="62"/>
      <c r="IY6" s="62"/>
      <c r="IZ6" s="62"/>
      <c r="JA6" s="62"/>
      <c r="JB6" s="62"/>
      <c r="JC6" s="62"/>
      <c r="JD6" s="62"/>
      <c r="JE6" s="62"/>
      <c r="JF6" s="62"/>
      <c r="JG6" s="62"/>
      <c r="JH6" s="65">
        <v>44858</v>
      </c>
      <c r="JI6" s="67" t="str">
        <f>"Q" &amp;INT((MONTH(JH6)+2)/3) &amp; "-" &amp; YEAR(JH6)</f>
        <v>Q4-2022</v>
      </c>
      <c r="JJ6" s="80">
        <v>44858</v>
      </c>
      <c r="JK6" s="60"/>
      <c r="JL6" s="61"/>
      <c r="JM6" s="64"/>
      <c r="JN6" s="62"/>
      <c r="JO6" s="62" t="s">
        <v>257</v>
      </c>
      <c r="JP6" s="101" t="s">
        <v>579</v>
      </c>
      <c r="JQ6" s="61"/>
      <c r="JR6" s="60"/>
      <c r="JS6" s="62"/>
      <c r="JT6" s="62"/>
      <c r="JU6" s="62"/>
      <c r="JV6" s="62"/>
      <c r="JW6" s="62"/>
      <c r="JX6" s="62"/>
      <c r="JY6" s="60"/>
      <c r="JZ6" s="61"/>
      <c r="KA6" s="61"/>
      <c r="KB6" s="61"/>
      <c r="KC6" s="61"/>
      <c r="KD6" s="61"/>
      <c r="KE6" s="61"/>
      <c r="KF6" s="60"/>
      <c r="KG6" s="61"/>
      <c r="KH6" s="60"/>
      <c r="KI6" s="81" t="str">
        <f t="shared" ref="KI6:KI7" si="1">KK6</f>
        <v>TLKxxx</v>
      </c>
      <c r="KJ6" s="61" t="str">
        <f t="shared" ref="KJ6:KJ7" si="2">IFERROR(IF(FK6&lt;&gt;"","Live","Not Gated"),0)</f>
        <v>Live</v>
      </c>
      <c r="KK6" s="61" t="str">
        <f t="shared" ref="KK6:KK7" si="3">IF(KJ6="Live",B6,"")</f>
        <v>TLKxxx</v>
      </c>
      <c r="KL6" s="62">
        <f t="shared" ref="KL6:KL7" si="4">IF(KJ6="Live",IF(JH6&gt;1000,JH6,""),"")</f>
        <v>44858</v>
      </c>
      <c r="KM6" s="62">
        <f t="shared" ref="KM6:KM7" si="5">IF(KJ6="Live",IF(JJ6&gt;1000,JJ6,""),"")</f>
        <v>44858</v>
      </c>
      <c r="KN6" s="61" t="str">
        <f t="shared" ref="KN6:KN7" si="6">O6</f>
        <v>Monopole</v>
      </c>
      <c r="KO6" s="61" t="str">
        <f t="shared" ref="KO6:KO7" si="7">E6</f>
        <v>EED</v>
      </c>
      <c r="KP6" s="131">
        <f t="shared" ref="KP6:KP7" si="8">FI6</f>
        <v>0</v>
      </c>
      <c r="KQ6" s="131" t="str">
        <f t="shared" ref="KQ6:KQ7" si="9">IF(KJ6="Live",IF(JH6&gt;1000,JI6,"No Forcast Date"),"No Forcast Date")</f>
        <v>Q4-2022</v>
      </c>
      <c r="KR6" s="61" t="str">
        <f t="shared" ref="KR6:KR7" si="10">(KP6 &amp; "  " &amp; KJ6 &amp; "  " &amp; "UTS" &amp; "  " &amp; KO6 &amp; "  " &amp; KQ6 &amp; "  ")</f>
        <v xml:space="preserve">0  Live  UTS  EED  Q4-2022  </v>
      </c>
      <c r="KS6" s="61" t="str">
        <f t="shared" ref="KS6:KS7" si="11">IFERROR((FL6)," ")</f>
        <v>RFI</v>
      </c>
      <c r="KT6" s="148" t="str">
        <f t="shared" ref="KT6:KT7" si="12">IF(KJ6="Live",C6,"")</f>
        <v>Site name</v>
      </c>
      <c r="KU6" s="61" t="str">
        <f t="shared" ref="KU6:KX6" si="13">M6</f>
        <v>Lattice</v>
      </c>
      <c r="KV6" s="61">
        <f t="shared" si="13"/>
        <v>12</v>
      </c>
      <c r="KW6" s="61" t="str">
        <f t="shared" si="13"/>
        <v>Monopole</v>
      </c>
      <c r="KX6" s="61">
        <f t="shared" si="13"/>
        <v>24</v>
      </c>
      <c r="KY6" s="60"/>
      <c r="KZ6" s="60"/>
      <c r="LA6" s="106"/>
      <c r="LB6" s="148"/>
      <c r="LC6" s="62"/>
      <c r="LD6" s="148"/>
      <c r="LE6" s="68" t="str">
        <f t="shared" ref="LE6:LE7" si="14">IF(LC6&lt;&gt;"",IF(LA6&lt;&gt;"",LC6-LA6,"-"),"-")</f>
        <v>-</v>
      </c>
      <c r="LF6" s="150" t="str">
        <f t="shared" ref="LF6:LF7" si="15">IF(LE6="-","-",LE6/30)</f>
        <v>-</v>
      </c>
      <c r="LG6" s="60"/>
      <c r="LH6" s="60"/>
      <c r="LI6" s="68">
        <f t="shared" ref="LI6:LI7" si="16">IF(BE6&lt;&gt;"",IF(AS6&lt;&gt;"",BE6-AS6,"-"),"-")</f>
        <v>93</v>
      </c>
      <c r="LJ6" s="150">
        <f t="shared" ref="LJ6:LJ7" si="17">IF(LI6="-","-",LI6/30)</f>
        <v>3.1</v>
      </c>
      <c r="LK6" s="60"/>
      <c r="LL6" s="68">
        <f t="shared" ref="LL6:LL7" si="18">IF(BV6&lt;&gt;"",IF(BV6&lt;&gt;"n/a",IF(AS6&lt;&gt;"",BV6-AS6,"-"),"-"),"-")</f>
        <v>127</v>
      </c>
      <c r="LM6" s="150">
        <f t="shared" ref="LM6:LM7" si="19">IF(LL6="-","-",LL6/30)</f>
        <v>4.2333333333333334</v>
      </c>
      <c r="LN6" s="60"/>
      <c r="LO6" s="98" t="str">
        <f t="shared" ref="LO6:LO7" si="20">IF(BM6="",IF(BN6="","-",BN6),BM6)</f>
        <v>-</v>
      </c>
      <c r="LP6" s="68" t="str">
        <f t="shared" ref="LP6:LP7" si="21">IF(BR6&lt;&gt;"",IF(BR6&lt;&gt;"n/a",IF(LO6&lt;&gt;"",BR6-LO6,"-"),"-"),"-")</f>
        <v>-</v>
      </c>
      <c r="LQ6" s="150" t="str">
        <f t="shared" ref="LQ6:LQ7" si="22">IF(LP6="-","-",LP6/30)</f>
        <v>-</v>
      </c>
      <c r="LR6" s="60"/>
      <c r="LS6" s="98" t="str">
        <f t="shared" ref="LS6:LS7" si="23">IF(BR6=0,"-",BR6)</f>
        <v>-</v>
      </c>
      <c r="LT6" s="60"/>
      <c r="LU6" s="60"/>
      <c r="LV6" s="60"/>
      <c r="LW6" s="60"/>
      <c r="LX6" s="60"/>
      <c r="LY6" s="60"/>
      <c r="LZ6" s="60"/>
      <c r="MA6" s="60"/>
      <c r="MB6" s="60"/>
      <c r="MC6" s="60"/>
      <c r="MD6" s="60"/>
      <c r="ME6" s="60"/>
      <c r="MF6" s="60"/>
      <c r="MG6" s="60"/>
      <c r="MH6" s="60"/>
      <c r="MI6" s="60"/>
      <c r="MJ6" s="60"/>
      <c r="MK6" s="60"/>
      <c r="ML6" s="60"/>
      <c r="MM6" s="60"/>
      <c r="MN6" s="60"/>
      <c r="MO6" s="60"/>
    </row>
    <row r="7" spans="1:353" ht="21" customHeight="1" x14ac:dyDescent="0.25">
      <c r="B7" s="58" t="s">
        <v>639</v>
      </c>
      <c r="C7" s="58" t="s">
        <v>633</v>
      </c>
      <c r="D7" s="159" t="s">
        <v>325</v>
      </c>
      <c r="E7" s="159" t="s">
        <v>253</v>
      </c>
      <c r="F7" s="159" t="s">
        <v>451</v>
      </c>
      <c r="G7" s="159"/>
      <c r="H7" s="59"/>
      <c r="I7" s="159" t="s">
        <v>636</v>
      </c>
      <c r="J7" s="159" t="s">
        <v>636</v>
      </c>
      <c r="K7" s="159" t="s">
        <v>636</v>
      </c>
      <c r="L7" s="159" t="s">
        <v>637</v>
      </c>
      <c r="M7" s="159" t="s">
        <v>356</v>
      </c>
      <c r="N7" s="159">
        <v>15</v>
      </c>
      <c r="O7" s="159" t="s">
        <v>255</v>
      </c>
      <c r="P7" s="159">
        <v>24</v>
      </c>
      <c r="Q7" s="159"/>
      <c r="R7" s="160"/>
      <c r="S7" s="159" t="s">
        <v>630</v>
      </c>
      <c r="T7" s="159"/>
      <c r="U7" s="61" t="s">
        <v>326</v>
      </c>
      <c r="V7" s="61">
        <v>2</v>
      </c>
      <c r="W7" s="65"/>
      <c r="X7" s="72" t="s">
        <v>257</v>
      </c>
      <c r="Y7" s="61" t="s">
        <v>305</v>
      </c>
      <c r="Z7" s="61" t="s">
        <v>270</v>
      </c>
      <c r="AA7" s="61">
        <v>2500</v>
      </c>
      <c r="AB7" s="72">
        <v>43886</v>
      </c>
      <c r="AC7" s="72">
        <v>43881</v>
      </c>
      <c r="AD7" s="72" t="s">
        <v>257</v>
      </c>
      <c r="AE7" s="63"/>
      <c r="AF7" s="72">
        <v>43896</v>
      </c>
      <c r="AG7" s="62"/>
      <c r="AH7" s="62"/>
      <c r="AI7" s="61"/>
      <c r="AJ7" s="61"/>
      <c r="AK7" s="62"/>
      <c r="AL7" s="62"/>
      <c r="AM7" s="62"/>
      <c r="AN7" s="64"/>
      <c r="AO7" s="61" t="s">
        <v>246</v>
      </c>
      <c r="AP7" s="61"/>
      <c r="AQ7" s="61" t="s">
        <v>248</v>
      </c>
      <c r="AR7" s="65">
        <v>43896</v>
      </c>
      <c r="AS7" s="72">
        <v>43896</v>
      </c>
      <c r="AT7" s="72">
        <v>43900</v>
      </c>
      <c r="AU7" s="61">
        <v>204496</v>
      </c>
      <c r="AV7" s="61"/>
      <c r="AW7" s="61"/>
      <c r="AX7" s="62"/>
      <c r="AY7" s="62"/>
      <c r="AZ7" s="66"/>
      <c r="BA7" s="61"/>
      <c r="BB7" s="61"/>
      <c r="BC7" s="61"/>
      <c r="BD7" s="65">
        <v>43999</v>
      </c>
      <c r="BE7" s="72">
        <v>43999</v>
      </c>
      <c r="BF7" s="62" t="s">
        <v>272</v>
      </c>
      <c r="BG7" s="61">
        <v>1</v>
      </c>
      <c r="BH7" s="65">
        <v>44032</v>
      </c>
      <c r="BI7" s="72">
        <v>44032</v>
      </c>
      <c r="BJ7" s="62" t="s">
        <v>320</v>
      </c>
      <c r="BK7" s="61">
        <v>2020</v>
      </c>
      <c r="BL7" s="62">
        <v>44026</v>
      </c>
      <c r="BM7" s="62"/>
      <c r="BN7" s="72">
        <v>44032</v>
      </c>
      <c r="BO7" s="61">
        <v>307515</v>
      </c>
      <c r="BP7" s="65">
        <v>44145</v>
      </c>
      <c r="BQ7" s="67"/>
      <c r="BR7" s="72">
        <v>44138</v>
      </c>
      <c r="BS7" s="61" t="s">
        <v>272</v>
      </c>
      <c r="BT7" s="65">
        <v>44138</v>
      </c>
      <c r="BU7" s="65" t="s">
        <v>249</v>
      </c>
      <c r="BV7" s="65">
        <v>44138</v>
      </c>
      <c r="BW7" s="147" t="s">
        <v>272</v>
      </c>
      <c r="BX7" s="65">
        <f t="shared" si="0"/>
        <v>45963</v>
      </c>
      <c r="BY7" s="61" t="s">
        <v>273</v>
      </c>
      <c r="BZ7" s="61" t="s">
        <v>426</v>
      </c>
      <c r="CA7" s="61"/>
      <c r="CB7" s="72">
        <v>44839</v>
      </c>
      <c r="CC7" s="61"/>
      <c r="CD7" s="68" t="s">
        <v>536</v>
      </c>
      <c r="CE7" s="60" t="s">
        <v>274</v>
      </c>
      <c r="CF7" s="61"/>
      <c r="CG7" s="61"/>
      <c r="CH7" s="61"/>
      <c r="CI7" s="62"/>
      <c r="CJ7" s="62"/>
      <c r="CK7" s="61"/>
      <c r="CL7" s="69"/>
      <c r="CM7" s="61"/>
      <c r="CN7" s="61"/>
      <c r="CO7" s="61"/>
      <c r="CP7" s="61"/>
      <c r="CQ7" s="64"/>
      <c r="CR7" s="60"/>
      <c r="CS7" s="70"/>
      <c r="CT7" s="61"/>
      <c r="CU7" s="61"/>
      <c r="CV7" s="61"/>
      <c r="CW7" s="61"/>
      <c r="CX7" s="61"/>
      <c r="CY7" s="61"/>
      <c r="CZ7" s="61"/>
      <c r="DA7" s="61"/>
      <c r="DB7" s="61"/>
      <c r="DC7" s="61"/>
      <c r="DD7" s="61"/>
      <c r="DE7" s="61"/>
      <c r="DF7" s="61"/>
      <c r="DG7" s="64"/>
      <c r="DH7" s="60"/>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0"/>
      <c r="EI7" s="62"/>
      <c r="EJ7" s="62"/>
      <c r="EK7" s="61"/>
      <c r="EL7" s="70"/>
      <c r="EM7" s="71"/>
      <c r="EN7" s="133">
        <f>EO7+EY7</f>
        <v>3</v>
      </c>
      <c r="EO7" s="61">
        <f>COUNT(ES7:ET7)+COUNT(EP7:EQ7)</f>
        <v>1</v>
      </c>
      <c r="EP7" s="62"/>
      <c r="EQ7" s="72">
        <v>45250</v>
      </c>
      <c r="ER7" s="73"/>
      <c r="ES7" s="62"/>
      <c r="ET7" s="62"/>
      <c r="EU7" s="62"/>
      <c r="EV7" s="62"/>
      <c r="EW7" s="62"/>
      <c r="EX7" s="62"/>
      <c r="EY7" s="61">
        <f>COUNT(FC7:FD7)+COUNT(EZ7:FA7)</f>
        <v>2</v>
      </c>
      <c r="EZ7" s="62">
        <v>46388</v>
      </c>
      <c r="FA7" s="61"/>
      <c r="FB7" s="74"/>
      <c r="FC7" s="62">
        <v>46023</v>
      </c>
      <c r="FD7" s="61"/>
      <c r="FE7" s="61"/>
      <c r="FF7" s="68" t="str">
        <f>IF(BY7="Final Grant",IF(EO7&gt;0,"FP &amp; Demand","FP / No Demand"),IF(EO7&gt;0,"No FP &amp; Demand","No FP / No Demand"))</f>
        <v>FP &amp; Demand</v>
      </c>
      <c r="FG7" s="76">
        <f>IF((MIN(EZ7:FD7))=0,"-",(MIN(EZ7:FD7)))</f>
        <v>46023</v>
      </c>
      <c r="FH7" s="65">
        <f>BT7</f>
        <v>44138</v>
      </c>
      <c r="FI7" s="76"/>
      <c r="FJ7" s="62">
        <f>FH7+7</f>
        <v>44145</v>
      </c>
      <c r="FK7" s="62">
        <v>44804</v>
      </c>
      <c r="FL7" s="61" t="s">
        <v>299</v>
      </c>
      <c r="FM7" s="61"/>
      <c r="FN7" s="61"/>
      <c r="FO7" s="60"/>
      <c r="FP7" s="64"/>
      <c r="FQ7" s="64"/>
      <c r="FR7" s="61"/>
      <c r="FS7" s="77" t="s">
        <v>257</v>
      </c>
      <c r="FT7" s="61"/>
      <c r="FU7" s="61"/>
      <c r="FV7" s="60"/>
      <c r="FW7" s="61"/>
      <c r="FX7" s="61"/>
      <c r="FY7" s="61"/>
      <c r="FZ7" s="61"/>
      <c r="GA7" s="61"/>
      <c r="GB7" s="61"/>
      <c r="GC7" s="61"/>
      <c r="GD7" s="61"/>
      <c r="GE7" s="61"/>
      <c r="GF7" s="61"/>
      <c r="GG7" s="61"/>
      <c r="GH7" s="61"/>
      <c r="GI7" s="60"/>
      <c r="GJ7" s="62"/>
      <c r="GK7" s="62"/>
      <c r="GL7" s="62"/>
      <c r="GM7" s="62"/>
      <c r="GN7" s="63"/>
      <c r="GO7" s="63"/>
      <c r="GP7" s="62"/>
      <c r="GQ7" s="62"/>
      <c r="GR7" s="62"/>
      <c r="GS7" s="62"/>
      <c r="GT7" s="62"/>
      <c r="GU7" s="62"/>
      <c r="GV7" s="78"/>
      <c r="GW7" s="62"/>
      <c r="GX7" s="62"/>
      <c r="GY7" s="62"/>
      <c r="GZ7" s="62"/>
      <c r="HA7" s="67"/>
      <c r="HB7" s="62"/>
      <c r="HC7" s="82" t="s">
        <v>257</v>
      </c>
      <c r="HD7" s="62"/>
      <c r="HE7" s="65"/>
      <c r="HF7" s="62"/>
      <c r="HG7" s="65">
        <f>FJ7+10</f>
        <v>44155</v>
      </c>
      <c r="HH7" s="62"/>
      <c r="HI7" s="61"/>
      <c r="HJ7" s="62"/>
      <c r="HK7" s="62"/>
      <c r="HL7" s="62"/>
      <c r="HM7" s="65">
        <f>IF(GW7="Yes",HE7,HG7+50)</f>
        <v>44205</v>
      </c>
      <c r="HN7" s="63"/>
      <c r="HO7" s="62"/>
      <c r="HP7" s="78"/>
      <c r="HQ7" s="60"/>
      <c r="HR7" s="63"/>
      <c r="HS7" s="62"/>
      <c r="HT7" s="63"/>
      <c r="HU7" s="62"/>
      <c r="HV7" s="62"/>
      <c r="HW7" s="62"/>
      <c r="HX7" s="79"/>
      <c r="HY7" s="62"/>
      <c r="HZ7" s="79"/>
      <c r="IA7" s="60"/>
      <c r="IB7" s="65">
        <f>HM7+10</f>
        <v>44215</v>
      </c>
      <c r="IC7" s="62"/>
      <c r="ID7" s="61"/>
      <c r="IE7" s="61"/>
      <c r="IF7" s="61"/>
      <c r="IG7" s="61"/>
      <c r="IH7" s="61"/>
      <c r="II7" s="61"/>
      <c r="IJ7" s="61"/>
      <c r="IK7" s="61"/>
      <c r="IL7" s="62"/>
      <c r="IM7" s="62"/>
      <c r="IN7" s="62" t="str">
        <f>IF(EJ7=0,"-",EJ7)</f>
        <v>-</v>
      </c>
      <c r="IO7" s="60"/>
      <c r="IP7" s="65">
        <f>IB7+30</f>
        <v>44245</v>
      </c>
      <c r="IQ7" s="62">
        <f>MIN(IR7,IT7,IV7,IX7,IZ7)</f>
        <v>0</v>
      </c>
      <c r="IR7" s="62"/>
      <c r="IS7" s="62"/>
      <c r="IT7" s="62"/>
      <c r="IU7" s="62"/>
      <c r="IV7" s="62"/>
      <c r="IW7" s="62"/>
      <c r="IX7" s="62"/>
      <c r="IY7" s="83" t="s">
        <v>257</v>
      </c>
      <c r="IZ7" s="62"/>
      <c r="JA7" s="62"/>
      <c r="JB7" s="62"/>
      <c r="JC7" s="62"/>
      <c r="JD7" s="62"/>
      <c r="JE7" s="62"/>
      <c r="JF7" s="62"/>
      <c r="JG7" s="62"/>
      <c r="JH7" s="65">
        <v>45250</v>
      </c>
      <c r="JI7" s="67" t="str">
        <f>"Q" &amp;INT((MONTH(JH7)+2)/3) &amp; "-" &amp; YEAR(JH7)</f>
        <v>Q4-2023</v>
      </c>
      <c r="JJ7" s="80">
        <v>45250</v>
      </c>
      <c r="JK7" s="60"/>
      <c r="JL7" s="61"/>
      <c r="JM7" s="64"/>
      <c r="JN7" s="62"/>
      <c r="JO7" s="62" t="s">
        <v>257</v>
      </c>
      <c r="JP7" s="78" t="s">
        <v>356</v>
      </c>
      <c r="JQ7" s="72">
        <v>45511</v>
      </c>
      <c r="JR7" s="60"/>
      <c r="JS7" s="62"/>
      <c r="JT7" s="62"/>
      <c r="JU7" s="62"/>
      <c r="JV7" s="62"/>
      <c r="JW7" s="62"/>
      <c r="JX7" s="62"/>
      <c r="JY7" s="60"/>
      <c r="JZ7" s="61"/>
      <c r="KA7" s="61"/>
      <c r="KB7" s="61"/>
      <c r="KC7" s="61"/>
      <c r="KD7" s="61"/>
      <c r="KE7" s="61"/>
      <c r="KF7" s="60"/>
      <c r="KG7" s="61"/>
      <c r="KH7" s="60"/>
      <c r="KI7" s="81" t="str">
        <f t="shared" si="1"/>
        <v>TCxxxx</v>
      </c>
      <c r="KJ7" s="61" t="str">
        <f t="shared" si="2"/>
        <v>Live</v>
      </c>
      <c r="KK7" s="61" t="str">
        <f t="shared" si="3"/>
        <v>TCxxxx</v>
      </c>
      <c r="KL7" s="62">
        <f t="shared" si="4"/>
        <v>45250</v>
      </c>
      <c r="KM7" s="62">
        <f t="shared" si="5"/>
        <v>45250</v>
      </c>
      <c r="KN7" s="61" t="str">
        <f t="shared" si="6"/>
        <v>Lattice</v>
      </c>
      <c r="KO7" s="61" t="str">
        <f t="shared" si="7"/>
        <v>EED</v>
      </c>
      <c r="KP7" s="131">
        <f t="shared" si="8"/>
        <v>0</v>
      </c>
      <c r="KQ7" s="131" t="str">
        <f t="shared" si="9"/>
        <v>Q4-2023</v>
      </c>
      <c r="KR7" s="61" t="str">
        <f t="shared" si="10"/>
        <v xml:space="preserve">0  Live  UTS  EED  Q4-2023  </v>
      </c>
      <c r="KS7" s="61" t="str">
        <f t="shared" si="11"/>
        <v>RFI</v>
      </c>
      <c r="KT7" s="61" t="str">
        <f t="shared" si="12"/>
        <v>Site name</v>
      </c>
      <c r="KU7" s="61" t="str">
        <f t="shared" ref="KU7" si="24">M7</f>
        <v>Lattice Tower</v>
      </c>
      <c r="KV7" s="61">
        <f t="shared" ref="KV7" si="25">N7</f>
        <v>15</v>
      </c>
      <c r="KW7" s="61" t="str">
        <f t="shared" ref="KW7" si="26">O7</f>
        <v>Lattice</v>
      </c>
      <c r="KX7" s="61">
        <f t="shared" ref="KX7" si="27">P7</f>
        <v>24</v>
      </c>
      <c r="KY7" s="60"/>
      <c r="KZ7" s="60"/>
      <c r="LA7" s="62"/>
      <c r="LB7" s="61"/>
      <c r="LC7" s="62"/>
      <c r="LD7" s="61"/>
      <c r="LE7" s="68" t="str">
        <f t="shared" si="14"/>
        <v>-</v>
      </c>
      <c r="LF7" s="150" t="str">
        <f t="shared" si="15"/>
        <v>-</v>
      </c>
      <c r="LG7" s="60"/>
      <c r="LH7" s="60"/>
      <c r="LI7" s="68">
        <f t="shared" si="16"/>
        <v>103</v>
      </c>
      <c r="LJ7" s="150">
        <f t="shared" si="17"/>
        <v>3.4333333333333331</v>
      </c>
      <c r="LK7" s="60"/>
      <c r="LL7" s="68">
        <f t="shared" si="18"/>
        <v>242</v>
      </c>
      <c r="LM7" s="150">
        <f t="shared" si="19"/>
        <v>8.0666666666666664</v>
      </c>
      <c r="LN7" s="60"/>
      <c r="LO7" s="98">
        <f t="shared" si="20"/>
        <v>44032</v>
      </c>
      <c r="LP7" s="68">
        <f t="shared" si="21"/>
        <v>106</v>
      </c>
      <c r="LQ7" s="150">
        <f t="shared" si="22"/>
        <v>3.5333333333333332</v>
      </c>
      <c r="LR7" s="60"/>
      <c r="LS7" s="98">
        <f t="shared" si="23"/>
        <v>44138</v>
      </c>
      <c r="LT7" s="60"/>
      <c r="LU7" s="60"/>
      <c r="LV7" s="60"/>
      <c r="LW7" s="60"/>
      <c r="LX7" s="60"/>
      <c r="LY7" s="60"/>
      <c r="LZ7" s="60"/>
      <c r="MA7" s="60"/>
      <c r="MB7" s="60"/>
      <c r="MC7" s="60"/>
      <c r="MD7" s="60"/>
      <c r="ME7" s="60"/>
      <c r="MF7" s="60"/>
      <c r="MG7" s="60"/>
      <c r="MH7" s="60"/>
      <c r="MI7" s="60"/>
      <c r="MJ7" s="60"/>
      <c r="MK7" s="60"/>
      <c r="ML7" s="60"/>
      <c r="MM7" s="60"/>
      <c r="MN7" s="60"/>
      <c r="MO7" s="60"/>
    </row>
    <row r="8" spans="1:353" ht="21" customHeight="1" x14ac:dyDescent="0.25">
      <c r="B8" s="84" t="s">
        <v>640</v>
      </c>
      <c r="C8" s="58" t="s">
        <v>633</v>
      </c>
      <c r="D8" s="159" t="s">
        <v>318</v>
      </c>
      <c r="E8" s="159" t="s">
        <v>253</v>
      </c>
      <c r="F8" s="159" t="s">
        <v>488</v>
      </c>
      <c r="G8" s="159"/>
      <c r="H8" s="59"/>
      <c r="I8" s="159" t="s">
        <v>636</v>
      </c>
      <c r="J8" s="159" t="s">
        <v>636</v>
      </c>
      <c r="K8" s="159" t="s">
        <v>636</v>
      </c>
      <c r="L8" s="159" t="s">
        <v>637</v>
      </c>
      <c r="M8" s="159" t="s">
        <v>240</v>
      </c>
      <c r="N8" s="159">
        <v>30</v>
      </c>
      <c r="O8" s="159" t="s">
        <v>255</v>
      </c>
      <c r="P8" s="159">
        <v>36</v>
      </c>
      <c r="Q8" s="159"/>
      <c r="R8" s="160"/>
      <c r="S8" s="159"/>
      <c r="T8" s="159"/>
      <c r="U8" s="61" t="s">
        <v>319</v>
      </c>
      <c r="V8" s="61">
        <v>1</v>
      </c>
      <c r="W8" s="65"/>
      <c r="X8" s="72">
        <v>44412</v>
      </c>
      <c r="Y8" s="61" t="s">
        <v>241</v>
      </c>
      <c r="Z8" s="61" t="s">
        <v>306</v>
      </c>
      <c r="AA8" s="61" t="s">
        <v>243</v>
      </c>
      <c r="AB8" s="72">
        <v>44412</v>
      </c>
      <c r="AC8" s="72">
        <v>44417</v>
      </c>
      <c r="AD8" s="72" t="s">
        <v>257</v>
      </c>
      <c r="AE8" s="63"/>
      <c r="AF8" s="72">
        <v>44519</v>
      </c>
      <c r="AG8" s="62"/>
      <c r="AH8" s="62"/>
      <c r="AI8" s="61" t="s">
        <v>257</v>
      </c>
      <c r="AJ8" s="61" t="s">
        <v>247</v>
      </c>
      <c r="AK8" s="62"/>
      <c r="AL8" s="62">
        <v>44701</v>
      </c>
      <c r="AM8" s="62"/>
      <c r="AN8" s="64"/>
      <c r="AO8" s="61" t="s">
        <v>246</v>
      </c>
      <c r="AP8" s="61" t="s">
        <v>247</v>
      </c>
      <c r="AQ8" s="61"/>
      <c r="AR8" s="65">
        <v>44524</v>
      </c>
      <c r="AS8" s="72">
        <v>44524</v>
      </c>
      <c r="AT8" s="72" t="s">
        <v>257</v>
      </c>
      <c r="AU8" s="61" t="s">
        <v>386</v>
      </c>
      <c r="AV8" s="61" t="s">
        <v>269</v>
      </c>
      <c r="AW8" s="61" t="s">
        <v>243</v>
      </c>
      <c r="AX8" s="62">
        <v>44587</v>
      </c>
      <c r="AY8" s="62">
        <v>44858</v>
      </c>
      <c r="AZ8" s="89">
        <v>44845</v>
      </c>
      <c r="BA8" s="62" t="s">
        <v>243</v>
      </c>
      <c r="BB8" s="62" t="s">
        <v>243</v>
      </c>
      <c r="BC8" s="62" t="s">
        <v>243</v>
      </c>
      <c r="BD8" s="65">
        <v>44886</v>
      </c>
      <c r="BE8" s="72">
        <v>44868</v>
      </c>
      <c r="BF8" s="62" t="s">
        <v>272</v>
      </c>
      <c r="BG8" s="61">
        <v>1</v>
      </c>
      <c r="BH8" s="65">
        <v>44935</v>
      </c>
      <c r="BI8" s="62"/>
      <c r="BJ8" s="90" t="s">
        <v>320</v>
      </c>
      <c r="BK8" s="61">
        <v>2024</v>
      </c>
      <c r="BL8" s="62">
        <v>44895</v>
      </c>
      <c r="BM8" s="62"/>
      <c r="BN8" s="72">
        <v>44890</v>
      </c>
      <c r="BO8" s="61">
        <v>315201</v>
      </c>
      <c r="BP8" s="65">
        <v>45335</v>
      </c>
      <c r="BQ8" s="67"/>
      <c r="BR8" s="72">
        <v>45315</v>
      </c>
      <c r="BS8" s="88" t="s">
        <v>272</v>
      </c>
      <c r="BT8" s="65">
        <v>45335</v>
      </c>
      <c r="BU8" s="65" t="s">
        <v>249</v>
      </c>
      <c r="BV8" s="65">
        <v>45315</v>
      </c>
      <c r="BW8" s="147" t="s">
        <v>272</v>
      </c>
      <c r="BX8" s="65">
        <f t="shared" ref="BX8:BX39" si="28">IF(BW8="Grant",BV8+1825,0)</f>
        <v>47140</v>
      </c>
      <c r="BY8" s="61" t="s">
        <v>273</v>
      </c>
      <c r="BZ8" s="61" t="s">
        <v>387</v>
      </c>
      <c r="CA8" s="61"/>
      <c r="CB8" s="62"/>
      <c r="CC8" s="61"/>
      <c r="CD8" s="68" t="s">
        <v>536</v>
      </c>
      <c r="CE8" s="60" t="s">
        <v>274</v>
      </c>
      <c r="CF8" s="61"/>
      <c r="CG8" s="61"/>
      <c r="CH8" s="64"/>
      <c r="CI8" s="64"/>
      <c r="CJ8" s="64"/>
      <c r="CK8" s="64" t="s">
        <v>265</v>
      </c>
      <c r="CL8" s="138">
        <v>44409</v>
      </c>
      <c r="CM8" s="64"/>
      <c r="CN8" s="64"/>
      <c r="CO8" s="70"/>
      <c r="CP8" s="64"/>
      <c r="CQ8" s="64"/>
      <c r="CR8" s="60"/>
      <c r="CS8" s="70" t="s">
        <v>388</v>
      </c>
      <c r="CT8" s="61" t="s">
        <v>269</v>
      </c>
      <c r="CU8" s="61" t="s">
        <v>269</v>
      </c>
      <c r="CV8" s="82" t="s">
        <v>275</v>
      </c>
      <c r="CW8" s="61" t="s">
        <v>269</v>
      </c>
      <c r="CX8" s="61" t="s">
        <v>269</v>
      </c>
      <c r="CY8" s="61" t="s">
        <v>269</v>
      </c>
      <c r="CZ8" s="61" t="s">
        <v>269</v>
      </c>
      <c r="DA8" s="61"/>
      <c r="DB8" s="61"/>
      <c r="DC8" s="61"/>
      <c r="DD8" s="61"/>
      <c r="DE8" s="61"/>
      <c r="DF8" s="61" t="s">
        <v>269</v>
      </c>
      <c r="DG8" s="64"/>
      <c r="DH8" s="60"/>
      <c r="DI8" s="84"/>
      <c r="DJ8" s="84"/>
      <c r="DK8" s="84"/>
      <c r="DL8" s="84"/>
      <c r="DM8" s="84"/>
      <c r="DN8" s="84"/>
      <c r="DO8" s="84"/>
      <c r="DP8" s="84"/>
      <c r="DQ8" s="84"/>
      <c r="DR8" s="84"/>
      <c r="DS8" s="84"/>
      <c r="DT8" s="84"/>
      <c r="DU8" s="84"/>
      <c r="DV8" s="84"/>
      <c r="DW8" s="84"/>
      <c r="DX8" s="84"/>
      <c r="DY8" s="84"/>
      <c r="DZ8" s="84"/>
      <c r="EA8" s="84"/>
      <c r="EB8" s="84"/>
      <c r="EC8" s="84"/>
      <c r="ED8" s="84"/>
      <c r="EE8" s="84"/>
      <c r="EF8" s="84"/>
      <c r="EG8" s="84"/>
      <c r="EH8" s="60"/>
      <c r="EI8" s="61"/>
      <c r="EJ8" s="61"/>
      <c r="EK8" s="61"/>
      <c r="EL8" s="105"/>
      <c r="EM8" s="130"/>
      <c r="EN8" s="133">
        <f>EO8+EY8</f>
        <v>2</v>
      </c>
      <c r="EO8" s="61">
        <f>COUNT(ES8:ET8)+COUNT(EP8:EQ8)</f>
        <v>0</v>
      </c>
      <c r="EP8" s="62"/>
      <c r="EQ8" s="62"/>
      <c r="ER8" s="73"/>
      <c r="ES8" s="72" t="s">
        <v>340</v>
      </c>
      <c r="ET8" s="62"/>
      <c r="EU8" s="62"/>
      <c r="EV8" s="62"/>
      <c r="EW8" s="62"/>
      <c r="EX8" s="62"/>
      <c r="EY8" s="61">
        <f>COUNT(FC8:FD8)+COUNT(EZ8:FA8)</f>
        <v>2</v>
      </c>
      <c r="EZ8" s="117">
        <v>46388</v>
      </c>
      <c r="FA8" s="61"/>
      <c r="FB8" s="74"/>
      <c r="FC8" s="61"/>
      <c r="FD8" s="117">
        <v>46388</v>
      </c>
      <c r="FE8" s="61"/>
      <c r="FF8" s="68" t="str">
        <f>IF(BY8="Final Grant",IF(EO8&gt;0,"FP &amp; Demand","FP / No Demand"),IF(EO8&gt;0,"No FP &amp; Demand","No FP / No Demand"))</f>
        <v>FP / No Demand</v>
      </c>
      <c r="FG8" s="76">
        <f>IF((MIN(EZ8:FD8))=0,"-",(MIN(EZ8:FD8)))</f>
        <v>46388</v>
      </c>
      <c r="FH8" s="65">
        <f>BT8</f>
        <v>45335</v>
      </c>
      <c r="FI8" s="76">
        <f>FG8</f>
        <v>46388</v>
      </c>
      <c r="FJ8" s="62">
        <f>FI8+7</f>
        <v>46395</v>
      </c>
      <c r="FK8" s="62"/>
      <c r="FL8" s="61"/>
      <c r="FM8" s="61"/>
      <c r="FN8" s="61"/>
      <c r="FO8" s="60"/>
      <c r="FP8" s="64"/>
      <c r="FQ8" s="64"/>
      <c r="FR8" s="61"/>
      <c r="FS8" s="61"/>
      <c r="FT8" s="61"/>
      <c r="FU8" s="61"/>
      <c r="FV8" s="60"/>
      <c r="FW8" s="61"/>
      <c r="FX8" s="61"/>
      <c r="FY8" s="61"/>
      <c r="FZ8" s="61"/>
      <c r="GA8" s="61"/>
      <c r="GB8" s="61"/>
      <c r="GC8" s="61"/>
      <c r="GD8" s="61"/>
      <c r="GE8" s="61"/>
      <c r="GF8" s="61"/>
      <c r="GG8" s="61"/>
      <c r="GH8" s="61"/>
      <c r="GI8" s="60"/>
      <c r="GJ8" s="62"/>
      <c r="GK8" s="62"/>
      <c r="GL8" s="62"/>
      <c r="GM8" s="62"/>
      <c r="GN8" s="63"/>
      <c r="GO8" s="63"/>
      <c r="GP8" s="62"/>
      <c r="GQ8" s="62"/>
      <c r="GR8" s="62"/>
      <c r="GS8" s="62"/>
      <c r="GT8" s="62"/>
      <c r="GU8" s="62"/>
      <c r="GV8" s="62"/>
      <c r="GW8" s="62"/>
      <c r="GX8" s="62"/>
      <c r="GY8" s="62"/>
      <c r="GZ8" s="62"/>
      <c r="HA8" s="65"/>
      <c r="HB8" s="62"/>
      <c r="HC8" s="62"/>
      <c r="HD8" s="62"/>
      <c r="HE8" s="65"/>
      <c r="HF8" s="62"/>
      <c r="HG8" s="65"/>
      <c r="HH8" s="62"/>
      <c r="HI8" s="61"/>
      <c r="HJ8" s="62"/>
      <c r="HK8" s="62"/>
      <c r="HL8" s="62"/>
      <c r="HM8" s="65"/>
      <c r="HN8" s="63"/>
      <c r="HO8" s="62"/>
      <c r="HP8" s="78"/>
      <c r="HQ8" s="60"/>
      <c r="HR8" s="63"/>
      <c r="HS8" s="62"/>
      <c r="HT8" s="63"/>
      <c r="HU8" s="62"/>
      <c r="HV8" s="62"/>
      <c r="HW8" s="62"/>
      <c r="HX8" s="79"/>
      <c r="HY8" s="62"/>
      <c r="HZ8" s="79"/>
      <c r="IA8" s="60"/>
      <c r="IB8" s="65"/>
      <c r="IC8" s="62"/>
      <c r="ID8" s="61"/>
      <c r="IE8" s="61"/>
      <c r="IF8" s="61"/>
      <c r="IG8" s="61"/>
      <c r="IH8" s="61"/>
      <c r="II8" s="61"/>
      <c r="IJ8" s="61"/>
      <c r="IK8" s="61"/>
      <c r="IL8" s="62"/>
      <c r="IM8" s="62"/>
      <c r="IN8" s="62" t="str">
        <f>IF(EJ8=0,"-",EJ8)</f>
        <v>-</v>
      </c>
      <c r="IO8" s="60"/>
      <c r="IP8" s="65"/>
      <c r="IQ8" s="62">
        <f>MIN(IR8,IT8,IV8,IX8,IZ8)</f>
        <v>0</v>
      </c>
      <c r="IR8" s="62"/>
      <c r="IS8" s="62"/>
      <c r="IT8" s="62"/>
      <c r="IU8" s="62"/>
      <c r="IV8" s="62"/>
      <c r="IW8" s="62"/>
      <c r="IX8" s="62"/>
      <c r="IY8" s="62"/>
      <c r="IZ8" s="62"/>
      <c r="JA8" s="62"/>
      <c r="JB8" s="62"/>
      <c r="JC8" s="62"/>
      <c r="JD8" s="62"/>
      <c r="JE8" s="62"/>
      <c r="JF8" s="62"/>
      <c r="JG8" s="62"/>
      <c r="JH8" s="65">
        <f>FJ8+30</f>
        <v>46425</v>
      </c>
      <c r="JI8" s="67" t="str">
        <f>"Q" &amp;INT((MONTH(JH8)+2)/3) &amp; "-" &amp; YEAR(JH8)</f>
        <v>Q1-2027</v>
      </c>
      <c r="JJ8" s="62"/>
      <c r="JK8" s="60"/>
      <c r="JL8" s="61"/>
      <c r="JM8" s="64"/>
      <c r="JN8" s="62"/>
      <c r="JO8" s="62"/>
      <c r="JP8" s="78"/>
      <c r="JQ8" s="61"/>
      <c r="JR8" s="60"/>
      <c r="JS8" s="62"/>
      <c r="JT8" s="62"/>
      <c r="JU8" s="62"/>
      <c r="JV8" s="62"/>
      <c r="JW8" s="62"/>
      <c r="JX8" s="62"/>
      <c r="JY8" s="60"/>
      <c r="JZ8" s="61"/>
      <c r="KA8" s="61"/>
      <c r="KB8" s="61"/>
      <c r="KC8" s="61"/>
      <c r="KD8" s="61"/>
      <c r="KE8" s="61"/>
      <c r="KF8" s="60"/>
      <c r="KG8" s="86"/>
      <c r="KH8" s="60"/>
      <c r="KI8" s="81" t="str">
        <f t="shared" ref="KI8:KI50" si="29">KK8</f>
        <v/>
      </c>
      <c r="KJ8" s="61" t="str">
        <f t="shared" ref="KJ8:KJ50" si="30">IFERROR(IF(FK8&lt;&gt;"","Live","Not Gated"),0)</f>
        <v>Not Gated</v>
      </c>
      <c r="KK8" s="61" t="str">
        <f t="shared" ref="KK8:KK50" si="31">IF(KJ8="Live",B8,"")</f>
        <v/>
      </c>
      <c r="KL8" s="62" t="str">
        <f t="shared" ref="KL8:KL50" si="32">IF(KJ8="Live",IF(JH8&gt;1000,JH8,""),"")</f>
        <v/>
      </c>
      <c r="KM8" s="62" t="str">
        <f t="shared" ref="KM8:KM50" si="33">IF(KJ8="Live",IF(JJ8&gt;1000,JJ8,""),"")</f>
        <v/>
      </c>
      <c r="KN8" s="61" t="str">
        <f t="shared" ref="KN8:KN50" si="34">O8</f>
        <v>Lattice</v>
      </c>
      <c r="KO8" s="61" t="str">
        <f t="shared" ref="KO8:KO50" si="35">E8</f>
        <v>EED</v>
      </c>
      <c r="KP8" s="131">
        <f t="shared" ref="KP8:KP50" si="36">FI8</f>
        <v>46388</v>
      </c>
      <c r="KQ8" s="131" t="str">
        <f t="shared" ref="KQ8:KQ50" si="37">IF(KJ8="Live",IF(JH8&gt;1000,JI8,"No Forcast Date"),"No Forcast Date")</f>
        <v>No Forcast Date</v>
      </c>
      <c r="KR8" s="61" t="str">
        <f t="shared" ref="KR8:KR50" si="38">(KP8 &amp; "  " &amp; KJ8 &amp; "  " &amp; "UTS" &amp; "  " &amp; KO8 &amp; "  " &amp; KQ8 &amp; "  ")</f>
        <v xml:space="preserve">46388  Not Gated  UTS  EED  No Forcast Date  </v>
      </c>
      <c r="KS8" s="61">
        <f t="shared" ref="KS8:KS50" si="39">IFERROR((FL8)," ")</f>
        <v>0</v>
      </c>
      <c r="KT8" s="61" t="str">
        <f t="shared" ref="KT8:KT50" si="40">IF(KJ8="Live",C8,"")</f>
        <v/>
      </c>
      <c r="KU8" s="61" t="str">
        <f t="shared" ref="KU8:KU50" si="41">M8</f>
        <v>Monopole</v>
      </c>
      <c r="KV8" s="61">
        <f t="shared" ref="KV8:KV50" si="42">N8</f>
        <v>30</v>
      </c>
      <c r="KW8" s="61" t="str">
        <f t="shared" ref="KW8:KW50" si="43">O8</f>
        <v>Lattice</v>
      </c>
      <c r="KX8" s="61">
        <f t="shared" ref="KX8:KX50" si="44">P8</f>
        <v>36</v>
      </c>
      <c r="KY8" s="60"/>
      <c r="KZ8" s="60"/>
      <c r="LA8" s="62"/>
      <c r="LB8" s="61"/>
      <c r="LC8" s="62"/>
      <c r="LD8" s="61"/>
      <c r="LE8" s="68" t="str">
        <f t="shared" ref="LE8:LE50" si="45">IF(LC8&lt;&gt;"",IF(LA8&lt;&gt;"",LC8-LA8,"-"),"-")</f>
        <v>-</v>
      </c>
      <c r="LF8" s="150" t="str">
        <f t="shared" ref="LF8:LF50" si="46">IF(LE8="-","-",LE8/30)</f>
        <v>-</v>
      </c>
      <c r="LG8" s="60"/>
      <c r="LH8" s="60"/>
      <c r="LI8" s="68">
        <f t="shared" ref="LI8:LI50" si="47">IF(BE8&lt;&gt;"",IF(AS8&lt;&gt;"",BE8-AS8,"-"),"-")</f>
        <v>344</v>
      </c>
      <c r="LJ8" s="150">
        <f t="shared" ref="LJ8:LJ50" si="48">IF(LI8="-","-",LI8/30)</f>
        <v>11.466666666666667</v>
      </c>
      <c r="LK8" s="60"/>
      <c r="LL8" s="68">
        <f t="shared" ref="LL8:LL50" si="49">IF(BV8&lt;&gt;"",IF(BV8&lt;&gt;"n/a",IF(AS8&lt;&gt;"",BV8-AS8,"-"),"-"),"-")</f>
        <v>791</v>
      </c>
      <c r="LM8" s="150">
        <f t="shared" ref="LM8:LM50" si="50">IF(LL8="-","-",LL8/30)</f>
        <v>26.366666666666667</v>
      </c>
      <c r="LN8" s="60"/>
      <c r="LO8" s="98">
        <f t="shared" ref="LO8:LO50" si="51">IF(BM8="",IF(BN8="","-",BN8),BM8)</f>
        <v>44890</v>
      </c>
      <c r="LP8" s="68">
        <f t="shared" ref="LP8:LP50" si="52">IF(BR8&lt;&gt;"",IF(BR8&lt;&gt;"n/a",IF(LO8&lt;&gt;"",BR8-LO8,"-"),"-"),"-")</f>
        <v>425</v>
      </c>
      <c r="LQ8" s="150">
        <f t="shared" ref="LQ8:LQ50" si="53">IF(LP8="-","-",LP8/30)</f>
        <v>14.166666666666666</v>
      </c>
      <c r="LR8" s="60"/>
      <c r="LS8" s="98">
        <f t="shared" ref="LS8:LS50" si="54">IF(BR8=0,"-",BR8)</f>
        <v>45315</v>
      </c>
      <c r="LT8" s="60"/>
      <c r="LU8" s="60"/>
      <c r="LV8" s="60"/>
      <c r="LW8" s="60"/>
      <c r="LX8" s="60"/>
      <c r="LY8" s="60"/>
      <c r="LZ8" s="60"/>
      <c r="MA8" s="60"/>
      <c r="MB8" s="60"/>
      <c r="MC8" s="60"/>
      <c r="MD8" s="60"/>
      <c r="ME8" s="60"/>
      <c r="MF8" s="60"/>
      <c r="MG8" s="60"/>
      <c r="MH8" s="60"/>
      <c r="MI8" s="60"/>
      <c r="MJ8" s="60"/>
      <c r="MK8" s="60"/>
      <c r="ML8" s="60"/>
      <c r="MM8" s="60"/>
      <c r="MN8" s="60"/>
      <c r="MO8" s="60"/>
    </row>
    <row r="9" spans="1:353" ht="21" customHeight="1" x14ac:dyDescent="0.25">
      <c r="B9" s="58" t="s">
        <v>641</v>
      </c>
      <c r="C9" s="58" t="s">
        <v>633</v>
      </c>
      <c r="D9" s="159" t="s">
        <v>447</v>
      </c>
      <c r="E9" s="159" t="s">
        <v>253</v>
      </c>
      <c r="F9" s="159" t="s">
        <v>478</v>
      </c>
      <c r="G9" s="159"/>
      <c r="H9" s="59"/>
      <c r="I9" s="159" t="s">
        <v>636</v>
      </c>
      <c r="J9" s="159" t="s">
        <v>636</v>
      </c>
      <c r="K9" s="159" t="s">
        <v>636</v>
      </c>
      <c r="L9" s="159" t="s">
        <v>637</v>
      </c>
      <c r="M9" s="159" t="s">
        <v>254</v>
      </c>
      <c r="N9" s="159">
        <v>50</v>
      </c>
      <c r="O9" s="159"/>
      <c r="P9" s="159"/>
      <c r="Q9" s="159"/>
      <c r="R9" s="160"/>
      <c r="S9" s="159"/>
      <c r="T9" s="159"/>
      <c r="U9" s="61" t="s">
        <v>359</v>
      </c>
      <c r="V9" s="61"/>
      <c r="W9" s="65"/>
      <c r="X9" s="62"/>
      <c r="Y9" s="61"/>
      <c r="Z9" s="61"/>
      <c r="AA9" s="61"/>
      <c r="AB9" s="62"/>
      <c r="AC9" s="62"/>
      <c r="AD9" s="62"/>
      <c r="AE9" s="63"/>
      <c r="AF9" s="62"/>
      <c r="AG9" s="62"/>
      <c r="AH9" s="62"/>
      <c r="AI9" s="61"/>
      <c r="AJ9" s="61"/>
      <c r="AK9" s="62"/>
      <c r="AL9" s="62"/>
      <c r="AM9" s="62"/>
      <c r="AN9" s="64"/>
      <c r="AO9" s="61"/>
      <c r="AP9" s="61"/>
      <c r="AQ9" s="61"/>
      <c r="AR9" s="65"/>
      <c r="AS9" s="62"/>
      <c r="AT9" s="62"/>
      <c r="AU9" s="61"/>
      <c r="AV9" s="61"/>
      <c r="AW9" s="61"/>
      <c r="AX9" s="62"/>
      <c r="AY9" s="62"/>
      <c r="AZ9" s="66"/>
      <c r="BA9" s="61"/>
      <c r="BB9" s="61"/>
      <c r="BC9" s="61"/>
      <c r="BD9" s="65"/>
      <c r="BE9" s="62"/>
      <c r="BF9" s="62"/>
      <c r="BG9" s="61"/>
      <c r="BH9" s="65"/>
      <c r="BI9" s="62"/>
      <c r="BJ9" s="62"/>
      <c r="BK9" s="61"/>
      <c r="BL9" s="62"/>
      <c r="BM9" s="62"/>
      <c r="BN9" s="62"/>
      <c r="BO9" s="61"/>
      <c r="BP9" s="65"/>
      <c r="BQ9" s="67"/>
      <c r="BR9" s="62"/>
      <c r="BS9" s="61"/>
      <c r="BT9" s="65"/>
      <c r="BU9" s="65"/>
      <c r="BV9" s="65"/>
      <c r="BW9" s="147"/>
      <c r="BX9" s="65">
        <f t="shared" si="28"/>
        <v>0</v>
      </c>
      <c r="BY9" s="61"/>
      <c r="BZ9" s="61" t="s">
        <v>437</v>
      </c>
      <c r="CA9" s="61"/>
      <c r="CB9" s="62"/>
      <c r="CC9" s="61"/>
      <c r="CD9" s="68"/>
      <c r="CE9" s="60"/>
      <c r="CF9" s="61"/>
      <c r="CG9" s="61"/>
      <c r="CH9" s="61"/>
      <c r="CI9" s="62"/>
      <c r="CJ9" s="62"/>
      <c r="CK9" s="61"/>
      <c r="CL9" s="69"/>
      <c r="CM9" s="61"/>
      <c r="CN9" s="61"/>
      <c r="CO9" s="61"/>
      <c r="CP9" s="61"/>
      <c r="CQ9" s="64"/>
      <c r="CR9" s="60"/>
      <c r="CS9" s="70"/>
      <c r="CT9" s="61"/>
      <c r="CU9" s="61"/>
      <c r="CV9" s="61"/>
      <c r="CW9" s="61"/>
      <c r="CX9" s="61"/>
      <c r="CY9" s="61"/>
      <c r="CZ9" s="61"/>
      <c r="DA9" s="61"/>
      <c r="DB9" s="61"/>
      <c r="DC9" s="61"/>
      <c r="DD9" s="61"/>
      <c r="DE9" s="61"/>
      <c r="DF9" s="61"/>
      <c r="DG9" s="64"/>
      <c r="DH9" s="60"/>
      <c r="DI9" s="62"/>
      <c r="DJ9" s="62"/>
      <c r="DK9" s="62"/>
      <c r="DL9" s="62"/>
      <c r="DM9" s="62"/>
      <c r="DN9" s="62"/>
      <c r="DO9" s="62"/>
      <c r="DP9" s="62"/>
      <c r="DQ9" s="62"/>
      <c r="DR9" s="62"/>
      <c r="DS9" s="62"/>
      <c r="DT9" s="62"/>
      <c r="DU9" s="62"/>
      <c r="DV9" s="62"/>
      <c r="DW9" s="62"/>
      <c r="DX9" s="62"/>
      <c r="DY9" s="62"/>
      <c r="DZ9" s="62"/>
      <c r="EA9" s="62"/>
      <c r="EB9" s="62"/>
      <c r="EC9" s="62"/>
      <c r="ED9" s="62"/>
      <c r="EE9" s="62"/>
      <c r="EF9" s="62"/>
      <c r="EG9" s="62"/>
      <c r="EH9" s="60"/>
      <c r="EI9" s="62"/>
      <c r="EJ9" s="62"/>
      <c r="EK9" s="61"/>
      <c r="EL9" s="70"/>
      <c r="EM9" s="71"/>
      <c r="EN9" s="133">
        <f>EO9+EY9</f>
        <v>1</v>
      </c>
      <c r="EO9" s="61">
        <f>COUNT(ES9:ET9)+COUNT(EP9:EQ9)</f>
        <v>0</v>
      </c>
      <c r="EP9" s="62"/>
      <c r="EQ9" s="72"/>
      <c r="ER9" s="73"/>
      <c r="ES9" s="62"/>
      <c r="ET9" s="62"/>
      <c r="EU9" s="62"/>
      <c r="EV9" s="62"/>
      <c r="EW9" s="62"/>
      <c r="EX9" s="62"/>
      <c r="EY9" s="61">
        <f>COUNT(FC9:FD9)+COUNT(EZ9:FA9)</f>
        <v>1</v>
      </c>
      <c r="EZ9" s="62">
        <v>46753</v>
      </c>
      <c r="FA9" s="61"/>
      <c r="FB9" s="74"/>
      <c r="FC9" s="62"/>
      <c r="FD9" s="62"/>
      <c r="FE9" s="61"/>
      <c r="FF9" s="68" t="str">
        <f>IF(BY9="Final Grant",IF(EO9&gt;0,"FP &amp; Demand","FP / No Demand"),IF(EO9&gt;0,"No FP &amp; Demand","No FP / No Demand"))</f>
        <v>No FP / No Demand</v>
      </c>
      <c r="FG9" s="76">
        <f>IF((MIN(EZ9:FD9))=0,"-",(MIN(EZ9:FD9)))</f>
        <v>46753</v>
      </c>
      <c r="FH9" s="65">
        <f>BT9</f>
        <v>0</v>
      </c>
      <c r="FI9" s="76"/>
      <c r="FJ9" s="62">
        <f>EZ9</f>
        <v>46753</v>
      </c>
      <c r="FK9" s="62"/>
      <c r="FL9" s="61"/>
      <c r="FM9" s="61"/>
      <c r="FN9" s="61"/>
      <c r="FO9" s="60"/>
      <c r="FP9" s="64"/>
      <c r="FQ9" s="64"/>
      <c r="FR9" s="61"/>
      <c r="FS9" s="61"/>
      <c r="FT9" s="61"/>
      <c r="FU9" s="61"/>
      <c r="FV9" s="60"/>
      <c r="FW9" s="61"/>
      <c r="FX9" s="61"/>
      <c r="FY9" s="61"/>
      <c r="FZ9" s="61"/>
      <c r="GA9" s="61"/>
      <c r="GB9" s="61"/>
      <c r="GC9" s="61"/>
      <c r="GD9" s="61"/>
      <c r="GE9" s="61"/>
      <c r="GF9" s="61"/>
      <c r="GG9" s="61"/>
      <c r="GH9" s="61"/>
      <c r="GI9" s="60"/>
      <c r="GJ9" s="62"/>
      <c r="GK9" s="62"/>
      <c r="GL9" s="62"/>
      <c r="GM9" s="62"/>
      <c r="GN9" s="63"/>
      <c r="GO9" s="63"/>
      <c r="GP9" s="62"/>
      <c r="GQ9" s="62"/>
      <c r="GR9" s="62"/>
      <c r="GS9" s="62"/>
      <c r="GT9" s="62"/>
      <c r="GU9" s="62"/>
      <c r="GV9" s="78"/>
      <c r="GW9" s="62"/>
      <c r="GX9" s="62"/>
      <c r="GY9" s="62"/>
      <c r="GZ9" s="62"/>
      <c r="HA9" s="67"/>
      <c r="HB9" s="62"/>
      <c r="HC9" s="62"/>
      <c r="HD9" s="62"/>
      <c r="HE9" s="65"/>
      <c r="HF9" s="62"/>
      <c r="HG9" s="65"/>
      <c r="HH9" s="62"/>
      <c r="HI9" s="61"/>
      <c r="HJ9" s="62"/>
      <c r="HK9" s="62"/>
      <c r="HL9" s="62"/>
      <c r="HM9" s="65"/>
      <c r="HN9" s="63"/>
      <c r="HO9" s="62"/>
      <c r="HP9" s="78"/>
      <c r="HQ9" s="60"/>
      <c r="HR9" s="63"/>
      <c r="HS9" s="62"/>
      <c r="HT9" s="63"/>
      <c r="HU9" s="62"/>
      <c r="HV9" s="62"/>
      <c r="HW9" s="62"/>
      <c r="HX9" s="79"/>
      <c r="HY9" s="62"/>
      <c r="HZ9" s="79"/>
      <c r="IA9" s="60"/>
      <c r="IB9" s="65"/>
      <c r="IC9" s="62"/>
      <c r="ID9" s="61"/>
      <c r="IE9" s="61"/>
      <c r="IF9" s="61"/>
      <c r="IG9" s="61"/>
      <c r="IH9" s="61"/>
      <c r="II9" s="61"/>
      <c r="IJ9" s="61"/>
      <c r="IK9" s="61"/>
      <c r="IL9" s="62"/>
      <c r="IM9" s="62"/>
      <c r="IN9" s="62" t="str">
        <f>IF(EJ9=0,"-",EJ9)</f>
        <v>-</v>
      </c>
      <c r="IO9" s="60"/>
      <c r="IP9" s="65"/>
      <c r="IQ9" s="62">
        <f>MIN(IR9,IT9,IV9,IX9,IZ9)</f>
        <v>0</v>
      </c>
      <c r="IR9" s="62"/>
      <c r="IS9" s="62"/>
      <c r="IT9" s="62"/>
      <c r="IU9" s="62"/>
      <c r="IV9" s="62"/>
      <c r="IW9" s="62"/>
      <c r="IX9" s="62"/>
      <c r="IY9" s="62"/>
      <c r="IZ9" s="62"/>
      <c r="JA9" s="62"/>
      <c r="JB9" s="62"/>
      <c r="JC9" s="62"/>
      <c r="JD9" s="62"/>
      <c r="JE9" s="62"/>
      <c r="JF9" s="62"/>
      <c r="JG9" s="62"/>
      <c r="JH9" s="65">
        <f>FJ9+30</f>
        <v>46783</v>
      </c>
      <c r="JI9" s="67" t="str">
        <f>"Q" &amp;INT((MONTH(JH9)+2)/3) &amp; "-" &amp; YEAR(JH9)</f>
        <v>Q1-2028</v>
      </c>
      <c r="JJ9" s="62"/>
      <c r="JK9" s="60"/>
      <c r="JL9" s="61"/>
      <c r="JM9" s="64"/>
      <c r="JN9" s="62"/>
      <c r="JO9" s="62"/>
      <c r="JP9" s="78"/>
      <c r="JQ9" s="61"/>
      <c r="JR9" s="60"/>
      <c r="JS9" s="62"/>
      <c r="JT9" s="62"/>
      <c r="JU9" s="62"/>
      <c r="JV9" s="62"/>
      <c r="JW9" s="62"/>
      <c r="JX9" s="62"/>
      <c r="JY9" s="60"/>
      <c r="JZ9" s="61"/>
      <c r="KA9" s="61"/>
      <c r="KB9" s="61"/>
      <c r="KC9" s="61"/>
      <c r="KD9" s="61"/>
      <c r="KE9" s="61"/>
      <c r="KF9" s="60"/>
      <c r="KG9" s="86"/>
      <c r="KH9" s="60"/>
      <c r="KI9" s="81" t="str">
        <f t="shared" si="29"/>
        <v/>
      </c>
      <c r="KJ9" s="61" t="str">
        <f t="shared" si="30"/>
        <v>Not Gated</v>
      </c>
      <c r="KK9" s="61" t="str">
        <f t="shared" si="31"/>
        <v/>
      </c>
      <c r="KL9" s="62" t="str">
        <f t="shared" si="32"/>
        <v/>
      </c>
      <c r="KM9" s="62" t="str">
        <f t="shared" si="33"/>
        <v/>
      </c>
      <c r="KN9" s="61">
        <f t="shared" si="34"/>
        <v>0</v>
      </c>
      <c r="KO9" s="61" t="str">
        <f t="shared" si="35"/>
        <v>EED</v>
      </c>
      <c r="KP9" s="131">
        <f t="shared" si="36"/>
        <v>0</v>
      </c>
      <c r="KQ9" s="131" t="str">
        <f t="shared" si="37"/>
        <v>No Forcast Date</v>
      </c>
      <c r="KR9" s="61" t="str">
        <f t="shared" si="38"/>
        <v xml:space="preserve">0  Not Gated  UTS  EED  No Forcast Date  </v>
      </c>
      <c r="KS9" s="61">
        <f t="shared" si="39"/>
        <v>0</v>
      </c>
      <c r="KT9" s="61" t="str">
        <f t="shared" si="40"/>
        <v/>
      </c>
      <c r="KU9" s="61" t="str">
        <f t="shared" si="41"/>
        <v>Lattice Mast</v>
      </c>
      <c r="KV9" s="61">
        <f t="shared" si="42"/>
        <v>50</v>
      </c>
      <c r="KW9" s="61">
        <f t="shared" si="43"/>
        <v>0</v>
      </c>
      <c r="KX9" s="61">
        <f t="shared" si="44"/>
        <v>0</v>
      </c>
      <c r="KY9" s="60"/>
      <c r="KZ9" s="60"/>
      <c r="LA9" s="62"/>
      <c r="LB9" s="61"/>
      <c r="LC9" s="62"/>
      <c r="LD9" s="61"/>
      <c r="LE9" s="68" t="str">
        <f t="shared" si="45"/>
        <v>-</v>
      </c>
      <c r="LF9" s="150" t="str">
        <f t="shared" si="46"/>
        <v>-</v>
      </c>
      <c r="LG9" s="60"/>
      <c r="LH9" s="60"/>
      <c r="LI9" s="68" t="str">
        <f t="shared" si="47"/>
        <v>-</v>
      </c>
      <c r="LJ9" s="150" t="str">
        <f t="shared" si="48"/>
        <v>-</v>
      </c>
      <c r="LK9" s="60"/>
      <c r="LL9" s="68" t="str">
        <f t="shared" si="49"/>
        <v>-</v>
      </c>
      <c r="LM9" s="150" t="str">
        <f t="shared" si="50"/>
        <v>-</v>
      </c>
      <c r="LN9" s="60"/>
      <c r="LO9" s="98" t="str">
        <f t="shared" si="51"/>
        <v>-</v>
      </c>
      <c r="LP9" s="68" t="str">
        <f t="shared" si="52"/>
        <v>-</v>
      </c>
      <c r="LQ9" s="150" t="str">
        <f t="shared" si="53"/>
        <v>-</v>
      </c>
      <c r="LR9" s="60"/>
      <c r="LS9" s="98" t="str">
        <f t="shared" si="54"/>
        <v>-</v>
      </c>
      <c r="LT9" s="60"/>
      <c r="LU9" s="60"/>
      <c r="LV9" s="60"/>
      <c r="LW9" s="60"/>
      <c r="LX9" s="60"/>
      <c r="LY9" s="60"/>
      <c r="LZ9" s="60"/>
      <c r="MA9" s="60"/>
      <c r="MB9" s="60"/>
      <c r="MC9" s="60"/>
      <c r="MD9" s="60"/>
      <c r="ME9" s="60"/>
      <c r="MF9" s="60"/>
      <c r="MG9" s="60"/>
      <c r="MH9" s="60"/>
      <c r="MI9" s="60"/>
      <c r="MJ9" s="60"/>
      <c r="MK9" s="60"/>
      <c r="ML9" s="60"/>
      <c r="MM9" s="60"/>
      <c r="MN9" s="60"/>
      <c r="MO9" s="60"/>
    </row>
    <row r="10" spans="1:353" ht="21" customHeight="1" x14ac:dyDescent="0.25">
      <c r="B10" s="84" t="s">
        <v>642</v>
      </c>
      <c r="C10" s="58" t="s">
        <v>633</v>
      </c>
      <c r="D10" s="159" t="s">
        <v>267</v>
      </c>
      <c r="E10" s="159" t="s">
        <v>253</v>
      </c>
      <c r="F10" s="159" t="s">
        <v>471</v>
      </c>
      <c r="G10" s="159"/>
      <c r="H10" s="59"/>
      <c r="I10" s="159" t="s">
        <v>636</v>
      </c>
      <c r="J10" s="159" t="s">
        <v>636</v>
      </c>
      <c r="K10" s="159" t="s">
        <v>636</v>
      </c>
      <c r="L10" s="159" t="s">
        <v>637</v>
      </c>
      <c r="M10" s="159" t="s">
        <v>255</v>
      </c>
      <c r="N10" s="159">
        <v>12</v>
      </c>
      <c r="O10" s="159" t="s">
        <v>240</v>
      </c>
      <c r="P10" s="159">
        <v>24</v>
      </c>
      <c r="Q10" s="159"/>
      <c r="R10" s="160"/>
      <c r="S10" s="159"/>
      <c r="T10" s="159"/>
      <c r="U10" s="61" t="s">
        <v>268</v>
      </c>
      <c r="V10" s="61">
        <v>3</v>
      </c>
      <c r="W10" s="65">
        <f>AB10</f>
        <v>47424</v>
      </c>
      <c r="X10" s="62"/>
      <c r="Y10" s="61" t="s">
        <v>241</v>
      </c>
      <c r="Z10" s="61" t="s">
        <v>242</v>
      </c>
      <c r="AA10" s="61">
        <v>1000</v>
      </c>
      <c r="AB10" s="62">
        <f>AR10-60</f>
        <v>47424</v>
      </c>
      <c r="AC10" s="62"/>
      <c r="AD10" s="62"/>
      <c r="AE10" s="63"/>
      <c r="AF10" s="62"/>
      <c r="AG10" s="62"/>
      <c r="AH10" s="62"/>
      <c r="AI10" s="61" t="s">
        <v>257</v>
      </c>
      <c r="AJ10" s="61" t="s">
        <v>245</v>
      </c>
      <c r="AK10" s="62"/>
      <c r="AL10" s="62"/>
      <c r="AM10" s="62"/>
      <c r="AN10" s="64"/>
      <c r="AO10" s="61" t="s">
        <v>246</v>
      </c>
      <c r="AP10" s="61"/>
      <c r="AQ10" s="61" t="s">
        <v>248</v>
      </c>
      <c r="AR10" s="65">
        <v>47484</v>
      </c>
      <c r="AS10" s="62"/>
      <c r="AT10" s="62"/>
      <c r="AU10" s="61"/>
      <c r="AV10" s="61"/>
      <c r="AW10" s="61"/>
      <c r="AX10" s="62"/>
      <c r="AY10" s="62"/>
      <c r="AZ10" s="66"/>
      <c r="BA10" s="62"/>
      <c r="BB10" s="61"/>
      <c r="BC10" s="61"/>
      <c r="BD10" s="65">
        <f>AR10+60</f>
        <v>47544</v>
      </c>
      <c r="BE10" s="62"/>
      <c r="BF10" s="62"/>
      <c r="BG10" s="61"/>
      <c r="BH10" s="65">
        <f>BD10+35</f>
        <v>47579</v>
      </c>
      <c r="BI10" s="62"/>
      <c r="BJ10" s="62"/>
      <c r="BK10" s="61">
        <v>2031</v>
      </c>
      <c r="BL10" s="62"/>
      <c r="BM10" s="62"/>
      <c r="BN10" s="62"/>
      <c r="BO10" s="61"/>
      <c r="BP10" s="65">
        <f>BH10+360</f>
        <v>47939</v>
      </c>
      <c r="BQ10" s="67" t="s">
        <v>249</v>
      </c>
      <c r="BR10" s="62"/>
      <c r="BS10" s="61"/>
      <c r="BT10" s="65">
        <f>BP10</f>
        <v>47939</v>
      </c>
      <c r="BU10" s="65" t="s">
        <v>249</v>
      </c>
      <c r="BV10" s="65"/>
      <c r="BW10" s="147"/>
      <c r="BX10" s="65">
        <f t="shared" si="28"/>
        <v>0</v>
      </c>
      <c r="BY10" s="61"/>
      <c r="BZ10" s="61">
        <v>2</v>
      </c>
      <c r="CA10" s="61"/>
      <c r="CB10" s="62"/>
      <c r="CC10" s="61"/>
      <c r="CD10" s="68" t="s">
        <v>537</v>
      </c>
      <c r="CE10" s="60" t="s">
        <v>251</v>
      </c>
      <c r="CF10" s="61"/>
      <c r="CG10" s="61"/>
      <c r="CH10" s="61"/>
      <c r="CI10" s="62"/>
      <c r="CJ10" s="62"/>
      <c r="CK10" s="61"/>
      <c r="CL10" s="69"/>
      <c r="CM10" s="61"/>
      <c r="CN10" s="61"/>
      <c r="CO10" s="61"/>
      <c r="CP10" s="61"/>
      <c r="CQ10" s="64"/>
      <c r="CR10" s="60"/>
      <c r="CS10" s="70"/>
      <c r="CT10" s="61"/>
      <c r="CU10" s="61"/>
      <c r="CV10" s="61"/>
      <c r="CW10" s="61"/>
      <c r="CX10" s="61"/>
      <c r="CY10" s="61"/>
      <c r="CZ10" s="61"/>
      <c r="DA10" s="61"/>
      <c r="DB10" s="61"/>
      <c r="DC10" s="61"/>
      <c r="DD10" s="61"/>
      <c r="DE10" s="61"/>
      <c r="DF10" s="61"/>
      <c r="DG10" s="64"/>
      <c r="DH10" s="60"/>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0"/>
      <c r="EI10" s="62"/>
      <c r="EJ10" s="62"/>
      <c r="EK10" s="61"/>
      <c r="EL10" s="70"/>
      <c r="EM10" s="71"/>
      <c r="EN10" s="133">
        <f>EO10+EY10</f>
        <v>1</v>
      </c>
      <c r="EO10" s="61">
        <f>COUNT(ES10:ET10)+COUNT(EP10:EQ10)</f>
        <v>0</v>
      </c>
      <c r="EP10" s="62"/>
      <c r="EQ10" s="62"/>
      <c r="ER10" s="73"/>
      <c r="ES10" s="62"/>
      <c r="ET10" s="62"/>
      <c r="EU10" s="62"/>
      <c r="EV10" s="62"/>
      <c r="EW10" s="62"/>
      <c r="EX10" s="62"/>
      <c r="EY10" s="61">
        <f>COUNT(FC10:FD10)+COUNT(EZ10:FA10)</f>
        <v>1</v>
      </c>
      <c r="EZ10" s="117">
        <v>46023</v>
      </c>
      <c r="FA10" s="61"/>
      <c r="FB10" s="73">
        <v>46023</v>
      </c>
      <c r="FC10" s="61"/>
      <c r="FD10" s="61"/>
      <c r="FE10" s="61"/>
      <c r="FF10" s="68" t="str">
        <f>IF(BY10="Final Grant",IF(EO10&gt;0,"FP &amp; Demand","FP / No Demand"),IF(EO10&gt;0,"No FP &amp; Demand","No FP / No Demand"))</f>
        <v>No FP / No Demand</v>
      </c>
      <c r="FG10" s="76">
        <f>IF((MIN(EZ10:FD10))=0,"-",(MIN(EZ10:FD10)))</f>
        <v>46023</v>
      </c>
      <c r="FH10" s="65">
        <f>BT10</f>
        <v>47939</v>
      </c>
      <c r="FI10" s="76"/>
      <c r="FJ10" s="62"/>
      <c r="FK10" s="62"/>
      <c r="FL10" s="61"/>
      <c r="FM10" s="61"/>
      <c r="FN10" s="61"/>
      <c r="FO10" s="60"/>
      <c r="FP10" s="64"/>
      <c r="FQ10" s="64"/>
      <c r="FR10" s="61"/>
      <c r="FS10" s="61"/>
      <c r="FT10" s="61"/>
      <c r="FU10" s="61"/>
      <c r="FV10" s="60"/>
      <c r="FW10" s="61"/>
      <c r="FX10" s="61"/>
      <c r="FY10" s="61"/>
      <c r="FZ10" s="61"/>
      <c r="GA10" s="61"/>
      <c r="GB10" s="61"/>
      <c r="GC10" s="61"/>
      <c r="GD10" s="61"/>
      <c r="GE10" s="61"/>
      <c r="GF10" s="61"/>
      <c r="GG10" s="61"/>
      <c r="GH10" s="61"/>
      <c r="GI10" s="60"/>
      <c r="GJ10" s="62"/>
      <c r="GK10" s="62"/>
      <c r="GL10" s="62"/>
      <c r="GM10" s="62"/>
      <c r="GN10" s="63"/>
      <c r="GO10" s="63"/>
      <c r="GP10" s="62"/>
      <c r="GQ10" s="62"/>
      <c r="GR10" s="62"/>
      <c r="GS10" s="62"/>
      <c r="GT10" s="62"/>
      <c r="GU10" s="62"/>
      <c r="GV10" s="78"/>
      <c r="GW10" s="62" t="s">
        <v>257</v>
      </c>
      <c r="GX10" s="62"/>
      <c r="GY10" s="62"/>
      <c r="GZ10" s="62"/>
      <c r="HA10" s="65"/>
      <c r="HB10" s="62"/>
      <c r="HC10" s="62"/>
      <c r="HD10" s="62"/>
      <c r="HE10" s="65"/>
      <c r="HF10" s="62"/>
      <c r="HG10" s="65">
        <f>FJ10+10</f>
        <v>10</v>
      </c>
      <c r="HH10" s="62"/>
      <c r="HI10" s="61"/>
      <c r="HJ10" s="62"/>
      <c r="HK10" s="62"/>
      <c r="HL10" s="62"/>
      <c r="HM10" s="65">
        <f>IF(GW10="Yes",HG10+50)</f>
        <v>60</v>
      </c>
      <c r="HN10" s="63"/>
      <c r="HO10" s="62"/>
      <c r="HP10" s="78"/>
      <c r="HQ10" s="60"/>
      <c r="HR10" s="63"/>
      <c r="HS10" s="62"/>
      <c r="HT10" s="63"/>
      <c r="HU10" s="62"/>
      <c r="HV10" s="62"/>
      <c r="HW10" s="62"/>
      <c r="HX10" s="79"/>
      <c r="HY10" s="62"/>
      <c r="HZ10" s="79"/>
      <c r="IA10" s="60"/>
      <c r="IB10" s="65">
        <f>HM10+10</f>
        <v>70</v>
      </c>
      <c r="IC10" s="62"/>
      <c r="ID10" s="61"/>
      <c r="IE10" s="61"/>
      <c r="IF10" s="61"/>
      <c r="IG10" s="61"/>
      <c r="IH10" s="61"/>
      <c r="II10" s="61"/>
      <c r="IJ10" s="61"/>
      <c r="IK10" s="61"/>
      <c r="IL10" s="62"/>
      <c r="IM10" s="62"/>
      <c r="IN10" s="62" t="str">
        <f>IF(EJ10=0,"-",EJ10)</f>
        <v>-</v>
      </c>
      <c r="IO10" s="60"/>
      <c r="IP10" s="65">
        <f>IB10+30</f>
        <v>100</v>
      </c>
      <c r="IQ10" s="62">
        <f>MIN(IR10,IT10,IV10,IX10,IZ10)</f>
        <v>0</v>
      </c>
      <c r="IR10" s="62"/>
      <c r="IS10" s="62"/>
      <c r="IT10" s="62"/>
      <c r="IU10" s="62"/>
      <c r="IV10" s="62"/>
      <c r="IW10" s="62"/>
      <c r="IX10" s="62"/>
      <c r="IY10" s="62"/>
      <c r="IZ10" s="62"/>
      <c r="JA10" s="62"/>
      <c r="JB10" s="62"/>
      <c r="JC10" s="62"/>
      <c r="JD10" s="62"/>
      <c r="JE10" s="62"/>
      <c r="JF10" s="62"/>
      <c r="JG10" s="62"/>
      <c r="JH10" s="65">
        <f>IP10+60</f>
        <v>160</v>
      </c>
      <c r="JI10" s="67" t="str">
        <f>"Q" &amp;INT((MONTH(JH10)+2)/3) &amp; "-" &amp; YEAR(JH10)</f>
        <v>Q2-1900</v>
      </c>
      <c r="JJ10" s="62"/>
      <c r="JK10" s="60"/>
      <c r="JL10" s="61"/>
      <c r="JM10" s="64"/>
      <c r="JN10" s="62"/>
      <c r="JO10" s="62"/>
      <c r="JP10" s="78"/>
      <c r="JQ10" s="61"/>
      <c r="JR10" s="60"/>
      <c r="JS10" s="62"/>
      <c r="JT10" s="62"/>
      <c r="JU10" s="62"/>
      <c r="JV10" s="62"/>
      <c r="JW10" s="62"/>
      <c r="JX10" s="62"/>
      <c r="JY10" s="60"/>
      <c r="JZ10" s="61"/>
      <c r="KA10" s="61"/>
      <c r="KB10" s="61"/>
      <c r="KC10" s="61"/>
      <c r="KD10" s="61"/>
      <c r="KE10" s="61"/>
      <c r="KF10" s="60"/>
      <c r="KG10" s="86"/>
      <c r="KH10" s="60"/>
      <c r="KI10" s="81" t="str">
        <f t="shared" si="29"/>
        <v/>
      </c>
      <c r="KJ10" s="61" t="str">
        <f t="shared" si="30"/>
        <v>Not Gated</v>
      </c>
      <c r="KK10" s="61" t="str">
        <f t="shared" si="31"/>
        <v/>
      </c>
      <c r="KL10" s="62" t="str">
        <f t="shared" si="32"/>
        <v/>
      </c>
      <c r="KM10" s="62" t="str">
        <f t="shared" si="33"/>
        <v/>
      </c>
      <c r="KN10" s="61" t="str">
        <f t="shared" si="34"/>
        <v>Monopole</v>
      </c>
      <c r="KO10" s="61" t="str">
        <f t="shared" si="35"/>
        <v>EED</v>
      </c>
      <c r="KP10" s="131">
        <f t="shared" si="36"/>
        <v>0</v>
      </c>
      <c r="KQ10" s="131" t="str">
        <f t="shared" si="37"/>
        <v>No Forcast Date</v>
      </c>
      <c r="KR10" s="61" t="str">
        <f t="shared" si="38"/>
        <v xml:space="preserve">0  Not Gated  UTS  EED  No Forcast Date  </v>
      </c>
      <c r="KS10" s="61">
        <f t="shared" si="39"/>
        <v>0</v>
      </c>
      <c r="KT10" s="61" t="str">
        <f t="shared" si="40"/>
        <v/>
      </c>
      <c r="KU10" s="61" t="str">
        <f t="shared" si="41"/>
        <v>Lattice</v>
      </c>
      <c r="KV10" s="61">
        <f t="shared" si="42"/>
        <v>12</v>
      </c>
      <c r="KW10" s="61" t="str">
        <f t="shared" si="43"/>
        <v>Monopole</v>
      </c>
      <c r="KX10" s="61">
        <f t="shared" si="44"/>
        <v>24</v>
      </c>
      <c r="KY10" s="60"/>
      <c r="KZ10" s="60"/>
      <c r="LA10" s="62"/>
      <c r="LB10" s="61"/>
      <c r="LC10" s="62"/>
      <c r="LD10" s="61"/>
      <c r="LE10" s="68" t="str">
        <f t="shared" si="45"/>
        <v>-</v>
      </c>
      <c r="LF10" s="150" t="str">
        <f t="shared" si="46"/>
        <v>-</v>
      </c>
      <c r="LG10" s="60"/>
      <c r="LH10" s="60"/>
      <c r="LI10" s="68" t="str">
        <f t="shared" si="47"/>
        <v>-</v>
      </c>
      <c r="LJ10" s="150" t="str">
        <f t="shared" si="48"/>
        <v>-</v>
      </c>
      <c r="LK10" s="60"/>
      <c r="LL10" s="68" t="str">
        <f t="shared" si="49"/>
        <v>-</v>
      </c>
      <c r="LM10" s="150" t="str">
        <f t="shared" si="50"/>
        <v>-</v>
      </c>
      <c r="LN10" s="60"/>
      <c r="LO10" s="98" t="str">
        <f t="shared" si="51"/>
        <v>-</v>
      </c>
      <c r="LP10" s="68" t="str">
        <f t="shared" si="52"/>
        <v>-</v>
      </c>
      <c r="LQ10" s="150" t="str">
        <f t="shared" si="53"/>
        <v>-</v>
      </c>
      <c r="LR10" s="60"/>
      <c r="LS10" s="98" t="str">
        <f t="shared" si="54"/>
        <v>-</v>
      </c>
      <c r="LT10" s="60"/>
      <c r="LU10" s="60"/>
      <c r="LV10" s="60"/>
      <c r="LW10" s="60"/>
      <c r="LX10" s="60"/>
      <c r="LY10" s="60"/>
      <c r="LZ10" s="60"/>
      <c r="MA10" s="60"/>
      <c r="MB10" s="60"/>
      <c r="MC10" s="60"/>
      <c r="MD10" s="60"/>
      <c r="ME10" s="60"/>
      <c r="MF10" s="60"/>
      <c r="MG10" s="60"/>
      <c r="MH10" s="60"/>
      <c r="MI10" s="60"/>
      <c r="MJ10" s="60"/>
      <c r="MK10" s="60"/>
      <c r="ML10" s="60"/>
      <c r="MM10" s="60"/>
      <c r="MN10" s="60"/>
      <c r="MO10" s="60"/>
    </row>
    <row r="11" spans="1:353" ht="21" customHeight="1" x14ac:dyDescent="0.25">
      <c r="B11" s="84" t="s">
        <v>642</v>
      </c>
      <c r="C11" s="58" t="s">
        <v>633</v>
      </c>
      <c r="D11" s="159" t="s">
        <v>267</v>
      </c>
      <c r="E11" s="159" t="s">
        <v>253</v>
      </c>
      <c r="F11" s="159" t="s">
        <v>576</v>
      </c>
      <c r="G11" s="159"/>
      <c r="H11" s="68"/>
      <c r="I11" s="159" t="s">
        <v>636</v>
      </c>
      <c r="J11" s="159" t="s">
        <v>636</v>
      </c>
      <c r="K11" s="159" t="s">
        <v>636</v>
      </c>
      <c r="L11" s="159" t="s">
        <v>637</v>
      </c>
      <c r="M11" s="159" t="s">
        <v>255</v>
      </c>
      <c r="N11" s="159">
        <v>12</v>
      </c>
      <c r="O11" s="159" t="s">
        <v>255</v>
      </c>
      <c r="P11" s="159">
        <v>24</v>
      </c>
      <c r="Q11" s="159"/>
      <c r="R11" s="160"/>
      <c r="S11" s="159"/>
      <c r="T11" s="159"/>
      <c r="U11" s="61" t="s">
        <v>268</v>
      </c>
      <c r="V11" s="61">
        <v>3</v>
      </c>
      <c r="W11" s="65"/>
      <c r="X11" s="72">
        <v>44834</v>
      </c>
      <c r="Y11" s="61" t="s">
        <v>305</v>
      </c>
      <c r="Z11" s="61" t="s">
        <v>242</v>
      </c>
      <c r="AA11" s="61">
        <v>1000</v>
      </c>
      <c r="AB11" s="72">
        <v>44834</v>
      </c>
      <c r="AC11" s="72">
        <v>44861</v>
      </c>
      <c r="AD11" s="72">
        <v>44879</v>
      </c>
      <c r="AE11" s="62"/>
      <c r="AF11" s="72">
        <v>44879</v>
      </c>
      <c r="AG11" s="61"/>
      <c r="AH11" s="61"/>
      <c r="AI11" s="61" t="s">
        <v>257</v>
      </c>
      <c r="AJ11" s="61" t="s">
        <v>248</v>
      </c>
      <c r="AK11" s="72" t="s">
        <v>257</v>
      </c>
      <c r="AL11" s="72">
        <v>44977</v>
      </c>
      <c r="AM11" s="61"/>
      <c r="AN11" s="61"/>
      <c r="AO11" s="61" t="s">
        <v>246</v>
      </c>
      <c r="AP11" s="61"/>
      <c r="AQ11" s="61"/>
      <c r="AR11" s="65">
        <v>44881</v>
      </c>
      <c r="AS11" s="72">
        <v>44881</v>
      </c>
      <c r="AT11" s="72" t="s">
        <v>257</v>
      </c>
      <c r="AU11" s="61">
        <v>221229</v>
      </c>
      <c r="AV11" s="61"/>
      <c r="AW11" s="61"/>
      <c r="AX11" s="62"/>
      <c r="AY11" s="62"/>
      <c r="AZ11" s="62"/>
      <c r="BA11" s="62"/>
      <c r="BB11" s="61"/>
      <c r="BC11" s="61"/>
      <c r="BD11" s="65">
        <v>45063</v>
      </c>
      <c r="BE11" s="72">
        <v>44950</v>
      </c>
      <c r="BF11" s="75" t="s">
        <v>307</v>
      </c>
      <c r="BG11" s="61">
        <v>0</v>
      </c>
      <c r="BH11" s="65">
        <v>45098</v>
      </c>
      <c r="BI11" s="62"/>
      <c r="BJ11" s="62" t="s">
        <v>344</v>
      </c>
      <c r="BK11" s="61">
        <v>2024</v>
      </c>
      <c r="BL11" s="62">
        <v>44977</v>
      </c>
      <c r="BM11" s="72">
        <v>44977</v>
      </c>
      <c r="BN11" s="62"/>
      <c r="BO11" s="61">
        <v>315860</v>
      </c>
      <c r="BP11" s="65">
        <v>45412</v>
      </c>
      <c r="BQ11" s="67"/>
      <c r="BR11" s="72">
        <v>45391</v>
      </c>
      <c r="BS11" s="61" t="s">
        <v>307</v>
      </c>
      <c r="BT11" s="65">
        <v>45412</v>
      </c>
      <c r="BU11" s="65" t="s">
        <v>292</v>
      </c>
      <c r="BV11" s="65">
        <v>45391</v>
      </c>
      <c r="BW11" s="147" t="s">
        <v>307</v>
      </c>
      <c r="BX11" s="65">
        <f t="shared" si="28"/>
        <v>0</v>
      </c>
      <c r="BY11" s="61" t="s">
        <v>363</v>
      </c>
      <c r="BZ11" s="61" t="s">
        <v>366</v>
      </c>
      <c r="CA11" s="61"/>
      <c r="CB11" s="61"/>
      <c r="CC11" s="62"/>
      <c r="CD11" s="68" t="s">
        <v>575</v>
      </c>
      <c r="CE11" s="60" t="s">
        <v>384</v>
      </c>
      <c r="CF11" s="61"/>
      <c r="CG11" s="61"/>
      <c r="CH11" s="61"/>
      <c r="CI11" s="62"/>
      <c r="CJ11" s="62"/>
      <c r="CK11" s="61"/>
      <c r="CL11" s="69"/>
      <c r="CM11" s="61"/>
      <c r="CN11" s="61"/>
      <c r="CO11" s="61"/>
      <c r="CP11" s="61"/>
      <c r="CQ11" s="64"/>
      <c r="CR11" s="60"/>
      <c r="CS11" s="70"/>
      <c r="CT11" s="61"/>
      <c r="CU11" s="61"/>
      <c r="CV11" s="61"/>
      <c r="CW11" s="61"/>
      <c r="CX11" s="61"/>
      <c r="CY11" s="61"/>
      <c r="CZ11" s="61"/>
      <c r="DA11" s="61"/>
      <c r="DB11" s="61"/>
      <c r="DC11" s="61"/>
      <c r="DD11" s="61"/>
      <c r="DE11" s="61"/>
      <c r="DF11" s="61"/>
      <c r="DG11" s="61"/>
      <c r="DH11" s="60"/>
      <c r="DI11" s="61"/>
      <c r="DJ11" s="61"/>
      <c r="DK11" s="61"/>
      <c r="DL11" s="61"/>
      <c r="DM11" s="62"/>
      <c r="DN11" s="62"/>
      <c r="DO11" s="61"/>
      <c r="DP11" s="61"/>
      <c r="DQ11" s="61"/>
      <c r="DR11" s="61"/>
      <c r="DS11" s="61"/>
      <c r="DT11" s="61"/>
      <c r="DU11" s="61"/>
      <c r="DV11" s="61"/>
      <c r="DW11" s="61"/>
      <c r="DX11" s="61"/>
      <c r="DY11" s="61"/>
      <c r="DZ11" s="61"/>
      <c r="EA11" s="61"/>
      <c r="EB11" s="61"/>
      <c r="EC11" s="61"/>
      <c r="ED11" s="61"/>
      <c r="EE11" s="61"/>
      <c r="EF11" s="61"/>
      <c r="EG11" s="61"/>
      <c r="EH11" s="60"/>
      <c r="EI11" s="62"/>
      <c r="EJ11" s="62"/>
      <c r="EK11" s="61"/>
      <c r="EL11" s="70"/>
      <c r="EM11" s="60"/>
      <c r="EN11" s="60"/>
      <c r="EO11" s="60"/>
      <c r="EP11" s="60"/>
      <c r="EQ11" s="60"/>
      <c r="ER11" s="60"/>
      <c r="ES11" s="60"/>
      <c r="ET11" s="60"/>
      <c r="EU11" s="60"/>
      <c r="EV11" s="60"/>
      <c r="EW11" s="60"/>
      <c r="EX11" s="60"/>
      <c r="EY11" s="60"/>
      <c r="EZ11" s="60"/>
      <c r="FA11" s="60"/>
      <c r="FB11" s="60"/>
      <c r="FC11" s="60"/>
      <c r="FD11" s="60"/>
      <c r="FE11" s="60"/>
      <c r="FF11" s="60"/>
      <c r="FG11" s="60"/>
      <c r="FH11" s="60"/>
      <c r="FI11" s="60"/>
      <c r="FJ11" s="60"/>
      <c r="FK11" s="60"/>
      <c r="FL11" s="60"/>
      <c r="FM11" s="60"/>
      <c r="FN11" s="60"/>
      <c r="FO11" s="60"/>
      <c r="FP11" s="60"/>
      <c r="FQ11" s="60"/>
      <c r="FR11" s="60"/>
      <c r="FS11" s="60"/>
      <c r="FT11" s="60"/>
      <c r="FU11" s="60"/>
      <c r="FV11" s="60"/>
      <c r="FW11" s="60"/>
      <c r="FX11" s="60"/>
      <c r="FY11" s="60"/>
      <c r="FZ11" s="60"/>
      <c r="GA11" s="60"/>
      <c r="GB11" s="60"/>
      <c r="GC11" s="60"/>
      <c r="GD11" s="60"/>
      <c r="GE11" s="60"/>
      <c r="GF11" s="60"/>
      <c r="GG11" s="60"/>
      <c r="GH11" s="60"/>
      <c r="GI11" s="60"/>
      <c r="GJ11" s="60"/>
      <c r="GK11" s="60"/>
      <c r="GL11" s="60"/>
      <c r="GM11" s="60"/>
      <c r="GN11" s="60"/>
      <c r="GO11" s="60"/>
      <c r="GP11" s="60"/>
      <c r="GQ11" s="60"/>
      <c r="GR11" s="60"/>
      <c r="GS11" s="60"/>
      <c r="GT11" s="60"/>
      <c r="GU11" s="60"/>
      <c r="GV11" s="60"/>
      <c r="GW11" s="60"/>
      <c r="GX11" s="60"/>
      <c r="GY11" s="60"/>
      <c r="GZ11" s="60"/>
      <c r="HA11" s="60"/>
      <c r="HB11" s="60"/>
      <c r="HC11" s="60"/>
      <c r="HD11" s="60"/>
      <c r="HE11" s="60"/>
      <c r="HF11" s="60"/>
      <c r="HG11" s="60"/>
      <c r="HH11" s="60"/>
      <c r="HI11" s="60"/>
      <c r="HJ11" s="60"/>
      <c r="HK11" s="60"/>
      <c r="HL11" s="60"/>
      <c r="HM11" s="60"/>
      <c r="HN11" s="60"/>
      <c r="HO11" s="60"/>
      <c r="HP11" s="60"/>
      <c r="HQ11" s="60"/>
      <c r="HR11" s="60"/>
      <c r="HS11" s="60"/>
      <c r="HT11" s="60"/>
      <c r="HU11" s="60"/>
      <c r="HV11" s="60"/>
      <c r="HW11" s="60"/>
      <c r="HX11" s="60"/>
      <c r="HY11" s="60"/>
      <c r="HZ11" s="60"/>
      <c r="IA11" s="60"/>
      <c r="IB11" s="60"/>
      <c r="IC11" s="60"/>
      <c r="ID11" s="60"/>
      <c r="IE11" s="60"/>
      <c r="IF11" s="60"/>
      <c r="IG11" s="60"/>
      <c r="IH11" s="60"/>
      <c r="II11" s="60"/>
      <c r="IJ11" s="60"/>
      <c r="IK11" s="60"/>
      <c r="IL11" s="60"/>
      <c r="IM11" s="60"/>
      <c r="IN11" s="60"/>
      <c r="IO11" s="60"/>
      <c r="IP11" s="60"/>
      <c r="IQ11" s="60"/>
      <c r="IR11" s="60"/>
      <c r="IS11" s="60"/>
      <c r="IT11" s="60"/>
      <c r="IU11" s="60"/>
      <c r="IV11" s="60"/>
      <c r="IW11" s="60"/>
      <c r="IX11" s="60"/>
      <c r="IY11" s="60"/>
      <c r="IZ11" s="60"/>
      <c r="JA11" s="60"/>
      <c r="JB11" s="60"/>
      <c r="JC11" s="60"/>
      <c r="JD11" s="60"/>
      <c r="JE11" s="60"/>
      <c r="JF11" s="60"/>
      <c r="JG11" s="60"/>
      <c r="JH11" s="60"/>
      <c r="JI11" s="60"/>
      <c r="JJ11" s="60"/>
      <c r="JK11" s="60"/>
      <c r="JL11" s="60"/>
      <c r="JM11" s="60"/>
      <c r="JN11" s="60"/>
      <c r="JO11" s="60"/>
      <c r="JP11" s="60"/>
      <c r="JQ11" s="60"/>
      <c r="JR11" s="60"/>
      <c r="JS11" s="60"/>
      <c r="JT11" s="60"/>
      <c r="JU11" s="60"/>
      <c r="JV11" s="60"/>
      <c r="JW11" s="60"/>
      <c r="JX11" s="60"/>
      <c r="JY11" s="60"/>
      <c r="JZ11" s="60"/>
      <c r="KA11" s="60"/>
      <c r="KB11" s="60"/>
      <c r="KC11" s="60"/>
      <c r="KD11" s="60"/>
      <c r="KE11" s="60"/>
      <c r="KF11" s="60"/>
      <c r="KG11" s="60"/>
      <c r="KH11" s="60"/>
      <c r="KI11" s="81" t="str">
        <f t="shared" si="29"/>
        <v/>
      </c>
      <c r="KJ11" s="61" t="str">
        <f t="shared" si="30"/>
        <v>Not Gated</v>
      </c>
      <c r="KK11" s="61" t="str">
        <f t="shared" si="31"/>
        <v/>
      </c>
      <c r="KL11" s="62" t="str">
        <f t="shared" si="32"/>
        <v/>
      </c>
      <c r="KM11" s="62" t="str">
        <f t="shared" si="33"/>
        <v/>
      </c>
      <c r="KN11" s="61" t="str">
        <f t="shared" si="34"/>
        <v>Lattice</v>
      </c>
      <c r="KO11" s="61" t="str">
        <f t="shared" si="35"/>
        <v>EED</v>
      </c>
      <c r="KP11" s="131">
        <f t="shared" si="36"/>
        <v>0</v>
      </c>
      <c r="KQ11" s="131" t="str">
        <f t="shared" si="37"/>
        <v>No Forcast Date</v>
      </c>
      <c r="KR11" s="61" t="str">
        <f t="shared" si="38"/>
        <v xml:space="preserve">0  Not Gated  UTS  EED  No Forcast Date  </v>
      </c>
      <c r="KS11" s="61">
        <f t="shared" si="39"/>
        <v>0</v>
      </c>
      <c r="KT11" s="61" t="str">
        <f t="shared" si="40"/>
        <v/>
      </c>
      <c r="KU11" s="61" t="str">
        <f t="shared" si="41"/>
        <v>Lattice</v>
      </c>
      <c r="KV11" s="61">
        <f t="shared" si="42"/>
        <v>12</v>
      </c>
      <c r="KW11" s="61" t="str">
        <f t="shared" si="43"/>
        <v>Lattice</v>
      </c>
      <c r="KX11" s="61">
        <f t="shared" si="44"/>
        <v>24</v>
      </c>
      <c r="KY11" s="60"/>
      <c r="KZ11" s="60"/>
      <c r="LA11" s="62"/>
      <c r="LB11" s="61"/>
      <c r="LC11" s="62"/>
      <c r="LD11" s="61"/>
      <c r="LE11" s="68" t="str">
        <f t="shared" si="45"/>
        <v>-</v>
      </c>
      <c r="LF11" s="150" t="str">
        <f t="shared" si="46"/>
        <v>-</v>
      </c>
      <c r="LG11" s="60"/>
      <c r="LH11" s="60"/>
      <c r="LI11" s="68">
        <f t="shared" si="47"/>
        <v>69</v>
      </c>
      <c r="LJ11" s="150">
        <f t="shared" si="48"/>
        <v>2.2999999999999998</v>
      </c>
      <c r="LK11" s="60"/>
      <c r="LL11" s="68">
        <f t="shared" si="49"/>
        <v>510</v>
      </c>
      <c r="LM11" s="150">
        <f t="shared" si="50"/>
        <v>17</v>
      </c>
      <c r="LN11" s="60"/>
      <c r="LO11" s="98">
        <f t="shared" si="51"/>
        <v>44977</v>
      </c>
      <c r="LP11" s="68">
        <f t="shared" si="52"/>
        <v>414</v>
      </c>
      <c r="LQ11" s="150">
        <f t="shared" si="53"/>
        <v>13.8</v>
      </c>
      <c r="LR11" s="60"/>
      <c r="LS11" s="98">
        <f t="shared" si="54"/>
        <v>45391</v>
      </c>
      <c r="LT11" s="60"/>
      <c r="LU11" s="60"/>
      <c r="LV11" s="60"/>
      <c r="LW11" s="60"/>
      <c r="LX11" s="60"/>
      <c r="LY11" s="60"/>
      <c r="LZ11" s="60"/>
      <c r="MA11" s="60"/>
      <c r="MB11" s="60"/>
      <c r="MC11" s="60"/>
      <c r="MD11" s="60"/>
      <c r="ME11" s="60"/>
      <c r="MF11" s="60"/>
      <c r="MG11" s="60"/>
      <c r="MH11" s="60"/>
      <c r="MI11" s="60"/>
      <c r="MJ11" s="60"/>
      <c r="MK11" s="60"/>
      <c r="ML11" s="60"/>
      <c r="MM11" s="60"/>
      <c r="MN11" s="60"/>
      <c r="MO11" s="60"/>
    </row>
    <row r="12" spans="1:353" ht="21" customHeight="1" x14ac:dyDescent="0.25">
      <c r="B12" s="84" t="s">
        <v>643</v>
      </c>
      <c r="C12" s="58" t="s">
        <v>633</v>
      </c>
      <c r="D12" s="159" t="s">
        <v>445</v>
      </c>
      <c r="E12" s="159" t="s">
        <v>253</v>
      </c>
      <c r="F12" s="159" t="s">
        <v>480</v>
      </c>
      <c r="G12" s="159"/>
      <c r="H12" s="59"/>
      <c r="I12" s="159" t="s">
        <v>636</v>
      </c>
      <c r="J12" s="159" t="s">
        <v>636</v>
      </c>
      <c r="K12" s="159" t="s">
        <v>636</v>
      </c>
      <c r="L12" s="159" t="s">
        <v>637</v>
      </c>
      <c r="M12" s="159" t="s">
        <v>356</v>
      </c>
      <c r="N12" s="159">
        <v>15</v>
      </c>
      <c r="O12" s="159" t="s">
        <v>255</v>
      </c>
      <c r="P12" s="159">
        <v>20</v>
      </c>
      <c r="Q12" s="159" t="s">
        <v>240</v>
      </c>
      <c r="R12" s="160">
        <v>21</v>
      </c>
      <c r="S12" s="159"/>
      <c r="T12" s="159"/>
      <c r="U12" s="61" t="s">
        <v>347</v>
      </c>
      <c r="V12" s="61">
        <v>1</v>
      </c>
      <c r="W12" s="65"/>
      <c r="X12" s="72">
        <v>44050</v>
      </c>
      <c r="Y12" s="61" t="s">
        <v>305</v>
      </c>
      <c r="Z12" s="61" t="s">
        <v>242</v>
      </c>
      <c r="AA12" s="61">
        <v>1000</v>
      </c>
      <c r="AB12" s="72">
        <v>44050</v>
      </c>
      <c r="AC12" s="72">
        <v>44085</v>
      </c>
      <c r="AD12" s="72"/>
      <c r="AE12" s="63"/>
      <c r="AF12" s="72">
        <v>44131</v>
      </c>
      <c r="AG12" s="62"/>
      <c r="AH12" s="62"/>
      <c r="AI12" s="61" t="s">
        <v>257</v>
      </c>
      <c r="AJ12" s="61" t="s">
        <v>247</v>
      </c>
      <c r="AK12" s="62" t="s">
        <v>257</v>
      </c>
      <c r="AL12" s="62"/>
      <c r="AM12" s="62"/>
      <c r="AN12" s="64"/>
      <c r="AO12" s="61" t="s">
        <v>271</v>
      </c>
      <c r="AP12" s="61" t="s">
        <v>247</v>
      </c>
      <c r="AQ12" s="61"/>
      <c r="AR12" s="65">
        <v>44134</v>
      </c>
      <c r="AS12" s="72">
        <v>44134</v>
      </c>
      <c r="AT12" s="72" t="s">
        <v>257</v>
      </c>
      <c r="AU12" s="61">
        <v>206309</v>
      </c>
      <c r="AV12" s="61" t="s">
        <v>269</v>
      </c>
      <c r="AW12" s="61" t="s">
        <v>243</v>
      </c>
      <c r="AX12" s="62">
        <v>44201</v>
      </c>
      <c r="AY12" s="62">
        <v>44472</v>
      </c>
      <c r="AZ12" s="89">
        <v>44460</v>
      </c>
      <c r="BA12" s="62" t="s">
        <v>243</v>
      </c>
      <c r="BB12" s="62" t="s">
        <v>243</v>
      </c>
      <c r="BC12" s="62" t="s">
        <v>243</v>
      </c>
      <c r="BD12" s="65">
        <v>44498</v>
      </c>
      <c r="BE12" s="72">
        <v>44487</v>
      </c>
      <c r="BF12" s="62" t="s">
        <v>272</v>
      </c>
      <c r="BG12" s="61">
        <v>0</v>
      </c>
      <c r="BH12" s="65">
        <v>44524</v>
      </c>
      <c r="BI12" s="72">
        <v>44524</v>
      </c>
      <c r="BJ12" s="87" t="s">
        <v>272</v>
      </c>
      <c r="BK12" s="61">
        <v>2021</v>
      </c>
      <c r="BL12" s="62">
        <v>44514</v>
      </c>
      <c r="BM12" s="62"/>
      <c r="BN12" s="62"/>
      <c r="BO12" s="61"/>
      <c r="BP12" s="65"/>
      <c r="BQ12" s="67"/>
      <c r="BR12" s="62"/>
      <c r="BS12" s="61"/>
      <c r="BT12" s="65">
        <v>44524</v>
      </c>
      <c r="BU12" s="65" t="s">
        <v>249</v>
      </c>
      <c r="BV12" s="65">
        <v>44524</v>
      </c>
      <c r="BW12" s="147" t="s">
        <v>272</v>
      </c>
      <c r="BX12" s="65">
        <f t="shared" si="28"/>
        <v>46349</v>
      </c>
      <c r="BY12" s="61" t="s">
        <v>273</v>
      </c>
      <c r="BZ12" s="61" t="s">
        <v>389</v>
      </c>
      <c r="CA12" s="61"/>
      <c r="CB12" s="72">
        <v>44712</v>
      </c>
      <c r="CC12" s="61"/>
      <c r="CD12" s="68" t="s">
        <v>536</v>
      </c>
      <c r="CE12" s="60" t="s">
        <v>274</v>
      </c>
      <c r="CF12" s="62"/>
      <c r="CG12" s="62"/>
      <c r="CH12" s="78"/>
      <c r="CI12" s="78"/>
      <c r="CJ12" s="135">
        <v>44173</v>
      </c>
      <c r="CK12" s="135"/>
      <c r="CL12" s="138"/>
      <c r="CM12" s="135"/>
      <c r="CN12" s="79"/>
      <c r="CO12" s="137"/>
      <c r="CP12" s="135"/>
      <c r="CQ12" s="78" t="s">
        <v>390</v>
      </c>
      <c r="CR12" s="60"/>
      <c r="CS12" s="70" t="s">
        <v>556</v>
      </c>
      <c r="CT12" s="61" t="s">
        <v>269</v>
      </c>
      <c r="CU12" s="61" t="s">
        <v>269</v>
      </c>
      <c r="CV12" s="61" t="s">
        <v>269</v>
      </c>
      <c r="CW12" s="61" t="s">
        <v>269</v>
      </c>
      <c r="CX12" s="61" t="s">
        <v>269</v>
      </c>
      <c r="CY12" s="82" t="s">
        <v>275</v>
      </c>
      <c r="CZ12" s="61" t="s">
        <v>269</v>
      </c>
      <c r="DA12" s="61" t="s">
        <v>269</v>
      </c>
      <c r="DB12" s="61" t="s">
        <v>269</v>
      </c>
      <c r="DC12" s="61" t="s">
        <v>269</v>
      </c>
      <c r="DD12" s="61" t="s">
        <v>269</v>
      </c>
      <c r="DE12" s="61" t="s">
        <v>269</v>
      </c>
      <c r="DF12" s="61" t="s">
        <v>269</v>
      </c>
      <c r="DG12" s="64" t="s">
        <v>555</v>
      </c>
      <c r="DH12" s="60"/>
      <c r="DI12" s="84" t="s">
        <v>276</v>
      </c>
      <c r="DJ12" s="84" t="s">
        <v>276</v>
      </c>
      <c r="DK12" s="72">
        <v>45523</v>
      </c>
      <c r="DL12" s="72">
        <v>45530</v>
      </c>
      <c r="DM12" s="61" t="s">
        <v>276</v>
      </c>
      <c r="DN12" s="61" t="s">
        <v>276</v>
      </c>
      <c r="DO12" s="61" t="s">
        <v>276</v>
      </c>
      <c r="DP12" s="61" t="s">
        <v>276</v>
      </c>
      <c r="DQ12" s="61" t="s">
        <v>276</v>
      </c>
      <c r="DR12" s="61" t="s">
        <v>276</v>
      </c>
      <c r="DS12" s="72">
        <v>45527</v>
      </c>
      <c r="DT12" s="72">
        <v>45609</v>
      </c>
      <c r="DU12" s="61" t="s">
        <v>276</v>
      </c>
      <c r="DV12" s="61" t="s">
        <v>276</v>
      </c>
      <c r="DW12" s="61" t="s">
        <v>276</v>
      </c>
      <c r="DX12" s="61" t="s">
        <v>276</v>
      </c>
      <c r="DY12" s="61" t="s">
        <v>276</v>
      </c>
      <c r="DZ12" s="61" t="s">
        <v>276</v>
      </c>
      <c r="EA12" s="61" t="s">
        <v>276</v>
      </c>
      <c r="EB12" s="61" t="s">
        <v>276</v>
      </c>
      <c r="EC12" s="61" t="s">
        <v>276</v>
      </c>
      <c r="ED12" s="61" t="s">
        <v>276</v>
      </c>
      <c r="EE12" s="61" t="s">
        <v>276</v>
      </c>
      <c r="EF12" s="61" t="s">
        <v>276</v>
      </c>
      <c r="EG12" s="61" t="s">
        <v>276</v>
      </c>
      <c r="EH12" s="60"/>
      <c r="EI12" s="72">
        <v>45552</v>
      </c>
      <c r="EJ12" s="72">
        <v>45609</v>
      </c>
      <c r="EK12" s="61">
        <v>2</v>
      </c>
      <c r="EL12" s="128"/>
      <c r="EM12" s="130"/>
      <c r="EN12" s="133">
        <f t="shared" ref="EN12:EN38" si="55">EO12+EY12</f>
        <v>3</v>
      </c>
      <c r="EO12" s="61">
        <f t="shared" ref="EO12:EO38" si="56">COUNT(ES12:ET12)+COUNT(EP12:EQ12)</f>
        <v>1</v>
      </c>
      <c r="EP12" s="62"/>
      <c r="EQ12" s="62">
        <v>44448</v>
      </c>
      <c r="ER12" s="73"/>
      <c r="ES12" s="62"/>
      <c r="ET12" s="62"/>
      <c r="EU12" s="62"/>
      <c r="EV12" s="62"/>
      <c r="EW12" s="62"/>
      <c r="EX12" s="62"/>
      <c r="EY12" s="61">
        <f t="shared" ref="EY12:EY38" si="57">COUNT(FC12:FD12)+COUNT(EZ12:FA12)</f>
        <v>2</v>
      </c>
      <c r="EZ12" s="62">
        <v>46023</v>
      </c>
      <c r="FA12" s="62"/>
      <c r="FB12" s="73"/>
      <c r="FC12" s="62">
        <v>47484</v>
      </c>
      <c r="FD12" s="61"/>
      <c r="FE12" s="61"/>
      <c r="FF12" s="68" t="str">
        <f t="shared" ref="FF12:FF38" si="58">IF(BY12="Final Grant",IF(EO12&gt;0,"FP &amp; Demand","FP / No Demand"),IF(EO12&gt;0,"No FP &amp; Demand","No FP / No Demand"))</f>
        <v>FP &amp; Demand</v>
      </c>
      <c r="FG12" s="76">
        <f t="shared" ref="FG12:FG21" si="59">IF((MIN(EZ12:FD12))=0,"-",(MIN(EZ12:FD12)))</f>
        <v>46023</v>
      </c>
      <c r="FH12" s="65">
        <f t="shared" ref="FH12:FH38" si="60">BT12</f>
        <v>44524</v>
      </c>
      <c r="FI12" s="76"/>
      <c r="FJ12" s="72">
        <v>44616</v>
      </c>
      <c r="FK12" s="72">
        <v>44616</v>
      </c>
      <c r="FL12" s="61" t="s">
        <v>299</v>
      </c>
      <c r="FM12" s="61">
        <v>102</v>
      </c>
      <c r="FN12" s="61" t="s">
        <v>286</v>
      </c>
      <c r="FO12" s="60"/>
      <c r="FP12" s="103" t="s">
        <v>288</v>
      </c>
      <c r="FQ12" s="64"/>
      <c r="FR12" s="103" t="s">
        <v>288</v>
      </c>
      <c r="FS12" s="103" t="s">
        <v>288</v>
      </c>
      <c r="FT12" s="97"/>
      <c r="FU12" s="61"/>
      <c r="FV12" s="60"/>
      <c r="FW12" s="91" t="s">
        <v>288</v>
      </c>
      <c r="FX12" s="61"/>
      <c r="FY12" s="61"/>
      <c r="FZ12" s="61"/>
      <c r="GA12" s="61"/>
      <c r="GB12" s="61"/>
      <c r="GC12" s="61"/>
      <c r="GD12" s="61"/>
      <c r="GE12" s="61"/>
      <c r="GF12" s="61"/>
      <c r="GG12" s="61"/>
      <c r="GH12" s="61"/>
      <c r="GI12" s="60"/>
      <c r="GJ12" s="75" t="s">
        <v>257</v>
      </c>
      <c r="GK12" s="62" t="s">
        <v>289</v>
      </c>
      <c r="GL12" s="117">
        <v>45391</v>
      </c>
      <c r="GM12" s="62"/>
      <c r="GN12" s="62">
        <f>GL12+15</f>
        <v>45406</v>
      </c>
      <c r="GO12" s="63"/>
      <c r="GP12" s="72">
        <v>44258</v>
      </c>
      <c r="GQ12" s="62" t="s">
        <v>257</v>
      </c>
      <c r="GR12" s="72">
        <v>45393</v>
      </c>
      <c r="GS12" s="72">
        <v>45394</v>
      </c>
      <c r="GT12" s="72">
        <v>45427</v>
      </c>
      <c r="GU12" s="72">
        <v>45428</v>
      </c>
      <c r="GV12" s="78" t="s">
        <v>391</v>
      </c>
      <c r="GW12" s="126" t="s">
        <v>257</v>
      </c>
      <c r="GX12" s="72">
        <v>45393</v>
      </c>
      <c r="GY12" s="72">
        <v>45394</v>
      </c>
      <c r="GZ12" s="72">
        <v>45428</v>
      </c>
      <c r="HA12" s="65">
        <v>45443</v>
      </c>
      <c r="HB12" s="72">
        <v>45454</v>
      </c>
      <c r="HC12" s="75" t="s">
        <v>257</v>
      </c>
      <c r="HD12" s="62">
        <v>45457</v>
      </c>
      <c r="HE12" s="65">
        <v>45498</v>
      </c>
      <c r="HF12" s="62"/>
      <c r="HG12" s="65">
        <f>FJ12+10</f>
        <v>44626</v>
      </c>
      <c r="HH12" s="83">
        <v>45393</v>
      </c>
      <c r="HI12" s="61" t="s">
        <v>289</v>
      </c>
      <c r="HJ12" s="72">
        <v>45428</v>
      </c>
      <c r="HK12" s="72">
        <v>45446</v>
      </c>
      <c r="HL12" s="72">
        <v>45504</v>
      </c>
      <c r="HM12" s="65">
        <v>45506</v>
      </c>
      <c r="HN12" s="63">
        <v>4</v>
      </c>
      <c r="HO12" s="72">
        <v>45530</v>
      </c>
      <c r="HP12" s="83" t="s">
        <v>581</v>
      </c>
      <c r="HQ12" s="60"/>
      <c r="HR12" s="63">
        <v>2</v>
      </c>
      <c r="HS12" s="62">
        <v>45506</v>
      </c>
      <c r="HT12" s="63">
        <v>2</v>
      </c>
      <c r="HU12" s="62">
        <v>45506</v>
      </c>
      <c r="HV12" s="62" t="s">
        <v>276</v>
      </c>
      <c r="HW12" s="72">
        <v>45530</v>
      </c>
      <c r="HX12" s="79">
        <v>2</v>
      </c>
      <c r="HY12" s="72">
        <v>45533</v>
      </c>
      <c r="HZ12" s="79">
        <v>2</v>
      </c>
      <c r="IA12" s="60"/>
      <c r="IB12" s="65">
        <f>HM12+10</f>
        <v>45516</v>
      </c>
      <c r="IC12" s="72">
        <v>45534</v>
      </c>
      <c r="ID12" s="61">
        <v>2</v>
      </c>
      <c r="IE12" s="61"/>
      <c r="IF12" s="61"/>
      <c r="IG12" s="61"/>
      <c r="IH12" s="61"/>
      <c r="II12" s="61"/>
      <c r="IJ12" s="61"/>
      <c r="IK12" s="61"/>
      <c r="IL12" s="62"/>
      <c r="IM12" s="62"/>
      <c r="IN12" s="72">
        <f t="shared" ref="IN12:IN38" si="61">IF(EJ12=0,"-",EJ12)</f>
        <v>45609</v>
      </c>
      <c r="IO12" s="60"/>
      <c r="IP12" s="65">
        <f>IB12+30</f>
        <v>45546</v>
      </c>
      <c r="IQ12" s="72">
        <f t="shared" ref="IQ12:IQ31" si="62">MIN(IR12,IT12,IV12,IX12,IZ12)</f>
        <v>45516</v>
      </c>
      <c r="IR12" s="72">
        <v>45516</v>
      </c>
      <c r="IS12" s="72">
        <v>45520</v>
      </c>
      <c r="IT12" s="62"/>
      <c r="IU12" s="62"/>
      <c r="IV12" s="62"/>
      <c r="IW12" s="62"/>
      <c r="IX12" s="72">
        <v>45622</v>
      </c>
      <c r="IY12" s="72">
        <v>45625</v>
      </c>
      <c r="IZ12" s="72">
        <v>45635</v>
      </c>
      <c r="JA12" s="72">
        <v>45639</v>
      </c>
      <c r="JB12" s="90">
        <v>45678</v>
      </c>
      <c r="JC12" s="62">
        <v>45678</v>
      </c>
      <c r="JD12" s="62">
        <v>45678</v>
      </c>
      <c r="JE12" s="62">
        <v>45678</v>
      </c>
      <c r="JF12" s="62">
        <v>45678</v>
      </c>
      <c r="JG12" s="62">
        <v>45678</v>
      </c>
      <c r="JH12" s="65">
        <v>45679</v>
      </c>
      <c r="JI12" s="67" t="str">
        <f t="shared" ref="JI12:JI38" si="63">"Q" &amp;INT((MONTH(JH12)+2)/3) &amp; "-" &amp; YEAR(JH12)</f>
        <v>Q1-2025</v>
      </c>
      <c r="JJ12" s="62"/>
      <c r="JK12" s="60"/>
      <c r="JL12" s="61"/>
      <c r="JM12" s="64"/>
      <c r="JN12" s="62"/>
      <c r="JO12" s="62"/>
      <c r="JP12" s="78" t="s">
        <v>628</v>
      </c>
      <c r="JQ12" s="61"/>
      <c r="JR12" s="60"/>
      <c r="JS12" s="62"/>
      <c r="JT12" s="62"/>
      <c r="JU12" s="62"/>
      <c r="JV12" s="62"/>
      <c r="JW12" s="62"/>
      <c r="JX12" s="62"/>
      <c r="JY12" s="60"/>
      <c r="JZ12" s="61"/>
      <c r="KA12" s="61"/>
      <c r="KB12" s="61"/>
      <c r="KC12" s="61"/>
      <c r="KD12" s="61"/>
      <c r="KE12" s="61"/>
      <c r="KF12" s="60"/>
      <c r="KG12" s="86"/>
      <c r="KH12" s="60"/>
      <c r="KI12" s="81" t="str">
        <f t="shared" si="29"/>
        <v>TWHxxxx</v>
      </c>
      <c r="KJ12" s="61" t="str">
        <f t="shared" si="30"/>
        <v>Live</v>
      </c>
      <c r="KK12" s="61" t="str">
        <f t="shared" si="31"/>
        <v>TWHxxxx</v>
      </c>
      <c r="KL12" s="62">
        <f t="shared" si="32"/>
        <v>45679</v>
      </c>
      <c r="KM12" s="62" t="str">
        <f t="shared" si="33"/>
        <v/>
      </c>
      <c r="KN12" s="61" t="str">
        <f t="shared" si="34"/>
        <v>Lattice</v>
      </c>
      <c r="KO12" s="61" t="str">
        <f t="shared" si="35"/>
        <v>EED</v>
      </c>
      <c r="KP12" s="131">
        <f t="shared" si="36"/>
        <v>0</v>
      </c>
      <c r="KQ12" s="131" t="str">
        <f t="shared" si="37"/>
        <v>Q1-2025</v>
      </c>
      <c r="KR12" s="61" t="str">
        <f t="shared" si="38"/>
        <v xml:space="preserve">0  Live  UTS  EED  Q1-2025  </v>
      </c>
      <c r="KS12" s="61" t="str">
        <f t="shared" si="39"/>
        <v>RFI</v>
      </c>
      <c r="KT12" s="61" t="str">
        <f t="shared" si="40"/>
        <v>Site name</v>
      </c>
      <c r="KU12" s="61" t="str">
        <f t="shared" si="41"/>
        <v>Lattice Tower</v>
      </c>
      <c r="KV12" s="61">
        <f t="shared" si="42"/>
        <v>15</v>
      </c>
      <c r="KW12" s="61" t="str">
        <f t="shared" si="43"/>
        <v>Lattice</v>
      </c>
      <c r="KX12" s="61">
        <f t="shared" si="44"/>
        <v>20</v>
      </c>
      <c r="KY12" s="60"/>
      <c r="KZ12" s="60"/>
      <c r="LA12" s="62"/>
      <c r="LB12" s="61"/>
      <c r="LC12" s="62"/>
      <c r="LD12" s="61"/>
      <c r="LE12" s="68" t="str">
        <f t="shared" si="45"/>
        <v>-</v>
      </c>
      <c r="LF12" s="150" t="str">
        <f t="shared" si="46"/>
        <v>-</v>
      </c>
      <c r="LG12" s="60"/>
      <c r="LH12" s="60"/>
      <c r="LI12" s="68">
        <f t="shared" si="47"/>
        <v>353</v>
      </c>
      <c r="LJ12" s="150">
        <f t="shared" si="48"/>
        <v>11.766666666666667</v>
      </c>
      <c r="LK12" s="60"/>
      <c r="LL12" s="68">
        <f t="shared" si="49"/>
        <v>390</v>
      </c>
      <c r="LM12" s="150">
        <f t="shared" si="50"/>
        <v>13</v>
      </c>
      <c r="LN12" s="60"/>
      <c r="LO12" s="98" t="str">
        <f t="shared" si="51"/>
        <v>-</v>
      </c>
      <c r="LP12" s="68" t="str">
        <f t="shared" si="52"/>
        <v>-</v>
      </c>
      <c r="LQ12" s="150" t="str">
        <f t="shared" si="53"/>
        <v>-</v>
      </c>
      <c r="LR12" s="60"/>
      <c r="LS12" s="98" t="str">
        <f t="shared" si="54"/>
        <v>-</v>
      </c>
      <c r="LT12" s="60"/>
      <c r="LU12" s="60"/>
      <c r="LV12" s="60"/>
      <c r="LW12" s="60"/>
      <c r="LX12" s="60"/>
      <c r="LY12" s="60"/>
      <c r="LZ12" s="60"/>
      <c r="MA12" s="60"/>
      <c r="MB12" s="60"/>
      <c r="MC12" s="60"/>
      <c r="MD12" s="60"/>
      <c r="ME12" s="60"/>
      <c r="MF12" s="60"/>
      <c r="MG12" s="60"/>
      <c r="MH12" s="60"/>
      <c r="MI12" s="60"/>
      <c r="MJ12" s="60"/>
      <c r="MK12" s="60"/>
      <c r="ML12" s="60"/>
      <c r="MM12" s="60"/>
      <c r="MN12" s="60"/>
      <c r="MO12" s="60"/>
    </row>
    <row r="13" spans="1:353" ht="21" customHeight="1" x14ac:dyDescent="0.25">
      <c r="B13" s="58" t="s">
        <v>644</v>
      </c>
      <c r="C13" s="58" t="s">
        <v>633</v>
      </c>
      <c r="D13" s="159" t="s">
        <v>334</v>
      </c>
      <c r="E13" s="159" t="s">
        <v>253</v>
      </c>
      <c r="F13" s="159" t="s">
        <v>452</v>
      </c>
      <c r="G13" s="159"/>
      <c r="H13" s="59"/>
      <c r="I13" s="159" t="s">
        <v>636</v>
      </c>
      <c r="J13" s="159" t="s">
        <v>636</v>
      </c>
      <c r="K13" s="159" t="s">
        <v>636</v>
      </c>
      <c r="L13" s="159" t="s">
        <v>637</v>
      </c>
      <c r="M13" s="159" t="s">
        <v>278</v>
      </c>
      <c r="N13" s="159">
        <v>12</v>
      </c>
      <c r="O13" s="159" t="s">
        <v>255</v>
      </c>
      <c r="P13" s="159">
        <v>24</v>
      </c>
      <c r="Q13" s="159"/>
      <c r="R13" s="160"/>
      <c r="S13" s="159" t="s">
        <v>631</v>
      </c>
      <c r="T13" s="159"/>
      <c r="U13" s="61" t="s">
        <v>335</v>
      </c>
      <c r="V13" s="61">
        <v>2</v>
      </c>
      <c r="W13" s="65"/>
      <c r="X13" s="72" t="s">
        <v>257</v>
      </c>
      <c r="Y13" s="61" t="s">
        <v>241</v>
      </c>
      <c r="Z13" s="61" t="s">
        <v>316</v>
      </c>
      <c r="AA13" s="61">
        <v>2500</v>
      </c>
      <c r="AB13" s="72">
        <v>43978</v>
      </c>
      <c r="AC13" s="72">
        <v>43998</v>
      </c>
      <c r="AD13" s="72"/>
      <c r="AE13" s="63"/>
      <c r="AF13" s="72">
        <v>44252</v>
      </c>
      <c r="AG13" s="62"/>
      <c r="AH13" s="72"/>
      <c r="AI13" s="61" t="s">
        <v>257</v>
      </c>
      <c r="AJ13" s="61" t="s">
        <v>245</v>
      </c>
      <c r="AK13" s="72" t="s">
        <v>257</v>
      </c>
      <c r="AL13" s="72">
        <v>44207</v>
      </c>
      <c r="AM13" s="62"/>
      <c r="AN13" s="64"/>
      <c r="AO13" s="61" t="s">
        <v>246</v>
      </c>
      <c r="AP13" s="61" t="s">
        <v>247</v>
      </c>
      <c r="AQ13" s="61" t="s">
        <v>248</v>
      </c>
      <c r="AR13" s="65">
        <v>44266</v>
      </c>
      <c r="AS13" s="72">
        <v>44266</v>
      </c>
      <c r="AT13" s="72">
        <v>44267</v>
      </c>
      <c r="AU13" s="61">
        <v>21128</v>
      </c>
      <c r="AV13" s="61"/>
      <c r="AW13" s="61"/>
      <c r="AX13" s="62"/>
      <c r="AY13" s="62"/>
      <c r="AZ13" s="66"/>
      <c r="BA13" s="61"/>
      <c r="BB13" s="61"/>
      <c r="BC13" s="61"/>
      <c r="BD13" s="65">
        <v>44329</v>
      </c>
      <c r="BE13" s="140">
        <v>44321</v>
      </c>
      <c r="BF13" s="62" t="s">
        <v>307</v>
      </c>
      <c r="BG13" s="61" t="s">
        <v>585</v>
      </c>
      <c r="BH13" s="65">
        <v>44364</v>
      </c>
      <c r="BI13" s="62"/>
      <c r="BJ13" s="62" t="s">
        <v>344</v>
      </c>
      <c r="BK13" s="61">
        <v>2022</v>
      </c>
      <c r="BL13" s="62">
        <v>44348</v>
      </c>
      <c r="BM13" s="72">
        <v>44348</v>
      </c>
      <c r="BN13" s="62"/>
      <c r="BO13" s="61">
        <v>310372</v>
      </c>
      <c r="BP13" s="65">
        <v>44473</v>
      </c>
      <c r="BQ13" s="67"/>
      <c r="BR13" s="72">
        <v>44608</v>
      </c>
      <c r="BS13" s="61" t="s">
        <v>272</v>
      </c>
      <c r="BT13" s="65">
        <v>44608</v>
      </c>
      <c r="BU13" s="65" t="s">
        <v>249</v>
      </c>
      <c r="BV13" s="65">
        <v>44608</v>
      </c>
      <c r="BW13" s="147" t="s">
        <v>272</v>
      </c>
      <c r="BX13" s="65">
        <f t="shared" si="28"/>
        <v>46433</v>
      </c>
      <c r="BY13" s="61" t="s">
        <v>273</v>
      </c>
      <c r="BZ13" s="61" t="s">
        <v>438</v>
      </c>
      <c r="CA13" s="61"/>
      <c r="CB13" s="72" t="s">
        <v>257</v>
      </c>
      <c r="CC13" s="61"/>
      <c r="CD13" s="68" t="s">
        <v>536</v>
      </c>
      <c r="CE13" s="60" t="s">
        <v>274</v>
      </c>
      <c r="CF13" s="61"/>
      <c r="CG13" s="61"/>
      <c r="CH13" s="61"/>
      <c r="CI13" s="62"/>
      <c r="CJ13" s="62"/>
      <c r="CK13" s="61"/>
      <c r="CL13" s="69"/>
      <c r="CM13" s="61"/>
      <c r="CN13" s="61"/>
      <c r="CO13" s="61"/>
      <c r="CP13" s="61"/>
      <c r="CQ13" s="64" t="s">
        <v>586</v>
      </c>
      <c r="CR13" s="60"/>
      <c r="CS13" s="70" t="s">
        <v>587</v>
      </c>
      <c r="CT13" s="61" t="s">
        <v>269</v>
      </c>
      <c r="CU13" s="82" t="s">
        <v>275</v>
      </c>
      <c r="CV13" s="61" t="s">
        <v>269</v>
      </c>
      <c r="CW13" s="61" t="s">
        <v>269</v>
      </c>
      <c r="CX13" s="61" t="s">
        <v>269</v>
      </c>
      <c r="CY13" s="61" t="s">
        <v>269</v>
      </c>
      <c r="CZ13" s="61" t="s">
        <v>269</v>
      </c>
      <c r="DA13" s="61"/>
      <c r="DB13" s="61"/>
      <c r="DC13" s="61"/>
      <c r="DD13" s="61"/>
      <c r="DE13" s="61"/>
      <c r="DF13" s="61" t="s">
        <v>269</v>
      </c>
      <c r="DG13" s="61" t="s">
        <v>269</v>
      </c>
      <c r="DH13" s="60"/>
      <c r="DI13" s="62"/>
      <c r="DJ13" s="62"/>
      <c r="DK13" s="83"/>
      <c r="DL13" s="83"/>
      <c r="DM13" s="83"/>
      <c r="DN13" s="62"/>
      <c r="DO13" s="61" t="s">
        <v>276</v>
      </c>
      <c r="DP13" s="61" t="s">
        <v>276</v>
      </c>
      <c r="DQ13" s="62"/>
      <c r="DR13" s="62"/>
      <c r="DS13" s="62"/>
      <c r="DT13" s="62"/>
      <c r="DU13" s="62"/>
      <c r="DV13" s="62"/>
      <c r="DW13" s="62"/>
      <c r="DX13" s="62"/>
      <c r="DY13" s="62"/>
      <c r="DZ13" s="62"/>
      <c r="EA13" s="62"/>
      <c r="EB13" s="62"/>
      <c r="EC13" s="62"/>
      <c r="ED13" s="62"/>
      <c r="EE13" s="62"/>
      <c r="EF13" s="62"/>
      <c r="EG13" s="62"/>
      <c r="EH13" s="60"/>
      <c r="EI13" s="72">
        <v>44767</v>
      </c>
      <c r="EJ13" s="72"/>
      <c r="EK13" s="61">
        <v>1</v>
      </c>
      <c r="EL13" s="70"/>
      <c r="EM13" s="71"/>
      <c r="EN13" s="133">
        <f t="shared" si="55"/>
        <v>3</v>
      </c>
      <c r="EO13" s="61">
        <f t="shared" si="56"/>
        <v>2</v>
      </c>
      <c r="EP13" s="72">
        <v>45061</v>
      </c>
      <c r="EQ13" s="72">
        <v>45061</v>
      </c>
      <c r="ER13" s="73"/>
      <c r="ES13" s="62"/>
      <c r="ET13" s="62"/>
      <c r="EU13" s="62"/>
      <c r="EV13" s="62"/>
      <c r="EW13" s="62"/>
      <c r="EX13" s="62"/>
      <c r="EY13" s="61">
        <f t="shared" si="57"/>
        <v>1</v>
      </c>
      <c r="EZ13" s="61"/>
      <c r="FA13" s="61"/>
      <c r="FB13" s="74"/>
      <c r="FC13" s="62">
        <v>46023</v>
      </c>
      <c r="FD13" s="61"/>
      <c r="FE13" s="61"/>
      <c r="FF13" s="68" t="str">
        <f t="shared" si="58"/>
        <v>FP &amp; Demand</v>
      </c>
      <c r="FG13" s="76">
        <f t="shared" si="59"/>
        <v>46023</v>
      </c>
      <c r="FH13" s="65">
        <f t="shared" si="60"/>
        <v>44608</v>
      </c>
      <c r="FI13" s="76"/>
      <c r="FJ13" s="62">
        <f>FH13+7</f>
        <v>44615</v>
      </c>
      <c r="FK13" s="62">
        <v>44616</v>
      </c>
      <c r="FL13" s="61" t="s">
        <v>299</v>
      </c>
      <c r="FM13" s="61"/>
      <c r="FN13" s="61"/>
      <c r="FO13" s="60"/>
      <c r="FP13" s="64"/>
      <c r="FQ13" s="64"/>
      <c r="FR13" s="61"/>
      <c r="FS13" s="77" t="s">
        <v>257</v>
      </c>
      <c r="FT13" s="61"/>
      <c r="FU13" s="61"/>
      <c r="FV13" s="60"/>
      <c r="FW13" s="61"/>
      <c r="FX13" s="61"/>
      <c r="FY13" s="61"/>
      <c r="FZ13" s="61"/>
      <c r="GA13" s="61"/>
      <c r="GB13" s="61"/>
      <c r="GC13" s="61"/>
      <c r="GD13" s="61"/>
      <c r="GE13" s="61"/>
      <c r="GF13" s="61"/>
      <c r="GG13" s="61"/>
      <c r="GH13" s="61"/>
      <c r="GI13" s="60"/>
      <c r="GJ13" s="62"/>
      <c r="GK13" s="62"/>
      <c r="GL13" s="62"/>
      <c r="GM13" s="62"/>
      <c r="GN13" s="63"/>
      <c r="GO13" s="63"/>
      <c r="GP13" s="62"/>
      <c r="GQ13" s="62"/>
      <c r="GR13" s="62"/>
      <c r="GS13" s="62"/>
      <c r="GT13" s="62"/>
      <c r="GU13" s="62"/>
      <c r="GV13" s="78"/>
      <c r="GW13" s="62"/>
      <c r="GX13" s="62"/>
      <c r="GY13" s="62"/>
      <c r="GZ13" s="62"/>
      <c r="HA13" s="67"/>
      <c r="HB13" s="62"/>
      <c r="HC13" s="62"/>
      <c r="HD13" s="62"/>
      <c r="HE13" s="65"/>
      <c r="HF13" s="62"/>
      <c r="HG13" s="65">
        <f>FJ13+10</f>
        <v>44625</v>
      </c>
      <c r="HH13" s="62"/>
      <c r="HI13" s="61"/>
      <c r="HJ13" s="62"/>
      <c r="HK13" s="62"/>
      <c r="HL13" s="62"/>
      <c r="HM13" s="65">
        <f>IF(GW13="Yes",HE13,HG13+50)</f>
        <v>44675</v>
      </c>
      <c r="HN13" s="63"/>
      <c r="HO13" s="62"/>
      <c r="HP13" s="78"/>
      <c r="HQ13" s="60"/>
      <c r="HR13" s="63"/>
      <c r="HS13" s="62"/>
      <c r="HT13" s="63"/>
      <c r="HU13" s="62"/>
      <c r="HV13" s="62"/>
      <c r="HW13" s="62"/>
      <c r="HX13" s="79"/>
      <c r="HY13" s="62"/>
      <c r="HZ13" s="79"/>
      <c r="IA13" s="60"/>
      <c r="IB13" s="65">
        <f>HM13+10</f>
        <v>44685</v>
      </c>
      <c r="IC13" s="62"/>
      <c r="ID13" s="61"/>
      <c r="IE13" s="61"/>
      <c r="IF13" s="61"/>
      <c r="IG13" s="61"/>
      <c r="IH13" s="61"/>
      <c r="II13" s="61"/>
      <c r="IJ13" s="61"/>
      <c r="IK13" s="61"/>
      <c r="IL13" s="62"/>
      <c r="IM13" s="62"/>
      <c r="IN13" s="62" t="str">
        <f t="shared" si="61"/>
        <v>-</v>
      </c>
      <c r="IO13" s="60"/>
      <c r="IP13" s="65">
        <f>IB13+30</f>
        <v>44715</v>
      </c>
      <c r="IQ13" s="62">
        <f t="shared" si="62"/>
        <v>0</v>
      </c>
      <c r="IR13" s="62"/>
      <c r="IS13" s="62"/>
      <c r="IT13" s="62"/>
      <c r="IU13" s="62"/>
      <c r="IV13" s="62"/>
      <c r="IW13" s="62"/>
      <c r="IX13" s="62"/>
      <c r="IY13" s="62"/>
      <c r="IZ13" s="62"/>
      <c r="JA13" s="62"/>
      <c r="JB13" s="62"/>
      <c r="JC13" s="62"/>
      <c r="JD13" s="62"/>
      <c r="JE13" s="62"/>
      <c r="JF13" s="62"/>
      <c r="JG13" s="62"/>
      <c r="JH13" s="65">
        <v>45061</v>
      </c>
      <c r="JI13" s="67" t="str">
        <f t="shared" si="63"/>
        <v>Q2-2023</v>
      </c>
      <c r="JJ13" s="80">
        <v>45061</v>
      </c>
      <c r="JK13" s="60"/>
      <c r="JL13" s="61"/>
      <c r="JM13" s="64"/>
      <c r="JN13" s="62"/>
      <c r="JO13" s="62" t="s">
        <v>257</v>
      </c>
      <c r="JP13" s="78" t="s">
        <v>278</v>
      </c>
      <c r="JQ13" s="72">
        <v>45033</v>
      </c>
      <c r="JR13" s="60"/>
      <c r="JS13" s="62"/>
      <c r="JT13" s="62"/>
      <c r="JU13" s="62"/>
      <c r="JV13" s="62"/>
      <c r="JW13" s="62"/>
      <c r="JX13" s="62"/>
      <c r="JY13" s="60"/>
      <c r="JZ13" s="61"/>
      <c r="KA13" s="61"/>
      <c r="KB13" s="61"/>
      <c r="KC13" s="61"/>
      <c r="KD13" s="61"/>
      <c r="KE13" s="61"/>
      <c r="KF13" s="60"/>
      <c r="KG13" s="61"/>
      <c r="KH13" s="60"/>
      <c r="KI13" s="81" t="str">
        <f t="shared" si="29"/>
        <v>TCNxxxx</v>
      </c>
      <c r="KJ13" s="61" t="str">
        <f t="shared" si="30"/>
        <v>Live</v>
      </c>
      <c r="KK13" s="61" t="str">
        <f t="shared" si="31"/>
        <v>TCNxxxx</v>
      </c>
      <c r="KL13" s="62">
        <f t="shared" si="32"/>
        <v>45061</v>
      </c>
      <c r="KM13" s="62">
        <f t="shared" si="33"/>
        <v>45061</v>
      </c>
      <c r="KN13" s="61" t="str">
        <f t="shared" si="34"/>
        <v>Lattice</v>
      </c>
      <c r="KO13" s="61" t="str">
        <f t="shared" si="35"/>
        <v>EED</v>
      </c>
      <c r="KP13" s="131">
        <f t="shared" si="36"/>
        <v>0</v>
      </c>
      <c r="KQ13" s="131" t="str">
        <f t="shared" si="37"/>
        <v>Q2-2023</v>
      </c>
      <c r="KR13" s="61" t="str">
        <f t="shared" si="38"/>
        <v xml:space="preserve">0  Live  UTS  EED  Q2-2023  </v>
      </c>
      <c r="KS13" s="61" t="str">
        <f t="shared" si="39"/>
        <v>RFI</v>
      </c>
      <c r="KT13" s="61" t="str">
        <f t="shared" si="40"/>
        <v>Site name</v>
      </c>
      <c r="KU13" s="61" t="str">
        <f t="shared" si="41"/>
        <v>Wooden Pole</v>
      </c>
      <c r="KV13" s="61">
        <f t="shared" si="42"/>
        <v>12</v>
      </c>
      <c r="KW13" s="61" t="str">
        <f t="shared" si="43"/>
        <v>Lattice</v>
      </c>
      <c r="KX13" s="61">
        <f t="shared" si="44"/>
        <v>24</v>
      </c>
      <c r="KY13" s="60"/>
      <c r="KZ13" s="60"/>
      <c r="LA13" s="62"/>
      <c r="LB13" s="61"/>
      <c r="LC13" s="62"/>
      <c r="LD13" s="61"/>
      <c r="LE13" s="68" t="str">
        <f t="shared" si="45"/>
        <v>-</v>
      </c>
      <c r="LF13" s="150" t="str">
        <f t="shared" si="46"/>
        <v>-</v>
      </c>
      <c r="LG13" s="60"/>
      <c r="LH13" s="60"/>
      <c r="LI13" s="68">
        <f t="shared" si="47"/>
        <v>55</v>
      </c>
      <c r="LJ13" s="150">
        <f t="shared" si="48"/>
        <v>1.8333333333333333</v>
      </c>
      <c r="LK13" s="60"/>
      <c r="LL13" s="68">
        <f t="shared" si="49"/>
        <v>342</v>
      </c>
      <c r="LM13" s="150">
        <f t="shared" si="50"/>
        <v>11.4</v>
      </c>
      <c r="LN13" s="60"/>
      <c r="LO13" s="98">
        <f t="shared" si="51"/>
        <v>44348</v>
      </c>
      <c r="LP13" s="68">
        <f t="shared" si="52"/>
        <v>260</v>
      </c>
      <c r="LQ13" s="150">
        <f t="shared" si="53"/>
        <v>8.6666666666666661</v>
      </c>
      <c r="LR13" s="60"/>
      <c r="LS13" s="98">
        <f t="shared" si="54"/>
        <v>44608</v>
      </c>
      <c r="LT13" s="60"/>
      <c r="LU13" s="60"/>
      <c r="LV13" s="60"/>
      <c r="LW13" s="60"/>
      <c r="LX13" s="60"/>
      <c r="LY13" s="60"/>
      <c r="LZ13" s="60"/>
      <c r="MA13" s="60"/>
      <c r="MB13" s="60"/>
      <c r="MC13" s="60"/>
      <c r="MD13" s="60"/>
      <c r="ME13" s="60"/>
      <c r="MF13" s="60"/>
      <c r="MG13" s="60"/>
      <c r="MH13" s="60"/>
      <c r="MI13" s="60"/>
      <c r="MJ13" s="60"/>
      <c r="MK13" s="60"/>
      <c r="ML13" s="60"/>
      <c r="MM13" s="60"/>
      <c r="MN13" s="60"/>
      <c r="MO13" s="60"/>
    </row>
    <row r="14" spans="1:353" ht="21" customHeight="1" x14ac:dyDescent="0.25">
      <c r="B14" s="84" t="s">
        <v>645</v>
      </c>
      <c r="C14" s="58" t="s">
        <v>633</v>
      </c>
      <c r="D14" s="159" t="s">
        <v>277</v>
      </c>
      <c r="E14" s="159" t="s">
        <v>253</v>
      </c>
      <c r="F14" s="159" t="s">
        <v>465</v>
      </c>
      <c r="G14" s="159"/>
      <c r="H14" s="59"/>
      <c r="I14" s="159" t="s">
        <v>636</v>
      </c>
      <c r="J14" s="159" t="s">
        <v>636</v>
      </c>
      <c r="K14" s="159" t="s">
        <v>636</v>
      </c>
      <c r="L14" s="159" t="s">
        <v>637</v>
      </c>
      <c r="M14" s="159" t="s">
        <v>278</v>
      </c>
      <c r="N14" s="159">
        <v>10</v>
      </c>
      <c r="O14" s="159" t="s">
        <v>240</v>
      </c>
      <c r="P14" s="159">
        <v>18</v>
      </c>
      <c r="Q14" s="159"/>
      <c r="R14" s="160"/>
      <c r="S14" s="159"/>
      <c r="T14" s="159" t="s">
        <v>421</v>
      </c>
      <c r="U14" s="61" t="s">
        <v>279</v>
      </c>
      <c r="V14" s="61">
        <v>2</v>
      </c>
      <c r="W14" s="65"/>
      <c r="X14" s="72">
        <v>44407</v>
      </c>
      <c r="Y14" s="61" t="s">
        <v>241</v>
      </c>
      <c r="Z14" s="61" t="s">
        <v>280</v>
      </c>
      <c r="AA14" s="61" t="s">
        <v>243</v>
      </c>
      <c r="AB14" s="72">
        <v>44407</v>
      </c>
      <c r="AC14" s="72">
        <v>44432</v>
      </c>
      <c r="AD14" s="72" t="s">
        <v>257</v>
      </c>
      <c r="AE14" s="63"/>
      <c r="AF14" s="72">
        <v>44519</v>
      </c>
      <c r="AG14" s="62"/>
      <c r="AH14" s="72"/>
      <c r="AI14" s="61"/>
      <c r="AJ14" s="61"/>
      <c r="AK14" s="62"/>
      <c r="AL14" s="62"/>
      <c r="AM14" s="62"/>
      <c r="AN14" s="64"/>
      <c r="AO14" s="61" t="s">
        <v>246</v>
      </c>
      <c r="AP14" s="61"/>
      <c r="AQ14" s="61"/>
      <c r="AR14" s="65">
        <v>44530</v>
      </c>
      <c r="AS14" s="72">
        <v>44530</v>
      </c>
      <c r="AT14" s="72" t="s">
        <v>257</v>
      </c>
      <c r="AU14" s="61">
        <v>212282</v>
      </c>
      <c r="AV14" s="61" t="s">
        <v>269</v>
      </c>
      <c r="AW14" s="61" t="s">
        <v>243</v>
      </c>
      <c r="AX14" s="62">
        <v>44595</v>
      </c>
      <c r="AY14" s="62">
        <v>44867</v>
      </c>
      <c r="AZ14" s="89">
        <v>44852</v>
      </c>
      <c r="BA14" s="62" t="s">
        <v>243</v>
      </c>
      <c r="BB14" s="62" t="s">
        <v>243</v>
      </c>
      <c r="BC14" s="62" t="s">
        <v>243</v>
      </c>
      <c r="BD14" s="65">
        <v>44911</v>
      </c>
      <c r="BE14" s="72">
        <v>44904</v>
      </c>
      <c r="BF14" s="62" t="s">
        <v>272</v>
      </c>
      <c r="BG14" s="61">
        <v>1</v>
      </c>
      <c r="BH14" s="65">
        <v>44956</v>
      </c>
      <c r="BI14" s="72">
        <v>44956</v>
      </c>
      <c r="BJ14" s="87" t="s">
        <v>272</v>
      </c>
      <c r="BK14" s="61">
        <v>2023</v>
      </c>
      <c r="BL14" s="62">
        <v>44931</v>
      </c>
      <c r="BM14" s="62"/>
      <c r="BN14" s="62"/>
      <c r="BO14" s="61"/>
      <c r="BP14" s="65"/>
      <c r="BQ14" s="67"/>
      <c r="BR14" s="62"/>
      <c r="BS14" s="61"/>
      <c r="BT14" s="65">
        <v>44956</v>
      </c>
      <c r="BU14" s="65" t="s">
        <v>249</v>
      </c>
      <c r="BV14" s="65">
        <v>44956</v>
      </c>
      <c r="BW14" s="147" t="s">
        <v>272</v>
      </c>
      <c r="BX14" s="65">
        <f t="shared" si="28"/>
        <v>46781</v>
      </c>
      <c r="BY14" s="61" t="s">
        <v>273</v>
      </c>
      <c r="BZ14" s="61" t="s">
        <v>281</v>
      </c>
      <c r="CA14" s="61"/>
      <c r="CB14" s="72">
        <v>45093</v>
      </c>
      <c r="CC14" s="61"/>
      <c r="CD14" s="68" t="s">
        <v>536</v>
      </c>
      <c r="CE14" s="60" t="s">
        <v>274</v>
      </c>
      <c r="CF14" s="90" t="s">
        <v>261</v>
      </c>
      <c r="CG14" s="61"/>
      <c r="CH14" s="64"/>
      <c r="CI14" s="64" t="s">
        <v>282</v>
      </c>
      <c r="CJ14" s="64"/>
      <c r="CK14" s="64" t="s">
        <v>265</v>
      </c>
      <c r="CL14" s="138">
        <v>44378</v>
      </c>
      <c r="CM14" s="64"/>
      <c r="CN14" s="64" t="s">
        <v>283</v>
      </c>
      <c r="CO14" s="70"/>
      <c r="CP14" s="64"/>
      <c r="CQ14" s="64"/>
      <c r="CR14" s="60"/>
      <c r="CS14" s="70" t="s">
        <v>562</v>
      </c>
      <c r="CT14" s="61" t="s">
        <v>269</v>
      </c>
      <c r="CU14" s="61" t="s">
        <v>269</v>
      </c>
      <c r="CV14" s="61" t="s">
        <v>269</v>
      </c>
      <c r="CW14" s="61" t="s">
        <v>269</v>
      </c>
      <c r="CX14" s="61" t="s">
        <v>269</v>
      </c>
      <c r="CY14" s="61" t="s">
        <v>269</v>
      </c>
      <c r="CZ14" s="61" t="s">
        <v>269</v>
      </c>
      <c r="DA14" s="61"/>
      <c r="DB14" s="61"/>
      <c r="DC14" s="61"/>
      <c r="DD14" s="61"/>
      <c r="DE14" s="61"/>
      <c r="DF14" s="61" t="s">
        <v>269</v>
      </c>
      <c r="DG14" s="64" t="s">
        <v>554</v>
      </c>
      <c r="DH14" s="60"/>
      <c r="DI14" s="61"/>
      <c r="DJ14" s="61"/>
      <c r="DK14" s="61" t="s">
        <v>276</v>
      </c>
      <c r="DL14" s="61" t="s">
        <v>276</v>
      </c>
      <c r="DM14" s="61" t="s">
        <v>276</v>
      </c>
      <c r="DN14" s="61" t="s">
        <v>276</v>
      </c>
      <c r="DO14" s="61" t="s">
        <v>276</v>
      </c>
      <c r="DP14" s="61" t="s">
        <v>276</v>
      </c>
      <c r="DQ14" s="61"/>
      <c r="DR14" s="61"/>
      <c r="DS14" s="61"/>
      <c r="DT14" s="61"/>
      <c r="DU14" s="61"/>
      <c r="DV14" s="61"/>
      <c r="DW14" s="61"/>
      <c r="DX14" s="61"/>
      <c r="DY14" s="61"/>
      <c r="DZ14" s="61"/>
      <c r="EA14" s="61"/>
      <c r="EB14" s="61"/>
      <c r="EC14" s="61"/>
      <c r="ED14" s="61"/>
      <c r="EE14" s="61"/>
      <c r="EF14" s="61"/>
      <c r="EG14" s="61"/>
      <c r="EH14" s="60"/>
      <c r="EI14" s="62"/>
      <c r="EJ14" s="61"/>
      <c r="EK14" s="61"/>
      <c r="EL14" s="70"/>
      <c r="EM14" s="71"/>
      <c r="EN14" s="133">
        <f t="shared" si="55"/>
        <v>3</v>
      </c>
      <c r="EO14" s="61">
        <f t="shared" si="56"/>
        <v>1</v>
      </c>
      <c r="EP14" s="62"/>
      <c r="EQ14" s="62">
        <v>44854</v>
      </c>
      <c r="ER14" s="73"/>
      <c r="ES14" s="62"/>
      <c r="ET14" s="62"/>
      <c r="EU14" s="62"/>
      <c r="EV14" s="62"/>
      <c r="EW14" s="62"/>
      <c r="EX14" s="62"/>
      <c r="EY14" s="61">
        <f t="shared" si="57"/>
        <v>2</v>
      </c>
      <c r="EZ14" s="117">
        <v>46388</v>
      </c>
      <c r="FA14" s="62"/>
      <c r="FB14" s="73"/>
      <c r="FC14" s="62">
        <v>46388</v>
      </c>
      <c r="FD14" s="61"/>
      <c r="FE14" s="61"/>
      <c r="FF14" s="68" t="str">
        <f t="shared" si="58"/>
        <v>FP &amp; Demand</v>
      </c>
      <c r="FG14" s="76">
        <f t="shared" si="59"/>
        <v>46388</v>
      </c>
      <c r="FH14" s="65">
        <f t="shared" si="60"/>
        <v>44956</v>
      </c>
      <c r="FI14" s="76" t="s">
        <v>284</v>
      </c>
      <c r="FJ14" s="72">
        <v>45056</v>
      </c>
      <c r="FK14" s="72">
        <v>45056</v>
      </c>
      <c r="FL14" s="82" t="s">
        <v>285</v>
      </c>
      <c r="FM14" s="61"/>
      <c r="FN14" s="61" t="s">
        <v>286</v>
      </c>
      <c r="FO14" s="60"/>
      <c r="FP14" s="64"/>
      <c r="FQ14" s="64"/>
      <c r="FR14" s="64" t="s">
        <v>287</v>
      </c>
      <c r="FS14" s="77" t="s">
        <v>257</v>
      </c>
      <c r="FT14" s="64"/>
      <c r="FU14" s="64"/>
      <c r="FV14" s="60"/>
      <c r="FW14" s="91" t="s">
        <v>288</v>
      </c>
      <c r="FX14" s="61"/>
      <c r="FY14" s="61"/>
      <c r="FZ14" s="61"/>
      <c r="GA14" s="61"/>
      <c r="GB14" s="61"/>
      <c r="GC14" s="61"/>
      <c r="GD14" s="61"/>
      <c r="GE14" s="61"/>
      <c r="GF14" s="61"/>
      <c r="GG14" s="61"/>
      <c r="GH14" s="61"/>
      <c r="GI14" s="60"/>
      <c r="GJ14" s="62"/>
      <c r="GK14" s="62"/>
      <c r="GL14" s="62"/>
      <c r="GM14" s="62"/>
      <c r="GN14" s="63"/>
      <c r="GO14" s="63"/>
      <c r="GP14" s="104" t="s">
        <v>288</v>
      </c>
      <c r="GQ14" s="62"/>
      <c r="GR14" s="62"/>
      <c r="GS14" s="62"/>
      <c r="GT14" s="62"/>
      <c r="GU14" s="62"/>
      <c r="GV14" s="78"/>
      <c r="GW14" s="126" t="s">
        <v>257</v>
      </c>
      <c r="GX14" s="83">
        <v>45075</v>
      </c>
      <c r="GY14" s="72">
        <v>45078</v>
      </c>
      <c r="GZ14" s="94" t="s">
        <v>565</v>
      </c>
      <c r="HA14" s="65"/>
      <c r="HB14" s="62"/>
      <c r="HC14" s="62"/>
      <c r="HD14" s="94"/>
      <c r="HE14" s="65"/>
      <c r="HF14" s="62"/>
      <c r="HG14" s="65"/>
      <c r="HH14" s="78"/>
      <c r="HI14" s="61" t="s">
        <v>289</v>
      </c>
      <c r="HJ14" s="62"/>
      <c r="HK14" s="62"/>
      <c r="HL14" s="62"/>
      <c r="HM14" s="65"/>
      <c r="HN14" s="63"/>
      <c r="HO14" s="62"/>
      <c r="HP14" s="78"/>
      <c r="HQ14" s="60"/>
      <c r="HR14" s="63"/>
      <c r="HS14" s="62"/>
      <c r="HT14" s="63"/>
      <c r="HU14" s="62"/>
      <c r="HV14" s="62"/>
      <c r="HW14" s="62"/>
      <c r="HX14" s="79"/>
      <c r="HY14" s="62"/>
      <c r="HZ14" s="79"/>
      <c r="IA14" s="60"/>
      <c r="IB14" s="65">
        <f>HM14+10</f>
        <v>10</v>
      </c>
      <c r="IC14" s="62"/>
      <c r="ID14" s="61"/>
      <c r="IE14" s="61"/>
      <c r="IF14" s="61"/>
      <c r="IG14" s="61"/>
      <c r="IH14" s="61"/>
      <c r="II14" s="61"/>
      <c r="IJ14" s="61"/>
      <c r="IK14" s="61"/>
      <c r="IL14" s="62"/>
      <c r="IM14" s="62"/>
      <c r="IN14" s="62" t="str">
        <f t="shared" si="61"/>
        <v>-</v>
      </c>
      <c r="IO14" s="60"/>
      <c r="IP14" s="65">
        <f>IB14+30</f>
        <v>40</v>
      </c>
      <c r="IQ14" s="62">
        <f t="shared" si="62"/>
        <v>0</v>
      </c>
      <c r="IR14" s="62"/>
      <c r="IS14" s="62"/>
      <c r="IT14" s="62"/>
      <c r="IU14" s="62"/>
      <c r="IV14" s="62"/>
      <c r="IW14" s="62"/>
      <c r="IX14" s="62"/>
      <c r="IY14" s="62"/>
      <c r="IZ14" s="62"/>
      <c r="JA14" s="62"/>
      <c r="JB14" s="62"/>
      <c r="JC14" s="62"/>
      <c r="JD14" s="62"/>
      <c r="JE14" s="62"/>
      <c r="JF14" s="62"/>
      <c r="JG14" s="62"/>
      <c r="JH14" s="65">
        <f>IP14+60</f>
        <v>100</v>
      </c>
      <c r="JI14" s="67" t="str">
        <f t="shared" si="63"/>
        <v>Q2-1900</v>
      </c>
      <c r="JJ14" s="62"/>
      <c r="JK14" s="60"/>
      <c r="JL14" s="61"/>
      <c r="JM14" s="64"/>
      <c r="JN14" s="62"/>
      <c r="JO14" s="62"/>
      <c r="JP14" s="78"/>
      <c r="JQ14" s="61"/>
      <c r="JR14" s="60"/>
      <c r="JS14" s="62"/>
      <c r="JT14" s="62"/>
      <c r="JU14" s="62"/>
      <c r="JV14" s="62"/>
      <c r="JW14" s="62"/>
      <c r="JX14" s="62"/>
      <c r="JY14" s="60"/>
      <c r="JZ14" s="61"/>
      <c r="KA14" s="61"/>
      <c r="KB14" s="61"/>
      <c r="KC14" s="61"/>
      <c r="KD14" s="61"/>
      <c r="KE14" s="61"/>
      <c r="KF14" s="60"/>
      <c r="KG14" s="86"/>
      <c r="KH14" s="60"/>
      <c r="KI14" s="81" t="str">
        <f t="shared" si="29"/>
        <v>TMHxxxx</v>
      </c>
      <c r="KJ14" s="61" t="str">
        <f t="shared" si="30"/>
        <v>Live</v>
      </c>
      <c r="KK14" s="61" t="str">
        <f t="shared" si="31"/>
        <v>TMHxxxx</v>
      </c>
      <c r="KL14" s="62" t="str">
        <f t="shared" si="32"/>
        <v/>
      </c>
      <c r="KM14" s="62" t="str">
        <f t="shared" si="33"/>
        <v/>
      </c>
      <c r="KN14" s="61" t="str">
        <f t="shared" si="34"/>
        <v>Monopole</v>
      </c>
      <c r="KO14" s="61" t="str">
        <f t="shared" si="35"/>
        <v>EED</v>
      </c>
      <c r="KP14" s="131" t="str">
        <f t="shared" si="36"/>
        <v>FP OPW</v>
      </c>
      <c r="KQ14" s="131" t="str">
        <f t="shared" si="37"/>
        <v>No Forcast Date</v>
      </c>
      <c r="KR14" s="61" t="str">
        <f t="shared" si="38"/>
        <v xml:space="preserve">FP OPW  Live  UTS  EED  No Forcast Date  </v>
      </c>
      <c r="KS14" s="61" t="str">
        <f t="shared" si="39"/>
        <v>Stop</v>
      </c>
      <c r="KT14" s="61" t="str">
        <f t="shared" si="40"/>
        <v>Site name</v>
      </c>
      <c r="KU14" s="61" t="str">
        <f t="shared" si="41"/>
        <v>Wooden Pole</v>
      </c>
      <c r="KV14" s="61">
        <f t="shared" si="42"/>
        <v>10</v>
      </c>
      <c r="KW14" s="61" t="str">
        <f t="shared" si="43"/>
        <v>Monopole</v>
      </c>
      <c r="KX14" s="61">
        <f t="shared" si="44"/>
        <v>18</v>
      </c>
      <c r="KY14" s="60"/>
      <c r="KZ14" s="60"/>
      <c r="LA14" s="62"/>
      <c r="LB14" s="61"/>
      <c r="LC14" s="62"/>
      <c r="LD14" s="61"/>
      <c r="LE14" s="68" t="str">
        <f t="shared" si="45"/>
        <v>-</v>
      </c>
      <c r="LF14" s="150" t="str">
        <f t="shared" si="46"/>
        <v>-</v>
      </c>
      <c r="LG14" s="60"/>
      <c r="LH14" s="60"/>
      <c r="LI14" s="68">
        <f t="shared" si="47"/>
        <v>374</v>
      </c>
      <c r="LJ14" s="150">
        <f t="shared" si="48"/>
        <v>12.466666666666667</v>
      </c>
      <c r="LK14" s="60"/>
      <c r="LL14" s="68">
        <f t="shared" si="49"/>
        <v>426</v>
      </c>
      <c r="LM14" s="150">
        <f t="shared" si="50"/>
        <v>14.2</v>
      </c>
      <c r="LN14" s="60"/>
      <c r="LO14" s="98" t="str">
        <f t="shared" si="51"/>
        <v>-</v>
      </c>
      <c r="LP14" s="68" t="str">
        <f t="shared" si="52"/>
        <v>-</v>
      </c>
      <c r="LQ14" s="150" t="str">
        <f t="shared" si="53"/>
        <v>-</v>
      </c>
      <c r="LR14" s="60"/>
      <c r="LS14" s="98" t="str">
        <f t="shared" si="54"/>
        <v>-</v>
      </c>
      <c r="LT14" s="60"/>
      <c r="LU14" s="60"/>
      <c r="LV14" s="60"/>
      <c r="LW14" s="60"/>
      <c r="LX14" s="60"/>
      <c r="LY14" s="60"/>
      <c r="LZ14" s="60"/>
      <c r="MA14" s="60"/>
      <c r="MB14" s="60"/>
      <c r="MC14" s="60"/>
      <c r="MD14" s="60"/>
      <c r="ME14" s="60"/>
      <c r="MF14" s="60"/>
      <c r="MG14" s="60"/>
      <c r="MH14" s="60"/>
      <c r="MI14" s="60"/>
      <c r="MJ14" s="60"/>
      <c r="MK14" s="60"/>
      <c r="ML14" s="60"/>
      <c r="MM14" s="60"/>
      <c r="MN14" s="60"/>
      <c r="MO14" s="60"/>
    </row>
    <row r="15" spans="1:353" ht="21" customHeight="1" x14ac:dyDescent="0.25">
      <c r="B15" s="84" t="s">
        <v>646</v>
      </c>
      <c r="C15" s="58" t="s">
        <v>633</v>
      </c>
      <c r="D15" s="159" t="s">
        <v>290</v>
      </c>
      <c r="E15" s="159" t="s">
        <v>239</v>
      </c>
      <c r="F15" s="159" t="s">
        <v>474</v>
      </c>
      <c r="G15" s="159"/>
      <c r="H15" s="59"/>
      <c r="I15" s="159" t="s">
        <v>636</v>
      </c>
      <c r="J15" s="159" t="s">
        <v>636</v>
      </c>
      <c r="K15" s="159" t="s">
        <v>636</v>
      </c>
      <c r="L15" s="159" t="s">
        <v>637</v>
      </c>
      <c r="M15" s="159" t="s">
        <v>278</v>
      </c>
      <c r="N15" s="159">
        <v>12</v>
      </c>
      <c r="O15" s="159" t="s">
        <v>567</v>
      </c>
      <c r="P15" s="159">
        <v>12</v>
      </c>
      <c r="Q15" s="159"/>
      <c r="R15" s="160"/>
      <c r="S15" s="159"/>
      <c r="T15" s="159" t="s">
        <v>422</v>
      </c>
      <c r="U15" s="61" t="s">
        <v>291</v>
      </c>
      <c r="V15" s="61">
        <v>3</v>
      </c>
      <c r="W15" s="65"/>
      <c r="X15" s="62"/>
      <c r="Y15" s="61" t="s">
        <v>241</v>
      </c>
      <c r="Z15" s="61" t="s">
        <v>242</v>
      </c>
      <c r="AA15" s="61">
        <v>2500</v>
      </c>
      <c r="AB15" s="62"/>
      <c r="AC15" s="62"/>
      <c r="AD15" s="62"/>
      <c r="AE15" s="63"/>
      <c r="AF15" s="62"/>
      <c r="AG15" s="62"/>
      <c r="AH15" s="62"/>
      <c r="AI15" s="61"/>
      <c r="AJ15" s="61"/>
      <c r="AK15" s="62"/>
      <c r="AL15" s="62"/>
      <c r="AM15" s="62"/>
      <c r="AN15" s="64"/>
      <c r="AO15" s="61" t="s">
        <v>246</v>
      </c>
      <c r="AP15" s="61"/>
      <c r="AQ15" s="61"/>
      <c r="AR15" s="65"/>
      <c r="AS15" s="62"/>
      <c r="AT15" s="62"/>
      <c r="AU15" s="61"/>
      <c r="AV15" s="61"/>
      <c r="AW15" s="61"/>
      <c r="AX15" s="62"/>
      <c r="AY15" s="62"/>
      <c r="AZ15" s="62"/>
      <c r="BA15" s="62"/>
      <c r="BB15" s="61"/>
      <c r="BC15" s="61"/>
      <c r="BD15" s="65"/>
      <c r="BE15" s="62"/>
      <c r="BF15" s="62"/>
      <c r="BG15" s="61"/>
      <c r="BH15" s="65"/>
      <c r="BI15" s="62"/>
      <c r="BJ15" s="62"/>
      <c r="BK15" s="61"/>
      <c r="BL15" s="62"/>
      <c r="BM15" s="62"/>
      <c r="BN15" s="62"/>
      <c r="BO15" s="61"/>
      <c r="BP15" s="65"/>
      <c r="BQ15" s="67"/>
      <c r="BR15" s="62"/>
      <c r="BS15" s="61"/>
      <c r="BT15" s="65"/>
      <c r="BU15" s="65" t="s">
        <v>292</v>
      </c>
      <c r="BV15" s="65"/>
      <c r="BW15" s="147"/>
      <c r="BX15" s="65">
        <f t="shared" si="28"/>
        <v>0</v>
      </c>
      <c r="BY15" s="61"/>
      <c r="BZ15" s="61" t="s">
        <v>293</v>
      </c>
      <c r="CA15" s="61"/>
      <c r="CB15" s="62"/>
      <c r="CC15" s="61"/>
      <c r="CD15" s="68" t="s">
        <v>537</v>
      </c>
      <c r="CE15" s="60" t="s">
        <v>251</v>
      </c>
      <c r="CF15" s="61" t="s">
        <v>261</v>
      </c>
      <c r="CG15" s="61" t="s">
        <v>262</v>
      </c>
      <c r="CH15" s="61" t="s">
        <v>263</v>
      </c>
      <c r="CI15" s="78" t="s">
        <v>264</v>
      </c>
      <c r="CJ15" s="62"/>
      <c r="CK15" s="61"/>
      <c r="CL15" s="69"/>
      <c r="CM15" s="61"/>
      <c r="CN15" s="61"/>
      <c r="CO15" s="61"/>
      <c r="CP15" s="61"/>
      <c r="CQ15" s="64"/>
      <c r="CR15" s="60"/>
      <c r="CS15" s="70"/>
      <c r="CT15" s="61"/>
      <c r="CU15" s="61"/>
      <c r="CV15" s="61"/>
      <c r="CW15" s="61"/>
      <c r="CX15" s="61"/>
      <c r="CY15" s="61"/>
      <c r="CZ15" s="61"/>
      <c r="DA15" s="61"/>
      <c r="DB15" s="61"/>
      <c r="DC15" s="61"/>
      <c r="DD15" s="61"/>
      <c r="DE15" s="61"/>
      <c r="DF15" s="61"/>
      <c r="DG15" s="64"/>
      <c r="DH15" s="60"/>
      <c r="DI15" s="62"/>
      <c r="DJ15" s="62"/>
      <c r="DK15" s="62"/>
      <c r="DL15" s="62"/>
      <c r="DM15" s="62"/>
      <c r="DN15" s="62"/>
      <c r="DO15" s="62"/>
      <c r="DP15" s="62"/>
      <c r="DQ15" s="62"/>
      <c r="DR15" s="62"/>
      <c r="DS15" s="62"/>
      <c r="DT15" s="62"/>
      <c r="DU15" s="62"/>
      <c r="DV15" s="62"/>
      <c r="DW15" s="62"/>
      <c r="DX15" s="62"/>
      <c r="DY15" s="62"/>
      <c r="DZ15" s="62"/>
      <c r="EA15" s="62"/>
      <c r="EB15" s="62"/>
      <c r="EC15" s="62"/>
      <c r="ED15" s="62"/>
      <c r="EE15" s="62"/>
      <c r="EF15" s="62"/>
      <c r="EG15" s="62"/>
      <c r="EH15" s="60"/>
      <c r="EI15" s="62"/>
      <c r="EJ15" s="62"/>
      <c r="EK15" s="61"/>
      <c r="EL15" s="95"/>
      <c r="EM15" s="71"/>
      <c r="EN15" s="133">
        <f t="shared" si="55"/>
        <v>2</v>
      </c>
      <c r="EO15" s="61">
        <f t="shared" si="56"/>
        <v>1</v>
      </c>
      <c r="EP15" s="62"/>
      <c r="EQ15" s="62">
        <v>44532</v>
      </c>
      <c r="ER15" s="73"/>
      <c r="ES15" s="62"/>
      <c r="ET15" s="62"/>
      <c r="EU15" s="62"/>
      <c r="EV15" s="62"/>
      <c r="EW15" s="62"/>
      <c r="EX15" s="62"/>
      <c r="EY15" s="61">
        <f t="shared" si="57"/>
        <v>1</v>
      </c>
      <c r="EZ15" s="62"/>
      <c r="FA15" s="62">
        <v>47119</v>
      </c>
      <c r="FB15" s="73"/>
      <c r="FC15" s="61"/>
      <c r="FD15" s="62"/>
      <c r="FE15" s="61"/>
      <c r="FF15" s="68" t="str">
        <f t="shared" si="58"/>
        <v>No FP &amp; Demand</v>
      </c>
      <c r="FG15" s="76">
        <f t="shared" si="59"/>
        <v>47119</v>
      </c>
      <c r="FH15" s="65">
        <f t="shared" si="60"/>
        <v>0</v>
      </c>
      <c r="FI15" s="76" t="s">
        <v>294</v>
      </c>
      <c r="FJ15" s="62">
        <f>FG15</f>
        <v>47119</v>
      </c>
      <c r="FK15" s="62"/>
      <c r="FL15" s="61"/>
      <c r="FM15" s="61"/>
      <c r="FN15" s="61"/>
      <c r="FO15" s="60"/>
      <c r="FP15" s="64"/>
      <c r="FQ15" s="64"/>
      <c r="FR15" s="61"/>
      <c r="FS15" s="61"/>
      <c r="FT15" s="61"/>
      <c r="FU15" s="61"/>
      <c r="FV15" s="60"/>
      <c r="FW15" s="61"/>
      <c r="FX15" s="61"/>
      <c r="FY15" s="61"/>
      <c r="FZ15" s="61"/>
      <c r="GA15" s="61"/>
      <c r="GB15" s="61"/>
      <c r="GC15" s="61"/>
      <c r="GD15" s="61"/>
      <c r="GE15" s="61"/>
      <c r="GF15" s="61"/>
      <c r="GG15" s="61"/>
      <c r="GH15" s="61"/>
      <c r="GI15" s="60"/>
      <c r="GJ15" s="62"/>
      <c r="GK15" s="62"/>
      <c r="GL15" s="62"/>
      <c r="GM15" s="62"/>
      <c r="GN15" s="63"/>
      <c r="GO15" s="63"/>
      <c r="GP15" s="62"/>
      <c r="GQ15" s="62"/>
      <c r="GR15" s="62"/>
      <c r="GS15" s="62"/>
      <c r="GT15" s="62"/>
      <c r="GU15" s="62"/>
      <c r="GV15" s="78"/>
      <c r="GW15" s="62"/>
      <c r="GX15" s="62"/>
      <c r="GY15" s="62"/>
      <c r="GZ15" s="62"/>
      <c r="HA15" s="67"/>
      <c r="HB15" s="62"/>
      <c r="HC15" s="62"/>
      <c r="HD15" s="62"/>
      <c r="HE15" s="65"/>
      <c r="HF15" s="62"/>
      <c r="HG15" s="65"/>
      <c r="HH15" s="62"/>
      <c r="HI15" s="61"/>
      <c r="HJ15" s="62"/>
      <c r="HK15" s="62"/>
      <c r="HL15" s="62"/>
      <c r="HM15" s="65"/>
      <c r="HN15" s="63"/>
      <c r="HO15" s="62"/>
      <c r="HP15" s="78"/>
      <c r="HQ15" s="60"/>
      <c r="HR15" s="63"/>
      <c r="HS15" s="62"/>
      <c r="HT15" s="63"/>
      <c r="HU15" s="62"/>
      <c r="HV15" s="62"/>
      <c r="HW15" s="62"/>
      <c r="HX15" s="79"/>
      <c r="HY15" s="62"/>
      <c r="HZ15" s="79"/>
      <c r="IA15" s="60"/>
      <c r="IB15" s="65"/>
      <c r="IC15" s="62"/>
      <c r="ID15" s="61"/>
      <c r="IE15" s="61"/>
      <c r="IF15" s="61"/>
      <c r="IG15" s="61"/>
      <c r="IH15" s="61"/>
      <c r="II15" s="61"/>
      <c r="IJ15" s="61"/>
      <c r="IK15" s="61"/>
      <c r="IL15" s="62"/>
      <c r="IM15" s="62"/>
      <c r="IN15" s="62" t="str">
        <f t="shared" si="61"/>
        <v>-</v>
      </c>
      <c r="IO15" s="60"/>
      <c r="IP15" s="65"/>
      <c r="IQ15" s="62">
        <f t="shared" si="62"/>
        <v>0</v>
      </c>
      <c r="IR15" s="62"/>
      <c r="IS15" s="62"/>
      <c r="IT15" s="62"/>
      <c r="IU15" s="62"/>
      <c r="IV15" s="62"/>
      <c r="IW15" s="62"/>
      <c r="IX15" s="62"/>
      <c r="IY15" s="62"/>
      <c r="IZ15" s="62"/>
      <c r="JA15" s="62"/>
      <c r="JB15" s="62"/>
      <c r="JC15" s="62"/>
      <c r="JD15" s="62"/>
      <c r="JE15" s="62"/>
      <c r="JF15" s="62"/>
      <c r="JG15" s="62"/>
      <c r="JH15" s="65">
        <f>FJ15+120</f>
        <v>47239</v>
      </c>
      <c r="JI15" s="67" t="str">
        <f t="shared" si="63"/>
        <v>Q2-2029</v>
      </c>
      <c r="JJ15" s="62"/>
      <c r="JK15" s="60"/>
      <c r="JL15" s="61"/>
      <c r="JM15" s="64"/>
      <c r="JN15" s="62"/>
      <c r="JO15" s="62"/>
      <c r="JP15" s="78"/>
      <c r="JQ15" s="61"/>
      <c r="JR15" s="60"/>
      <c r="JS15" s="62"/>
      <c r="JT15" s="62"/>
      <c r="JU15" s="62"/>
      <c r="JV15" s="62"/>
      <c r="JW15" s="62"/>
      <c r="JX15" s="62"/>
      <c r="JY15" s="60"/>
      <c r="JZ15" s="61"/>
      <c r="KA15" s="61"/>
      <c r="KB15" s="61"/>
      <c r="KC15" s="61"/>
      <c r="KD15" s="61"/>
      <c r="KE15" s="61"/>
      <c r="KF15" s="60"/>
      <c r="KG15" s="86"/>
      <c r="KH15" s="60"/>
      <c r="KI15" s="81" t="str">
        <f t="shared" si="29"/>
        <v/>
      </c>
      <c r="KJ15" s="61" t="str">
        <f t="shared" si="30"/>
        <v>Not Gated</v>
      </c>
      <c r="KK15" s="61" t="str">
        <f t="shared" si="31"/>
        <v/>
      </c>
      <c r="KL15" s="62" t="str">
        <f t="shared" si="32"/>
        <v/>
      </c>
      <c r="KM15" s="62" t="str">
        <f t="shared" si="33"/>
        <v/>
      </c>
      <c r="KN15" s="61" t="str">
        <f t="shared" si="34"/>
        <v>Modular Monopole</v>
      </c>
      <c r="KO15" s="61" t="str">
        <f t="shared" si="35"/>
        <v>TC68</v>
      </c>
      <c r="KP15" s="131" t="str">
        <f t="shared" si="36"/>
        <v>No FP OPW</v>
      </c>
      <c r="KQ15" s="131" t="str">
        <f t="shared" si="37"/>
        <v>No Forcast Date</v>
      </c>
      <c r="KR15" s="61" t="str">
        <f t="shared" si="38"/>
        <v xml:space="preserve">No FP OPW  Not Gated  UTS  TC68  No Forcast Date  </v>
      </c>
      <c r="KS15" s="61">
        <f t="shared" si="39"/>
        <v>0</v>
      </c>
      <c r="KT15" s="61" t="str">
        <f t="shared" si="40"/>
        <v/>
      </c>
      <c r="KU15" s="61" t="str">
        <f t="shared" si="41"/>
        <v>Wooden Pole</v>
      </c>
      <c r="KV15" s="61">
        <f t="shared" si="42"/>
        <v>12</v>
      </c>
      <c r="KW15" s="61" t="str">
        <f t="shared" si="43"/>
        <v>Modular Monopole</v>
      </c>
      <c r="KX15" s="61">
        <f t="shared" si="44"/>
        <v>12</v>
      </c>
      <c r="KY15" s="60"/>
      <c r="KZ15" s="60"/>
      <c r="LA15" s="62"/>
      <c r="LB15" s="61"/>
      <c r="LC15" s="62"/>
      <c r="LD15" s="61"/>
      <c r="LE15" s="68" t="str">
        <f t="shared" si="45"/>
        <v>-</v>
      </c>
      <c r="LF15" s="150" t="str">
        <f t="shared" si="46"/>
        <v>-</v>
      </c>
      <c r="LG15" s="60"/>
      <c r="LH15" s="60"/>
      <c r="LI15" s="68" t="str">
        <f t="shared" si="47"/>
        <v>-</v>
      </c>
      <c r="LJ15" s="150" t="str">
        <f t="shared" si="48"/>
        <v>-</v>
      </c>
      <c r="LK15" s="60"/>
      <c r="LL15" s="68" t="str">
        <f t="shared" si="49"/>
        <v>-</v>
      </c>
      <c r="LM15" s="150" t="str">
        <f t="shared" si="50"/>
        <v>-</v>
      </c>
      <c r="LN15" s="60"/>
      <c r="LO15" s="98" t="str">
        <f t="shared" si="51"/>
        <v>-</v>
      </c>
      <c r="LP15" s="68" t="str">
        <f t="shared" si="52"/>
        <v>-</v>
      </c>
      <c r="LQ15" s="150" t="str">
        <f t="shared" si="53"/>
        <v>-</v>
      </c>
      <c r="LR15" s="60"/>
      <c r="LS15" s="98" t="str">
        <f t="shared" si="54"/>
        <v>-</v>
      </c>
      <c r="LT15" s="60"/>
      <c r="LU15" s="60"/>
      <c r="LV15" s="60"/>
      <c r="LW15" s="60"/>
      <c r="LX15" s="60"/>
      <c r="LY15" s="60"/>
      <c r="LZ15" s="60"/>
      <c r="MA15" s="60"/>
      <c r="MB15" s="60"/>
      <c r="MC15" s="60"/>
      <c r="MD15" s="60"/>
      <c r="ME15" s="60"/>
      <c r="MF15" s="60"/>
      <c r="MG15" s="60"/>
      <c r="MH15" s="60"/>
      <c r="MI15" s="60"/>
      <c r="MJ15" s="60"/>
      <c r="MK15" s="60"/>
      <c r="ML15" s="60"/>
      <c r="MM15" s="60"/>
      <c r="MN15" s="60"/>
      <c r="MO15" s="60"/>
    </row>
    <row r="16" spans="1:353" ht="21" customHeight="1" x14ac:dyDescent="0.25">
      <c r="B16" s="84" t="s">
        <v>647</v>
      </c>
      <c r="C16" s="58" t="s">
        <v>633</v>
      </c>
      <c r="D16" s="159" t="s">
        <v>252</v>
      </c>
      <c r="E16" s="159" t="s">
        <v>239</v>
      </c>
      <c r="F16" s="159" t="s">
        <v>454</v>
      </c>
      <c r="G16" s="159"/>
      <c r="H16" s="59"/>
      <c r="I16" s="159" t="s">
        <v>636</v>
      </c>
      <c r="J16" s="159" t="s">
        <v>636</v>
      </c>
      <c r="K16" s="159" t="s">
        <v>636</v>
      </c>
      <c r="L16" s="159" t="s">
        <v>637</v>
      </c>
      <c r="M16" s="159" t="s">
        <v>254</v>
      </c>
      <c r="N16" s="159">
        <v>15</v>
      </c>
      <c r="O16" s="159" t="s">
        <v>240</v>
      </c>
      <c r="P16" s="159">
        <v>21</v>
      </c>
      <c r="Q16" s="159"/>
      <c r="R16" s="160"/>
      <c r="S16" s="159" t="s">
        <v>630</v>
      </c>
      <c r="T16" s="159"/>
      <c r="U16" s="61" t="s">
        <v>256</v>
      </c>
      <c r="V16" s="61">
        <v>2</v>
      </c>
      <c r="W16" s="65"/>
      <c r="X16" s="72">
        <v>43843</v>
      </c>
      <c r="Y16" s="61" t="s">
        <v>295</v>
      </c>
      <c r="Z16" s="61" t="s">
        <v>242</v>
      </c>
      <c r="AA16" s="61">
        <v>1000</v>
      </c>
      <c r="AB16" s="72">
        <v>43864</v>
      </c>
      <c r="AC16" s="96">
        <v>43864</v>
      </c>
      <c r="AD16" s="96"/>
      <c r="AE16" s="63"/>
      <c r="AF16" s="96">
        <v>43959</v>
      </c>
      <c r="AG16" s="62"/>
      <c r="AH16" s="62"/>
      <c r="AI16" s="61" t="s">
        <v>257</v>
      </c>
      <c r="AJ16" s="61" t="s">
        <v>258</v>
      </c>
      <c r="AK16" s="72" t="s">
        <v>257</v>
      </c>
      <c r="AL16" s="72" t="s">
        <v>257</v>
      </c>
      <c r="AM16" s="61" t="s">
        <v>261</v>
      </c>
      <c r="AN16" s="78"/>
      <c r="AO16" s="61" t="s">
        <v>296</v>
      </c>
      <c r="AP16" s="61" t="s">
        <v>247</v>
      </c>
      <c r="AQ16" s="61" t="s">
        <v>248</v>
      </c>
      <c r="AR16" s="65">
        <v>44337</v>
      </c>
      <c r="AS16" s="72">
        <v>44337</v>
      </c>
      <c r="AT16" s="72" t="s">
        <v>257</v>
      </c>
      <c r="AU16" s="61">
        <v>21940</v>
      </c>
      <c r="AV16" s="61"/>
      <c r="AW16" s="61"/>
      <c r="AX16" s="61"/>
      <c r="AY16" s="61"/>
      <c r="AZ16" s="84"/>
      <c r="BA16" s="62"/>
      <c r="BB16" s="62"/>
      <c r="BC16" s="62"/>
      <c r="BD16" s="65">
        <v>44517</v>
      </c>
      <c r="BE16" s="72">
        <v>44400</v>
      </c>
      <c r="BF16" s="62" t="s">
        <v>272</v>
      </c>
      <c r="BG16" s="61"/>
      <c r="BH16" s="65">
        <v>44438</v>
      </c>
      <c r="BI16" s="72">
        <v>44438</v>
      </c>
      <c r="BJ16" s="62" t="s">
        <v>272</v>
      </c>
      <c r="BK16" s="61">
        <v>2021</v>
      </c>
      <c r="BL16" s="62">
        <v>44427</v>
      </c>
      <c r="BM16" s="62"/>
      <c r="BN16" s="62"/>
      <c r="BO16" s="61"/>
      <c r="BP16" s="65"/>
      <c r="BQ16" s="67"/>
      <c r="BR16" s="62"/>
      <c r="BS16" s="61"/>
      <c r="BT16" s="65">
        <v>44438</v>
      </c>
      <c r="BU16" s="65" t="s">
        <v>292</v>
      </c>
      <c r="BV16" s="65">
        <v>44438</v>
      </c>
      <c r="BW16" s="147" t="s">
        <v>272</v>
      </c>
      <c r="BX16" s="65">
        <f t="shared" si="28"/>
        <v>46263</v>
      </c>
      <c r="BY16" s="61" t="s">
        <v>273</v>
      </c>
      <c r="BZ16" s="61" t="s">
        <v>297</v>
      </c>
      <c r="CA16" s="61"/>
      <c r="CB16" s="72">
        <v>45182</v>
      </c>
      <c r="CC16" s="61"/>
      <c r="CD16" s="68" t="s">
        <v>536</v>
      </c>
      <c r="CE16" s="60" t="s">
        <v>274</v>
      </c>
      <c r="CF16" s="61"/>
      <c r="CG16" s="61"/>
      <c r="CH16" s="61"/>
      <c r="CI16" s="62"/>
      <c r="CJ16" s="62"/>
      <c r="CK16" s="61"/>
      <c r="CL16" s="69"/>
      <c r="CM16" s="61"/>
      <c r="CN16" s="61"/>
      <c r="CO16" s="61"/>
      <c r="CP16" s="61"/>
      <c r="CQ16" s="64" t="s">
        <v>298</v>
      </c>
      <c r="CR16" s="60"/>
      <c r="CS16" s="70" t="s">
        <v>561</v>
      </c>
      <c r="CT16" s="61" t="s">
        <v>269</v>
      </c>
      <c r="CU16" s="61" t="s">
        <v>269</v>
      </c>
      <c r="CV16" s="61" t="s">
        <v>269</v>
      </c>
      <c r="CW16" s="61" t="s">
        <v>269</v>
      </c>
      <c r="CX16" s="82" t="s">
        <v>275</v>
      </c>
      <c r="CY16" s="61" t="s">
        <v>269</v>
      </c>
      <c r="CZ16" s="61" t="s">
        <v>269</v>
      </c>
      <c r="DA16" s="61"/>
      <c r="DB16" s="61"/>
      <c r="DC16" s="61"/>
      <c r="DD16" s="61"/>
      <c r="DE16" s="61"/>
      <c r="DF16" s="61" t="s">
        <v>269</v>
      </c>
      <c r="DG16" s="64" t="s">
        <v>553</v>
      </c>
      <c r="DH16" s="60"/>
      <c r="DI16" s="61"/>
      <c r="DJ16" s="61"/>
      <c r="DK16" s="61" t="s">
        <v>276</v>
      </c>
      <c r="DL16" s="61" t="s">
        <v>276</v>
      </c>
      <c r="DM16" s="61" t="s">
        <v>276</v>
      </c>
      <c r="DN16" s="61" t="s">
        <v>276</v>
      </c>
      <c r="DO16" s="61" t="s">
        <v>276</v>
      </c>
      <c r="DP16" s="61" t="s">
        <v>276</v>
      </c>
      <c r="DQ16" s="61"/>
      <c r="DR16" s="61"/>
      <c r="DS16" s="61"/>
      <c r="DT16" s="61"/>
      <c r="DU16" s="61"/>
      <c r="DV16" s="61"/>
      <c r="DW16" s="61"/>
      <c r="DX16" s="61"/>
      <c r="DY16" s="61"/>
      <c r="DZ16" s="61"/>
      <c r="EA16" s="61"/>
      <c r="EB16" s="61"/>
      <c r="EC16" s="61"/>
      <c r="ED16" s="61"/>
      <c r="EE16" s="61"/>
      <c r="EF16" s="61"/>
      <c r="EG16" s="61"/>
      <c r="EH16" s="60"/>
      <c r="EI16" s="72">
        <v>45233</v>
      </c>
      <c r="EJ16" s="72">
        <v>45336</v>
      </c>
      <c r="EK16" s="61">
        <v>2</v>
      </c>
      <c r="EL16" s="70"/>
      <c r="EM16" s="71" t="s">
        <v>340</v>
      </c>
      <c r="EN16" s="133">
        <f t="shared" si="55"/>
        <v>3</v>
      </c>
      <c r="EO16" s="61">
        <f t="shared" si="56"/>
        <v>1</v>
      </c>
      <c r="EP16" s="72">
        <v>45377</v>
      </c>
      <c r="EQ16" s="62"/>
      <c r="ER16" s="72">
        <v>45379</v>
      </c>
      <c r="ES16" s="62"/>
      <c r="ET16" s="62"/>
      <c r="EU16" s="62"/>
      <c r="EV16" s="62"/>
      <c r="EW16" s="62"/>
      <c r="EX16" s="62"/>
      <c r="EY16" s="61">
        <f t="shared" si="57"/>
        <v>2</v>
      </c>
      <c r="EZ16" s="61"/>
      <c r="FA16" s="61"/>
      <c r="FB16" s="74"/>
      <c r="FC16" s="62">
        <v>46388</v>
      </c>
      <c r="FD16" s="62">
        <v>46023</v>
      </c>
      <c r="FE16" s="61"/>
      <c r="FF16" s="68" t="str">
        <f t="shared" si="58"/>
        <v>FP &amp; Demand</v>
      </c>
      <c r="FG16" s="76">
        <f t="shared" si="59"/>
        <v>46023</v>
      </c>
      <c r="FH16" s="65">
        <f t="shared" si="60"/>
        <v>44438</v>
      </c>
      <c r="FI16" s="76"/>
      <c r="FJ16" s="96">
        <f>FH16+7</f>
        <v>44445</v>
      </c>
      <c r="FK16" s="96">
        <v>45266</v>
      </c>
      <c r="FL16" s="61" t="s">
        <v>299</v>
      </c>
      <c r="FM16" s="61">
        <v>87</v>
      </c>
      <c r="FN16" s="61" t="s">
        <v>286</v>
      </c>
      <c r="FO16" s="60"/>
      <c r="FP16" s="64" t="s">
        <v>300</v>
      </c>
      <c r="FQ16" s="64"/>
      <c r="FR16" s="61" t="s">
        <v>424</v>
      </c>
      <c r="FS16" s="83" t="s">
        <v>257</v>
      </c>
      <c r="FT16" s="83" t="s">
        <v>301</v>
      </c>
      <c r="FU16" s="61"/>
      <c r="FV16" s="60"/>
      <c r="FW16" s="97" t="s">
        <v>269</v>
      </c>
      <c r="FX16" s="61"/>
      <c r="FY16" s="61"/>
      <c r="FZ16" s="61"/>
      <c r="GA16" s="61"/>
      <c r="GB16" s="61"/>
      <c r="GC16" s="61"/>
      <c r="GD16" s="61"/>
      <c r="GE16" s="61"/>
      <c r="GF16" s="61"/>
      <c r="GG16" s="61"/>
      <c r="GH16" s="61"/>
      <c r="GI16" s="60"/>
      <c r="GJ16" s="62"/>
      <c r="GK16" s="62"/>
      <c r="GL16" s="62"/>
      <c r="GM16" s="62"/>
      <c r="GN16" s="63"/>
      <c r="GO16" s="63"/>
      <c r="GP16" s="62"/>
      <c r="GQ16" s="62" t="s">
        <v>257</v>
      </c>
      <c r="GR16" s="72">
        <v>45183</v>
      </c>
      <c r="GS16" s="72">
        <v>45183</v>
      </c>
      <c r="GT16" s="62" t="s">
        <v>302</v>
      </c>
      <c r="GU16" s="62" t="s">
        <v>302</v>
      </c>
      <c r="GV16" s="78"/>
      <c r="GW16" s="62"/>
      <c r="GX16" s="62" t="s">
        <v>243</v>
      </c>
      <c r="GY16" s="62" t="s">
        <v>243</v>
      </c>
      <c r="GZ16" s="78" t="s">
        <v>243</v>
      </c>
      <c r="HA16" s="65"/>
      <c r="HB16" s="78"/>
      <c r="HC16" s="98"/>
      <c r="HD16" s="78"/>
      <c r="HE16" s="65"/>
      <c r="HF16" s="78"/>
      <c r="HG16" s="65">
        <f>FJ16+10</f>
        <v>44455</v>
      </c>
      <c r="HH16" s="83">
        <v>45189</v>
      </c>
      <c r="HI16" s="61" t="s">
        <v>303</v>
      </c>
      <c r="HJ16" s="62" t="s">
        <v>243</v>
      </c>
      <c r="HK16" s="62" t="s">
        <v>243</v>
      </c>
      <c r="HL16" s="83">
        <v>45201</v>
      </c>
      <c r="HM16" s="65">
        <v>45205</v>
      </c>
      <c r="HN16" s="63"/>
      <c r="HO16" s="83">
        <v>45205</v>
      </c>
      <c r="HP16" s="78" t="s">
        <v>582</v>
      </c>
      <c r="HQ16" s="60"/>
      <c r="HR16" s="63"/>
      <c r="HS16" s="99">
        <v>45211</v>
      </c>
      <c r="HT16" s="63"/>
      <c r="HU16" s="100">
        <v>45211</v>
      </c>
      <c r="HV16" s="62" t="s">
        <v>276</v>
      </c>
      <c r="HW16" s="83">
        <v>45205</v>
      </c>
      <c r="HX16" s="79"/>
      <c r="HY16" s="72">
        <v>45271</v>
      </c>
      <c r="HZ16" s="79"/>
      <c r="IA16" s="60"/>
      <c r="IB16" s="65">
        <f>HM16+10</f>
        <v>45215</v>
      </c>
      <c r="IC16" s="72">
        <v>45274</v>
      </c>
      <c r="ID16" s="61"/>
      <c r="IE16" s="101" t="s">
        <v>571</v>
      </c>
      <c r="IF16" s="61" t="s">
        <v>243</v>
      </c>
      <c r="IG16" s="61" t="s">
        <v>243</v>
      </c>
      <c r="IH16" s="61" t="s">
        <v>243</v>
      </c>
      <c r="II16" s="61" t="s">
        <v>243</v>
      </c>
      <c r="IJ16" s="61" t="s">
        <v>243</v>
      </c>
      <c r="IK16" s="61" t="s">
        <v>243</v>
      </c>
      <c r="IL16" s="62"/>
      <c r="IM16" s="62"/>
      <c r="IN16" s="72">
        <f t="shared" si="61"/>
        <v>45336</v>
      </c>
      <c r="IO16" s="60"/>
      <c r="IP16" s="65">
        <f>IB16+30</f>
        <v>45245</v>
      </c>
      <c r="IQ16" s="72">
        <f t="shared" si="62"/>
        <v>45336</v>
      </c>
      <c r="IR16" s="83">
        <v>45336</v>
      </c>
      <c r="IS16" s="72">
        <v>45336</v>
      </c>
      <c r="IT16" s="83">
        <v>45348</v>
      </c>
      <c r="IU16" s="83">
        <v>45352</v>
      </c>
      <c r="IV16" s="61"/>
      <c r="IW16" s="61"/>
      <c r="IX16" s="64"/>
      <c r="IY16" s="64"/>
      <c r="IZ16" s="83">
        <v>45348</v>
      </c>
      <c r="JA16" s="83">
        <v>45352</v>
      </c>
      <c r="JB16" s="83">
        <v>45376</v>
      </c>
      <c r="JC16" s="83">
        <v>45376</v>
      </c>
      <c r="JD16" s="83">
        <v>45376</v>
      </c>
      <c r="JE16" s="83">
        <v>45376</v>
      </c>
      <c r="JF16" s="83">
        <v>45376</v>
      </c>
      <c r="JG16" s="72">
        <v>45376</v>
      </c>
      <c r="JH16" s="65">
        <v>45377</v>
      </c>
      <c r="JI16" s="67" t="str">
        <f t="shared" si="63"/>
        <v>Q1-2024</v>
      </c>
      <c r="JJ16" s="72">
        <v>45377</v>
      </c>
      <c r="JK16" s="60"/>
      <c r="JL16" s="61" t="s">
        <v>257</v>
      </c>
      <c r="JM16" s="64" t="s">
        <v>635</v>
      </c>
      <c r="JN16" s="72">
        <v>45434</v>
      </c>
      <c r="JO16" s="62" t="s">
        <v>257</v>
      </c>
      <c r="JP16" s="78" t="s">
        <v>573</v>
      </c>
      <c r="JQ16" s="72">
        <v>45566</v>
      </c>
      <c r="JR16" s="60"/>
      <c r="JS16" s="62"/>
      <c r="JT16" s="62"/>
      <c r="JU16" s="62"/>
      <c r="JV16" s="78"/>
      <c r="JW16" s="62"/>
      <c r="JX16" s="62"/>
      <c r="JY16" s="60"/>
      <c r="JZ16" s="62">
        <v>45385</v>
      </c>
      <c r="KA16" s="61"/>
      <c r="KB16" s="61"/>
      <c r="KC16" s="61"/>
      <c r="KD16" s="61"/>
      <c r="KE16" s="61"/>
      <c r="KF16" s="60"/>
      <c r="KG16" s="86"/>
      <c r="KH16" s="60"/>
      <c r="KI16" s="81" t="str">
        <f t="shared" si="29"/>
        <v>TGYxxxx</v>
      </c>
      <c r="KJ16" s="61" t="str">
        <f t="shared" si="30"/>
        <v>Live</v>
      </c>
      <c r="KK16" s="61" t="str">
        <f t="shared" si="31"/>
        <v>TGYxxxx</v>
      </c>
      <c r="KL16" s="62">
        <f t="shared" si="32"/>
        <v>45377</v>
      </c>
      <c r="KM16" s="62">
        <f t="shared" si="33"/>
        <v>45377</v>
      </c>
      <c r="KN16" s="61" t="str">
        <f t="shared" si="34"/>
        <v>Monopole</v>
      </c>
      <c r="KO16" s="61" t="str">
        <f t="shared" si="35"/>
        <v>TC68</v>
      </c>
      <c r="KP16" s="131">
        <f t="shared" si="36"/>
        <v>0</v>
      </c>
      <c r="KQ16" s="131" t="str">
        <f t="shared" si="37"/>
        <v>Q1-2024</v>
      </c>
      <c r="KR16" s="61" t="str">
        <f t="shared" si="38"/>
        <v xml:space="preserve">0  Live  UTS  TC68  Q1-2024  </v>
      </c>
      <c r="KS16" s="61" t="str">
        <f t="shared" si="39"/>
        <v>RFI</v>
      </c>
      <c r="KT16" s="61" t="str">
        <f t="shared" si="40"/>
        <v>Site name</v>
      </c>
      <c r="KU16" s="61" t="str">
        <f t="shared" si="41"/>
        <v>Lattice Mast</v>
      </c>
      <c r="KV16" s="61">
        <f t="shared" si="42"/>
        <v>15</v>
      </c>
      <c r="KW16" s="61" t="str">
        <f t="shared" si="43"/>
        <v>Monopole</v>
      </c>
      <c r="KX16" s="61">
        <f t="shared" si="44"/>
        <v>21</v>
      </c>
      <c r="KY16" s="60"/>
      <c r="KZ16" s="60"/>
      <c r="LA16" s="62"/>
      <c r="LB16" s="61"/>
      <c r="LC16" s="62"/>
      <c r="LD16" s="61"/>
      <c r="LE16" s="68" t="str">
        <f t="shared" si="45"/>
        <v>-</v>
      </c>
      <c r="LF16" s="150" t="str">
        <f t="shared" si="46"/>
        <v>-</v>
      </c>
      <c r="LG16" s="60"/>
      <c r="LH16" s="60"/>
      <c r="LI16" s="68">
        <f t="shared" si="47"/>
        <v>63</v>
      </c>
      <c r="LJ16" s="150">
        <f t="shared" si="48"/>
        <v>2.1</v>
      </c>
      <c r="LK16" s="60"/>
      <c r="LL16" s="68">
        <f t="shared" si="49"/>
        <v>101</v>
      </c>
      <c r="LM16" s="150">
        <f t="shared" si="50"/>
        <v>3.3666666666666667</v>
      </c>
      <c r="LN16" s="60"/>
      <c r="LO16" s="98" t="str">
        <f t="shared" si="51"/>
        <v>-</v>
      </c>
      <c r="LP16" s="68" t="str">
        <f t="shared" si="52"/>
        <v>-</v>
      </c>
      <c r="LQ16" s="150" t="str">
        <f t="shared" si="53"/>
        <v>-</v>
      </c>
      <c r="LR16" s="60"/>
      <c r="LS16" s="98" t="str">
        <f t="shared" si="54"/>
        <v>-</v>
      </c>
      <c r="LT16" s="60"/>
      <c r="LU16" s="60"/>
      <c r="LV16" s="60"/>
      <c r="LW16" s="60"/>
      <c r="LX16" s="60"/>
      <c r="LY16" s="60"/>
      <c r="LZ16" s="60"/>
      <c r="MA16" s="60"/>
      <c r="MB16" s="60"/>
      <c r="MC16" s="60"/>
      <c r="MD16" s="60"/>
      <c r="ME16" s="60"/>
      <c r="MF16" s="60"/>
      <c r="MG16" s="60"/>
      <c r="MH16" s="60"/>
      <c r="MI16" s="60"/>
      <c r="MJ16" s="60"/>
      <c r="MK16" s="60"/>
      <c r="ML16" s="60"/>
      <c r="MM16" s="60"/>
      <c r="MN16" s="60"/>
      <c r="MO16" s="60"/>
    </row>
    <row r="17" spans="2:353" ht="21" customHeight="1" x14ac:dyDescent="0.25">
      <c r="B17" s="58" t="s">
        <v>646</v>
      </c>
      <c r="C17" s="58" t="s">
        <v>633</v>
      </c>
      <c r="D17" s="159" t="s">
        <v>290</v>
      </c>
      <c r="E17" s="159" t="s">
        <v>239</v>
      </c>
      <c r="F17" s="159" t="s">
        <v>455</v>
      </c>
      <c r="G17" s="159"/>
      <c r="H17" s="59"/>
      <c r="I17" s="159" t="s">
        <v>636</v>
      </c>
      <c r="J17" s="159" t="s">
        <v>636</v>
      </c>
      <c r="K17" s="159" t="s">
        <v>636</v>
      </c>
      <c r="L17" s="159" t="s">
        <v>637</v>
      </c>
      <c r="M17" s="159" t="s">
        <v>356</v>
      </c>
      <c r="N17" s="159">
        <v>12</v>
      </c>
      <c r="O17" s="159" t="s">
        <v>330</v>
      </c>
      <c r="P17" s="159">
        <v>20</v>
      </c>
      <c r="Q17" s="159"/>
      <c r="R17" s="160"/>
      <c r="S17" s="159" t="s">
        <v>321</v>
      </c>
      <c r="T17" s="159"/>
      <c r="U17" s="61" t="s">
        <v>381</v>
      </c>
      <c r="V17" s="61">
        <v>2</v>
      </c>
      <c r="W17" s="65"/>
      <c r="X17" s="72" t="s">
        <v>257</v>
      </c>
      <c r="Y17" s="61" t="s">
        <v>305</v>
      </c>
      <c r="Z17" s="61" t="s">
        <v>270</v>
      </c>
      <c r="AA17" s="61">
        <v>2500</v>
      </c>
      <c r="AB17" s="72">
        <v>43738</v>
      </c>
      <c r="AC17" s="72">
        <v>44056</v>
      </c>
      <c r="AD17" s="72"/>
      <c r="AE17" s="63"/>
      <c r="AF17" s="96">
        <v>44075</v>
      </c>
      <c r="AG17" s="62"/>
      <c r="AH17" s="62"/>
      <c r="AI17" s="61"/>
      <c r="AJ17" s="61"/>
      <c r="AK17" s="62"/>
      <c r="AL17" s="62"/>
      <c r="AM17" s="62"/>
      <c r="AN17" s="64"/>
      <c r="AO17" s="61" t="s">
        <v>246</v>
      </c>
      <c r="AP17" s="61"/>
      <c r="AQ17" s="61" t="s">
        <v>248</v>
      </c>
      <c r="AR17" s="65">
        <v>44120</v>
      </c>
      <c r="AS17" s="72">
        <v>44120</v>
      </c>
      <c r="AT17" s="72">
        <v>44125</v>
      </c>
      <c r="AU17" s="61">
        <v>20770</v>
      </c>
      <c r="AV17" s="61"/>
      <c r="AW17" s="61"/>
      <c r="AX17" s="62"/>
      <c r="AY17" s="62"/>
      <c r="AZ17" s="62"/>
      <c r="BA17" s="61"/>
      <c r="BB17" s="61"/>
      <c r="BC17" s="61"/>
      <c r="BD17" s="65">
        <v>44180</v>
      </c>
      <c r="BE17" s="140">
        <v>44179</v>
      </c>
      <c r="BF17" s="62" t="s">
        <v>307</v>
      </c>
      <c r="BG17" s="61">
        <v>5</v>
      </c>
      <c r="BH17" s="65">
        <v>44215</v>
      </c>
      <c r="BI17" s="62"/>
      <c r="BJ17" s="62" t="s">
        <v>344</v>
      </c>
      <c r="BK17" s="61">
        <v>2021</v>
      </c>
      <c r="BL17" s="62">
        <v>44206</v>
      </c>
      <c r="BM17" s="72">
        <v>44215</v>
      </c>
      <c r="BN17" s="62"/>
      <c r="BO17" s="61">
        <v>309257</v>
      </c>
      <c r="BP17" s="65">
        <v>44340</v>
      </c>
      <c r="BQ17" s="102"/>
      <c r="BR17" s="72">
        <v>44321</v>
      </c>
      <c r="BS17" s="61" t="s">
        <v>272</v>
      </c>
      <c r="BT17" s="65">
        <v>44321</v>
      </c>
      <c r="BU17" s="65" t="s">
        <v>249</v>
      </c>
      <c r="BV17" s="65">
        <v>44321</v>
      </c>
      <c r="BW17" s="147" t="s">
        <v>272</v>
      </c>
      <c r="BX17" s="65">
        <f t="shared" si="28"/>
        <v>46146</v>
      </c>
      <c r="BY17" s="61" t="s">
        <v>273</v>
      </c>
      <c r="BZ17" s="61" t="s">
        <v>427</v>
      </c>
      <c r="CA17" s="61"/>
      <c r="CB17" s="72">
        <v>44386</v>
      </c>
      <c r="CC17" s="61"/>
      <c r="CD17" s="68" t="s">
        <v>536</v>
      </c>
      <c r="CE17" s="60" t="s">
        <v>274</v>
      </c>
      <c r="CF17" s="61"/>
      <c r="CG17" s="61"/>
      <c r="CH17" s="61"/>
      <c r="CI17" s="62"/>
      <c r="CJ17" s="62">
        <v>44159</v>
      </c>
      <c r="CK17" s="61"/>
      <c r="CL17" s="69"/>
      <c r="CM17" s="61"/>
      <c r="CN17" s="61"/>
      <c r="CO17" s="61"/>
      <c r="CP17" s="61" t="s">
        <v>261</v>
      </c>
      <c r="CQ17" s="64" t="s">
        <v>588</v>
      </c>
      <c r="CR17" s="60"/>
      <c r="CS17" s="70" t="s">
        <v>589</v>
      </c>
      <c r="CT17" s="61" t="s">
        <v>269</v>
      </c>
      <c r="CU17" s="61" t="s">
        <v>269</v>
      </c>
      <c r="CV17" s="82" t="s">
        <v>275</v>
      </c>
      <c r="CW17" s="61" t="s">
        <v>269</v>
      </c>
      <c r="CX17" s="61" t="s">
        <v>269</v>
      </c>
      <c r="CY17" s="61" t="s">
        <v>269</v>
      </c>
      <c r="CZ17" s="61" t="s">
        <v>269</v>
      </c>
      <c r="DA17" s="61"/>
      <c r="DB17" s="61"/>
      <c r="DC17" s="61"/>
      <c r="DD17" s="61"/>
      <c r="DE17" s="61"/>
      <c r="DF17" s="61" t="s">
        <v>269</v>
      </c>
      <c r="DG17" s="64" t="s">
        <v>269</v>
      </c>
      <c r="DH17" s="60"/>
      <c r="DI17" s="62"/>
      <c r="DJ17" s="62"/>
      <c r="DK17" s="61" t="s">
        <v>276</v>
      </c>
      <c r="DL17" s="61" t="s">
        <v>276</v>
      </c>
      <c r="DM17" s="83"/>
      <c r="DN17" s="83"/>
      <c r="DO17" s="61" t="s">
        <v>276</v>
      </c>
      <c r="DP17" s="61" t="s">
        <v>276</v>
      </c>
      <c r="DQ17" s="62"/>
      <c r="DR17" s="62"/>
      <c r="DS17" s="62"/>
      <c r="DT17" s="62"/>
      <c r="DU17" s="62"/>
      <c r="DV17" s="62"/>
      <c r="DW17" s="62"/>
      <c r="DX17" s="62"/>
      <c r="DY17" s="62"/>
      <c r="DZ17" s="62"/>
      <c r="EA17" s="62"/>
      <c r="EB17" s="62"/>
      <c r="EC17" s="62"/>
      <c r="ED17" s="62"/>
      <c r="EE17" s="62"/>
      <c r="EF17" s="62"/>
      <c r="EG17" s="62"/>
      <c r="EH17" s="60"/>
      <c r="EI17" s="72">
        <v>44532</v>
      </c>
      <c r="EJ17" s="72">
        <v>44602</v>
      </c>
      <c r="EK17" s="61">
        <v>1</v>
      </c>
      <c r="EL17" s="70"/>
      <c r="EM17" s="71"/>
      <c r="EN17" s="133">
        <f t="shared" si="55"/>
        <v>2</v>
      </c>
      <c r="EO17" s="61">
        <f t="shared" si="56"/>
        <v>1</v>
      </c>
      <c r="EP17" s="62"/>
      <c r="EQ17" s="72">
        <v>44865</v>
      </c>
      <c r="ER17" s="73"/>
      <c r="ES17" s="62"/>
      <c r="ET17" s="62"/>
      <c r="EU17" s="62"/>
      <c r="EV17" s="62"/>
      <c r="EW17" s="62"/>
      <c r="EX17" s="62"/>
      <c r="EY17" s="61">
        <f t="shared" si="57"/>
        <v>1</v>
      </c>
      <c r="EZ17" s="61"/>
      <c r="FA17" s="61"/>
      <c r="FB17" s="74"/>
      <c r="FC17" s="62">
        <v>47484</v>
      </c>
      <c r="FD17" s="61"/>
      <c r="FE17" s="61"/>
      <c r="FF17" s="68" t="str">
        <f t="shared" si="58"/>
        <v>FP &amp; Demand</v>
      </c>
      <c r="FG17" s="76">
        <f t="shared" si="59"/>
        <v>47484</v>
      </c>
      <c r="FH17" s="65">
        <f t="shared" si="60"/>
        <v>44321</v>
      </c>
      <c r="FI17" s="76"/>
      <c r="FJ17" s="62">
        <f>FH17+7</f>
        <v>44328</v>
      </c>
      <c r="FK17" s="62">
        <v>44386</v>
      </c>
      <c r="FL17" s="61" t="s">
        <v>299</v>
      </c>
      <c r="FM17" s="61"/>
      <c r="FN17" s="61"/>
      <c r="FO17" s="60"/>
      <c r="FP17" s="64"/>
      <c r="FQ17" s="64"/>
      <c r="FR17" s="61"/>
      <c r="FS17" s="77" t="s">
        <v>257</v>
      </c>
      <c r="FT17" s="61"/>
      <c r="FU17" s="61"/>
      <c r="FV17" s="60"/>
      <c r="FW17" s="61"/>
      <c r="FX17" s="61"/>
      <c r="FY17" s="61"/>
      <c r="FZ17" s="61"/>
      <c r="GA17" s="61"/>
      <c r="GB17" s="61"/>
      <c r="GC17" s="61"/>
      <c r="GD17" s="61"/>
      <c r="GE17" s="61"/>
      <c r="GF17" s="61"/>
      <c r="GG17" s="61"/>
      <c r="GH17" s="61"/>
      <c r="GI17" s="60"/>
      <c r="GJ17" s="62"/>
      <c r="GK17" s="62"/>
      <c r="GL17" s="62"/>
      <c r="GM17" s="62"/>
      <c r="GN17" s="63"/>
      <c r="GO17" s="63"/>
      <c r="GP17" s="62"/>
      <c r="GQ17" s="62"/>
      <c r="GR17" s="62"/>
      <c r="GS17" s="62"/>
      <c r="GT17" s="62"/>
      <c r="GU17" s="62"/>
      <c r="GV17" s="78"/>
      <c r="GW17" s="62"/>
      <c r="GX17" s="62"/>
      <c r="GY17" s="62"/>
      <c r="GZ17" s="62"/>
      <c r="HA17" s="67"/>
      <c r="HB17" s="62"/>
      <c r="HC17" s="62"/>
      <c r="HD17" s="62"/>
      <c r="HE17" s="65"/>
      <c r="HF17" s="62"/>
      <c r="HG17" s="65">
        <f>FJ17+10</f>
        <v>44338</v>
      </c>
      <c r="HH17" s="62"/>
      <c r="HI17" s="61"/>
      <c r="HJ17" s="62"/>
      <c r="HK17" s="62"/>
      <c r="HL17" s="62"/>
      <c r="HM17" s="65">
        <f>IF(GW17="Yes",HE17,HG17+50)</f>
        <v>44388</v>
      </c>
      <c r="HN17" s="63"/>
      <c r="HO17" s="62"/>
      <c r="HP17" s="78"/>
      <c r="HQ17" s="60"/>
      <c r="HR17" s="63"/>
      <c r="HS17" s="62"/>
      <c r="HT17" s="63"/>
      <c r="HU17" s="62"/>
      <c r="HV17" s="62"/>
      <c r="HW17" s="62"/>
      <c r="HX17" s="79"/>
      <c r="HY17" s="62"/>
      <c r="HZ17" s="79"/>
      <c r="IA17" s="60"/>
      <c r="IB17" s="65">
        <f>HM17+10</f>
        <v>44398</v>
      </c>
      <c r="IC17" s="62"/>
      <c r="ID17" s="61"/>
      <c r="IE17" s="61"/>
      <c r="IF17" s="61"/>
      <c r="IG17" s="61"/>
      <c r="IH17" s="61"/>
      <c r="II17" s="61"/>
      <c r="IJ17" s="61"/>
      <c r="IK17" s="61"/>
      <c r="IL17" s="62"/>
      <c r="IM17" s="62"/>
      <c r="IN17" s="72">
        <f t="shared" si="61"/>
        <v>44602</v>
      </c>
      <c r="IO17" s="60"/>
      <c r="IP17" s="65">
        <f>IB17+30</f>
        <v>44428</v>
      </c>
      <c r="IQ17" s="62">
        <f t="shared" si="62"/>
        <v>0</v>
      </c>
      <c r="IR17" s="62"/>
      <c r="IS17" s="62"/>
      <c r="IT17" s="62"/>
      <c r="IU17" s="62"/>
      <c r="IV17" s="62"/>
      <c r="IW17" s="62"/>
      <c r="IX17" s="62"/>
      <c r="IY17" s="62"/>
      <c r="IZ17" s="62"/>
      <c r="JA17" s="62"/>
      <c r="JB17" s="62"/>
      <c r="JC17" s="62"/>
      <c r="JD17" s="62"/>
      <c r="JE17" s="62"/>
      <c r="JF17" s="62"/>
      <c r="JG17" s="62"/>
      <c r="JH17" s="65">
        <v>44592</v>
      </c>
      <c r="JI17" s="67" t="str">
        <f t="shared" si="63"/>
        <v>Q1-2022</v>
      </c>
      <c r="JJ17" s="80">
        <v>44592</v>
      </c>
      <c r="JK17" s="60"/>
      <c r="JL17" s="61"/>
      <c r="JM17" s="64"/>
      <c r="JN17" s="62"/>
      <c r="JO17" s="62" t="s">
        <v>276</v>
      </c>
      <c r="JP17" s="78"/>
      <c r="JQ17" s="61"/>
      <c r="JR17" s="60"/>
      <c r="JS17" s="62"/>
      <c r="JT17" s="62"/>
      <c r="JU17" s="62"/>
      <c r="JV17" s="62"/>
      <c r="JW17" s="62"/>
      <c r="JX17" s="62"/>
      <c r="JY17" s="60"/>
      <c r="JZ17" s="61"/>
      <c r="KA17" s="61"/>
      <c r="KB17" s="61"/>
      <c r="KC17" s="61"/>
      <c r="KD17" s="61"/>
      <c r="KE17" s="61"/>
      <c r="KF17" s="60"/>
      <c r="KG17" s="61"/>
      <c r="KH17" s="60"/>
      <c r="KI17" s="81" t="str">
        <f t="shared" si="29"/>
        <v>TLKxxxx</v>
      </c>
      <c r="KJ17" s="61" t="str">
        <f t="shared" si="30"/>
        <v>Live</v>
      </c>
      <c r="KK17" s="61" t="str">
        <f t="shared" si="31"/>
        <v>TLKxxxx</v>
      </c>
      <c r="KL17" s="62">
        <f t="shared" si="32"/>
        <v>44592</v>
      </c>
      <c r="KM17" s="62">
        <f t="shared" si="33"/>
        <v>44592</v>
      </c>
      <c r="KN17" s="61" t="str">
        <f t="shared" si="34"/>
        <v>Lattice ext</v>
      </c>
      <c r="KO17" s="61" t="str">
        <f t="shared" si="35"/>
        <v>TC68</v>
      </c>
      <c r="KP17" s="131">
        <f t="shared" si="36"/>
        <v>0</v>
      </c>
      <c r="KQ17" s="131" t="str">
        <f t="shared" si="37"/>
        <v>Q1-2022</v>
      </c>
      <c r="KR17" s="61" t="str">
        <f t="shared" si="38"/>
        <v xml:space="preserve">0  Live  UTS  TC68  Q1-2022  </v>
      </c>
      <c r="KS17" s="61" t="str">
        <f t="shared" si="39"/>
        <v>RFI</v>
      </c>
      <c r="KT17" s="61" t="str">
        <f t="shared" si="40"/>
        <v>Site name</v>
      </c>
      <c r="KU17" s="61" t="str">
        <f t="shared" si="41"/>
        <v>Lattice Tower</v>
      </c>
      <c r="KV17" s="61">
        <f t="shared" si="42"/>
        <v>12</v>
      </c>
      <c r="KW17" s="61" t="str">
        <f t="shared" si="43"/>
        <v>Lattice ext</v>
      </c>
      <c r="KX17" s="61">
        <f t="shared" si="44"/>
        <v>20</v>
      </c>
      <c r="KY17" s="60"/>
      <c r="KZ17" s="60"/>
      <c r="LA17" s="62"/>
      <c r="LB17" s="61"/>
      <c r="LC17" s="62"/>
      <c r="LD17" s="61"/>
      <c r="LE17" s="68" t="str">
        <f t="shared" si="45"/>
        <v>-</v>
      </c>
      <c r="LF17" s="150" t="str">
        <f t="shared" si="46"/>
        <v>-</v>
      </c>
      <c r="LG17" s="60"/>
      <c r="LH17" s="60"/>
      <c r="LI17" s="68">
        <f t="shared" si="47"/>
        <v>59</v>
      </c>
      <c r="LJ17" s="150">
        <f t="shared" si="48"/>
        <v>1.9666666666666666</v>
      </c>
      <c r="LK17" s="60"/>
      <c r="LL17" s="68">
        <f t="shared" si="49"/>
        <v>201</v>
      </c>
      <c r="LM17" s="150">
        <f t="shared" si="50"/>
        <v>6.7</v>
      </c>
      <c r="LN17" s="60"/>
      <c r="LO17" s="98">
        <f t="shared" si="51"/>
        <v>44215</v>
      </c>
      <c r="LP17" s="68">
        <f t="shared" si="52"/>
        <v>106</v>
      </c>
      <c r="LQ17" s="150">
        <f t="shared" si="53"/>
        <v>3.5333333333333332</v>
      </c>
      <c r="LR17" s="60"/>
      <c r="LS17" s="98">
        <f t="shared" si="54"/>
        <v>44321</v>
      </c>
      <c r="LT17" s="60"/>
      <c r="LU17" s="60"/>
      <c r="LV17" s="60"/>
      <c r="LW17" s="60"/>
      <c r="LX17" s="60"/>
      <c r="LY17" s="60"/>
      <c r="LZ17" s="60"/>
      <c r="MA17" s="60"/>
      <c r="MB17" s="60"/>
      <c r="MC17" s="60"/>
      <c r="MD17" s="60"/>
      <c r="ME17" s="60"/>
      <c r="MF17" s="60"/>
      <c r="MG17" s="60"/>
      <c r="MH17" s="60"/>
      <c r="MI17" s="60"/>
      <c r="MJ17" s="60"/>
      <c r="MK17" s="60"/>
      <c r="ML17" s="60"/>
      <c r="MM17" s="60"/>
      <c r="MN17" s="60"/>
      <c r="MO17" s="60"/>
    </row>
    <row r="18" spans="2:353" ht="21" customHeight="1" x14ac:dyDescent="0.25">
      <c r="B18" s="84" t="s">
        <v>648</v>
      </c>
      <c r="C18" s="58" t="s">
        <v>633</v>
      </c>
      <c r="D18" s="159" t="s">
        <v>448</v>
      </c>
      <c r="E18" s="159" t="s">
        <v>239</v>
      </c>
      <c r="F18" s="159" t="s">
        <v>484</v>
      </c>
      <c r="G18" s="159"/>
      <c r="H18" s="59"/>
      <c r="I18" s="159" t="s">
        <v>636</v>
      </c>
      <c r="J18" s="159" t="s">
        <v>636</v>
      </c>
      <c r="K18" s="159" t="s">
        <v>636</v>
      </c>
      <c r="L18" s="159" t="s">
        <v>637</v>
      </c>
      <c r="M18" s="159" t="s">
        <v>240</v>
      </c>
      <c r="N18" s="159">
        <v>25</v>
      </c>
      <c r="O18" s="159" t="s">
        <v>255</v>
      </c>
      <c r="P18" s="159">
        <v>30</v>
      </c>
      <c r="Q18" s="159"/>
      <c r="R18" s="160"/>
      <c r="S18" s="159"/>
      <c r="T18" s="159"/>
      <c r="U18" s="61" t="s">
        <v>354</v>
      </c>
      <c r="V18" s="61">
        <v>2</v>
      </c>
      <c r="W18" s="65"/>
      <c r="X18" s="72">
        <v>44522</v>
      </c>
      <c r="Y18" s="61" t="s">
        <v>305</v>
      </c>
      <c r="Z18" s="61" t="s">
        <v>306</v>
      </c>
      <c r="AA18" s="61" t="s">
        <v>243</v>
      </c>
      <c r="AB18" s="72">
        <v>44522</v>
      </c>
      <c r="AC18" s="72">
        <v>44536</v>
      </c>
      <c r="AD18" s="72" t="s">
        <v>257</v>
      </c>
      <c r="AE18" s="63"/>
      <c r="AF18" s="72">
        <v>44543</v>
      </c>
      <c r="AG18" s="62"/>
      <c r="AH18" s="62"/>
      <c r="AI18" s="61"/>
      <c r="AJ18" s="61"/>
      <c r="AK18" s="62"/>
      <c r="AL18" s="62"/>
      <c r="AM18" s="62"/>
      <c r="AN18" s="64"/>
      <c r="AO18" s="61" t="s">
        <v>246</v>
      </c>
      <c r="AP18" s="61" t="s">
        <v>247</v>
      </c>
      <c r="AQ18" s="61"/>
      <c r="AR18" s="65">
        <v>44545</v>
      </c>
      <c r="AS18" s="72">
        <v>44545</v>
      </c>
      <c r="AT18" s="72" t="s">
        <v>257</v>
      </c>
      <c r="AU18" s="61">
        <v>21265</v>
      </c>
      <c r="AV18" s="61" t="s">
        <v>269</v>
      </c>
      <c r="AW18" s="61" t="s">
        <v>243</v>
      </c>
      <c r="AX18" s="62" t="s">
        <v>243</v>
      </c>
      <c r="AY18" s="62" t="s">
        <v>243</v>
      </c>
      <c r="AZ18" s="62" t="s">
        <v>243</v>
      </c>
      <c r="BA18" s="61" t="s">
        <v>243</v>
      </c>
      <c r="BB18" s="61" t="s">
        <v>243</v>
      </c>
      <c r="BC18" s="61" t="s">
        <v>243</v>
      </c>
      <c r="BD18" s="65">
        <v>44725</v>
      </c>
      <c r="BE18" s="72">
        <v>44613</v>
      </c>
      <c r="BF18" s="62" t="s">
        <v>272</v>
      </c>
      <c r="BG18" s="61"/>
      <c r="BH18" s="65">
        <v>44760</v>
      </c>
      <c r="BI18" s="62"/>
      <c r="BJ18" s="90" t="s">
        <v>320</v>
      </c>
      <c r="BK18" s="61">
        <v>2022</v>
      </c>
      <c r="BL18" s="62">
        <v>44640</v>
      </c>
      <c r="BM18" s="62"/>
      <c r="BN18" s="72">
        <v>44636</v>
      </c>
      <c r="BO18" s="61">
        <v>313037</v>
      </c>
      <c r="BP18" s="65">
        <v>44761</v>
      </c>
      <c r="BQ18" s="67"/>
      <c r="BR18" s="72">
        <v>44707</v>
      </c>
      <c r="BS18" s="88" t="s">
        <v>272</v>
      </c>
      <c r="BT18" s="65">
        <v>44707</v>
      </c>
      <c r="BU18" s="65" t="s">
        <v>249</v>
      </c>
      <c r="BV18" s="65">
        <v>44707</v>
      </c>
      <c r="BW18" s="147" t="s">
        <v>272</v>
      </c>
      <c r="BX18" s="65">
        <f t="shared" si="28"/>
        <v>46532</v>
      </c>
      <c r="BY18" s="61" t="s">
        <v>273</v>
      </c>
      <c r="BZ18" s="61" t="s">
        <v>250</v>
      </c>
      <c r="CA18" s="61"/>
      <c r="CB18" s="62"/>
      <c r="CC18" s="61"/>
      <c r="CD18" s="68" t="s">
        <v>536</v>
      </c>
      <c r="CE18" s="60" t="s">
        <v>274</v>
      </c>
      <c r="CF18" s="61"/>
      <c r="CG18" s="61"/>
      <c r="CH18" s="64"/>
      <c r="CI18" s="64"/>
      <c r="CJ18" s="64"/>
      <c r="CK18" s="64" t="s">
        <v>265</v>
      </c>
      <c r="CL18" s="138">
        <v>44409</v>
      </c>
      <c r="CM18" s="64"/>
      <c r="CN18" s="64"/>
      <c r="CO18" s="70"/>
      <c r="CP18" s="64"/>
      <c r="CQ18" s="64"/>
      <c r="CR18" s="60"/>
      <c r="CS18" s="70"/>
      <c r="CT18" s="61"/>
      <c r="CU18" s="61"/>
      <c r="CV18" s="61"/>
      <c r="CW18" s="61"/>
      <c r="CX18" s="61"/>
      <c r="CY18" s="61"/>
      <c r="CZ18" s="61"/>
      <c r="DA18" s="61"/>
      <c r="DB18" s="61"/>
      <c r="DC18" s="61"/>
      <c r="DD18" s="61"/>
      <c r="DE18" s="61"/>
      <c r="DF18" s="61"/>
      <c r="DG18" s="64"/>
      <c r="DH18" s="60"/>
      <c r="DI18" s="62"/>
      <c r="DJ18" s="62"/>
      <c r="DK18" s="62"/>
      <c r="DL18" s="62"/>
      <c r="DM18" s="62"/>
      <c r="DN18" s="62"/>
      <c r="DO18" s="62"/>
      <c r="DP18" s="62"/>
      <c r="DQ18" s="62"/>
      <c r="DR18" s="62"/>
      <c r="DS18" s="62"/>
      <c r="DT18" s="62"/>
      <c r="DU18" s="62"/>
      <c r="DV18" s="62"/>
      <c r="DW18" s="62"/>
      <c r="DX18" s="62"/>
      <c r="DY18" s="62"/>
      <c r="DZ18" s="62"/>
      <c r="EA18" s="62"/>
      <c r="EB18" s="62"/>
      <c r="EC18" s="62"/>
      <c r="ED18" s="62"/>
      <c r="EE18" s="62"/>
      <c r="EF18" s="62"/>
      <c r="EG18" s="62"/>
      <c r="EH18" s="60"/>
      <c r="EI18" s="62"/>
      <c r="EJ18" s="62"/>
      <c r="EK18" s="61" t="s">
        <v>243</v>
      </c>
      <c r="EL18" s="70"/>
      <c r="EM18" s="71"/>
      <c r="EN18" s="133">
        <f t="shared" si="55"/>
        <v>1</v>
      </c>
      <c r="EO18" s="61">
        <f t="shared" si="56"/>
        <v>0</v>
      </c>
      <c r="EP18" s="62"/>
      <c r="EQ18" s="62"/>
      <c r="ER18" s="73">
        <v>45496</v>
      </c>
      <c r="ES18" s="62"/>
      <c r="ET18" s="62"/>
      <c r="EU18" s="62"/>
      <c r="EV18" s="62"/>
      <c r="EW18" s="62"/>
      <c r="EX18" s="62"/>
      <c r="EY18" s="61">
        <f t="shared" si="57"/>
        <v>1</v>
      </c>
      <c r="EZ18" s="62">
        <v>46266</v>
      </c>
      <c r="FA18" s="62"/>
      <c r="FB18" s="73"/>
      <c r="FC18" s="61"/>
      <c r="FD18" s="61"/>
      <c r="FE18" s="61"/>
      <c r="FF18" s="68" t="str">
        <f t="shared" si="58"/>
        <v>FP / No Demand</v>
      </c>
      <c r="FG18" s="76">
        <f t="shared" si="59"/>
        <v>46266</v>
      </c>
      <c r="FH18" s="65">
        <f t="shared" si="60"/>
        <v>44707</v>
      </c>
      <c r="FI18" s="76" t="s">
        <v>570</v>
      </c>
      <c r="FJ18" s="62">
        <f>FG18</f>
        <v>46266</v>
      </c>
      <c r="FK18" s="62"/>
      <c r="FL18" s="61"/>
      <c r="FM18" s="61"/>
      <c r="FN18" s="61"/>
      <c r="FO18" s="60"/>
      <c r="FP18" s="64"/>
      <c r="FQ18" s="64"/>
      <c r="FR18" s="61"/>
      <c r="FS18" s="61"/>
      <c r="FT18" s="61"/>
      <c r="FU18" s="61"/>
      <c r="FV18" s="60"/>
      <c r="FW18" s="61"/>
      <c r="FX18" s="61"/>
      <c r="FY18" s="61"/>
      <c r="FZ18" s="61"/>
      <c r="GA18" s="61"/>
      <c r="GB18" s="61"/>
      <c r="GC18" s="61"/>
      <c r="GD18" s="61"/>
      <c r="GE18" s="61"/>
      <c r="GF18" s="61"/>
      <c r="GG18" s="61"/>
      <c r="GH18" s="61"/>
      <c r="GI18" s="60"/>
      <c r="GJ18" s="62"/>
      <c r="GK18" s="62"/>
      <c r="GL18" s="62"/>
      <c r="GM18" s="62"/>
      <c r="GN18" s="63"/>
      <c r="GO18" s="63"/>
      <c r="GP18" s="62"/>
      <c r="GQ18" s="62"/>
      <c r="GR18" s="62"/>
      <c r="GS18" s="62"/>
      <c r="GT18" s="62"/>
      <c r="GU18" s="62"/>
      <c r="GV18" s="62"/>
      <c r="GW18" s="62"/>
      <c r="GX18" s="62"/>
      <c r="GY18" s="62"/>
      <c r="GZ18" s="62"/>
      <c r="HA18" s="65"/>
      <c r="HB18" s="62"/>
      <c r="HC18" s="62"/>
      <c r="HD18" s="62"/>
      <c r="HE18" s="65"/>
      <c r="HF18" s="62"/>
      <c r="HG18" s="65"/>
      <c r="HH18" s="62"/>
      <c r="HI18" s="61"/>
      <c r="HJ18" s="62"/>
      <c r="HK18" s="62"/>
      <c r="HL18" s="62"/>
      <c r="HM18" s="65"/>
      <c r="HN18" s="63"/>
      <c r="HO18" s="62"/>
      <c r="HP18" s="78"/>
      <c r="HQ18" s="60"/>
      <c r="HR18" s="63"/>
      <c r="HS18" s="62"/>
      <c r="HT18" s="63"/>
      <c r="HU18" s="62"/>
      <c r="HV18" s="62"/>
      <c r="HW18" s="62"/>
      <c r="HX18" s="79"/>
      <c r="HY18" s="62"/>
      <c r="HZ18" s="79"/>
      <c r="IA18" s="60"/>
      <c r="IB18" s="65"/>
      <c r="IC18" s="62"/>
      <c r="ID18" s="61"/>
      <c r="IE18" s="61"/>
      <c r="IF18" s="61"/>
      <c r="IG18" s="61"/>
      <c r="IH18" s="61"/>
      <c r="II18" s="61"/>
      <c r="IJ18" s="61"/>
      <c r="IK18" s="61"/>
      <c r="IL18" s="62"/>
      <c r="IM18" s="62"/>
      <c r="IN18" s="62" t="str">
        <f t="shared" si="61"/>
        <v>-</v>
      </c>
      <c r="IO18" s="60"/>
      <c r="IP18" s="65"/>
      <c r="IQ18" s="62">
        <f t="shared" si="62"/>
        <v>0</v>
      </c>
      <c r="IR18" s="62"/>
      <c r="IS18" s="62"/>
      <c r="IT18" s="62"/>
      <c r="IU18" s="62"/>
      <c r="IV18" s="62"/>
      <c r="IW18" s="62"/>
      <c r="IX18" s="62"/>
      <c r="IY18" s="62"/>
      <c r="IZ18" s="62"/>
      <c r="JA18" s="62"/>
      <c r="JB18" s="62"/>
      <c r="JC18" s="62"/>
      <c r="JD18" s="62"/>
      <c r="JE18" s="62"/>
      <c r="JF18" s="62"/>
      <c r="JG18" s="62"/>
      <c r="JH18" s="65">
        <f>FJ18+180</f>
        <v>46446</v>
      </c>
      <c r="JI18" s="67" t="str">
        <f t="shared" si="63"/>
        <v>Q1-2027</v>
      </c>
      <c r="JJ18" s="62"/>
      <c r="JK18" s="60"/>
      <c r="JL18" s="61"/>
      <c r="JM18" s="64"/>
      <c r="JN18" s="62"/>
      <c r="JO18" s="62"/>
      <c r="JP18" s="78"/>
      <c r="JQ18" s="61"/>
      <c r="JR18" s="60"/>
      <c r="JS18" s="62"/>
      <c r="JT18" s="62"/>
      <c r="JU18" s="62"/>
      <c r="JV18" s="62"/>
      <c r="JW18" s="62"/>
      <c r="JX18" s="62"/>
      <c r="JY18" s="60"/>
      <c r="JZ18" s="61"/>
      <c r="KA18" s="61"/>
      <c r="KB18" s="61"/>
      <c r="KC18" s="61"/>
      <c r="KD18" s="61"/>
      <c r="KE18" s="61"/>
      <c r="KF18" s="60"/>
      <c r="KG18" s="86"/>
      <c r="KH18" s="60"/>
      <c r="KI18" s="81" t="str">
        <f t="shared" si="29"/>
        <v/>
      </c>
      <c r="KJ18" s="61" t="str">
        <f t="shared" si="30"/>
        <v>Not Gated</v>
      </c>
      <c r="KK18" s="61" t="str">
        <f t="shared" si="31"/>
        <v/>
      </c>
      <c r="KL18" s="62" t="str">
        <f t="shared" si="32"/>
        <v/>
      </c>
      <c r="KM18" s="62" t="str">
        <f t="shared" si="33"/>
        <v/>
      </c>
      <c r="KN18" s="61" t="str">
        <f t="shared" si="34"/>
        <v>Lattice</v>
      </c>
      <c r="KO18" s="61" t="str">
        <f t="shared" si="35"/>
        <v>TC68</v>
      </c>
      <c r="KP18" s="131" t="str">
        <f t="shared" si="36"/>
        <v>On Hold - ROI</v>
      </c>
      <c r="KQ18" s="131" t="str">
        <f t="shared" si="37"/>
        <v>No Forcast Date</v>
      </c>
      <c r="KR18" s="61" t="str">
        <f t="shared" si="38"/>
        <v xml:space="preserve">On Hold - ROI  Not Gated  UTS  TC68  No Forcast Date  </v>
      </c>
      <c r="KS18" s="61">
        <f t="shared" si="39"/>
        <v>0</v>
      </c>
      <c r="KT18" s="61" t="str">
        <f t="shared" si="40"/>
        <v/>
      </c>
      <c r="KU18" s="61" t="str">
        <f t="shared" si="41"/>
        <v>Monopole</v>
      </c>
      <c r="KV18" s="61">
        <f t="shared" si="42"/>
        <v>25</v>
      </c>
      <c r="KW18" s="61" t="str">
        <f t="shared" si="43"/>
        <v>Lattice</v>
      </c>
      <c r="KX18" s="61">
        <f t="shared" si="44"/>
        <v>30</v>
      </c>
      <c r="KY18" s="60"/>
      <c r="KZ18" s="60"/>
      <c r="LA18" s="62"/>
      <c r="LB18" s="61"/>
      <c r="LC18" s="62"/>
      <c r="LD18" s="61"/>
      <c r="LE18" s="68" t="str">
        <f t="shared" si="45"/>
        <v>-</v>
      </c>
      <c r="LF18" s="150" t="str">
        <f t="shared" si="46"/>
        <v>-</v>
      </c>
      <c r="LG18" s="60"/>
      <c r="LH18" s="60"/>
      <c r="LI18" s="68">
        <f t="shared" si="47"/>
        <v>68</v>
      </c>
      <c r="LJ18" s="150">
        <f t="shared" si="48"/>
        <v>2.2666666666666666</v>
      </c>
      <c r="LK18" s="60"/>
      <c r="LL18" s="68">
        <f t="shared" si="49"/>
        <v>162</v>
      </c>
      <c r="LM18" s="150">
        <f t="shared" si="50"/>
        <v>5.4</v>
      </c>
      <c r="LN18" s="60"/>
      <c r="LO18" s="98">
        <f t="shared" si="51"/>
        <v>44636</v>
      </c>
      <c r="LP18" s="68">
        <f t="shared" si="52"/>
        <v>71</v>
      </c>
      <c r="LQ18" s="150">
        <f t="shared" si="53"/>
        <v>2.3666666666666667</v>
      </c>
      <c r="LR18" s="60"/>
      <c r="LS18" s="98">
        <f t="shared" si="54"/>
        <v>44707</v>
      </c>
      <c r="LT18" s="60"/>
      <c r="LU18" s="60"/>
      <c r="LV18" s="60"/>
      <c r="LW18" s="60"/>
      <c r="LX18" s="60"/>
      <c r="LY18" s="60"/>
      <c r="LZ18" s="60"/>
      <c r="MA18" s="60"/>
      <c r="MB18" s="60"/>
      <c r="MC18" s="60"/>
      <c r="MD18" s="60"/>
      <c r="ME18" s="60"/>
      <c r="MF18" s="60"/>
      <c r="MG18" s="60"/>
      <c r="MH18" s="60"/>
      <c r="MI18" s="60"/>
      <c r="MJ18" s="60"/>
      <c r="MK18" s="60"/>
      <c r="ML18" s="60"/>
      <c r="MM18" s="60"/>
      <c r="MN18" s="60"/>
      <c r="MO18" s="60"/>
    </row>
    <row r="19" spans="2:353" ht="21" customHeight="1" x14ac:dyDescent="0.25">
      <c r="B19" s="84" t="s">
        <v>649</v>
      </c>
      <c r="C19" s="58" t="s">
        <v>633</v>
      </c>
      <c r="D19" s="159" t="s">
        <v>442</v>
      </c>
      <c r="E19" s="159" t="s">
        <v>239</v>
      </c>
      <c r="F19" s="159" t="s">
        <v>468</v>
      </c>
      <c r="G19" s="159"/>
      <c r="H19" s="59"/>
      <c r="I19" s="159" t="s">
        <v>636</v>
      </c>
      <c r="J19" s="159" t="s">
        <v>636</v>
      </c>
      <c r="K19" s="159" t="s">
        <v>636</v>
      </c>
      <c r="L19" s="159" t="s">
        <v>637</v>
      </c>
      <c r="M19" s="159" t="s">
        <v>240</v>
      </c>
      <c r="N19" s="159">
        <v>15</v>
      </c>
      <c r="O19" s="159" t="s">
        <v>240</v>
      </c>
      <c r="P19" s="159">
        <v>21</v>
      </c>
      <c r="Q19" s="159"/>
      <c r="R19" s="160"/>
      <c r="S19" s="159"/>
      <c r="T19" s="159"/>
      <c r="U19" s="61" t="s">
        <v>315</v>
      </c>
      <c r="V19" s="61">
        <v>2</v>
      </c>
      <c r="W19" s="65"/>
      <c r="X19" s="72">
        <v>44412</v>
      </c>
      <c r="Y19" s="61" t="s">
        <v>305</v>
      </c>
      <c r="Z19" s="61" t="s">
        <v>316</v>
      </c>
      <c r="AA19" s="61" t="s">
        <v>243</v>
      </c>
      <c r="AB19" s="72">
        <v>44412</v>
      </c>
      <c r="AC19" s="72">
        <v>44421</v>
      </c>
      <c r="AD19" s="72" t="s">
        <v>257</v>
      </c>
      <c r="AE19" s="63"/>
      <c r="AF19" s="72">
        <v>44461</v>
      </c>
      <c r="AG19" s="62"/>
      <c r="AH19" s="62"/>
      <c r="AI19" s="61"/>
      <c r="AJ19" s="61"/>
      <c r="AK19" s="62"/>
      <c r="AL19" s="62"/>
      <c r="AM19" s="62"/>
      <c r="AN19" s="64"/>
      <c r="AO19" s="61" t="s">
        <v>271</v>
      </c>
      <c r="AP19" s="61" t="s">
        <v>247</v>
      </c>
      <c r="AQ19" s="61" t="s">
        <v>248</v>
      </c>
      <c r="AR19" s="65">
        <v>44469</v>
      </c>
      <c r="AS19" s="72">
        <v>44469</v>
      </c>
      <c r="AT19" s="72" t="s">
        <v>257</v>
      </c>
      <c r="AU19" s="61">
        <v>211056</v>
      </c>
      <c r="AV19" s="61" t="s">
        <v>269</v>
      </c>
      <c r="AW19" s="61" t="s">
        <v>243</v>
      </c>
      <c r="AX19" s="62" t="s">
        <v>243</v>
      </c>
      <c r="AY19" s="62" t="s">
        <v>243</v>
      </c>
      <c r="AZ19" s="62" t="s">
        <v>243</v>
      </c>
      <c r="BA19" s="61" t="s">
        <v>243</v>
      </c>
      <c r="BB19" s="61" t="s">
        <v>243</v>
      </c>
      <c r="BC19" s="61" t="s">
        <v>243</v>
      </c>
      <c r="BD19" s="65">
        <v>44649</v>
      </c>
      <c r="BE19" s="72">
        <v>44524</v>
      </c>
      <c r="BF19" s="62" t="s">
        <v>272</v>
      </c>
      <c r="BG19" s="61">
        <v>0</v>
      </c>
      <c r="BH19" s="65">
        <v>44558</v>
      </c>
      <c r="BI19" s="72">
        <v>44558</v>
      </c>
      <c r="BJ19" s="87" t="s">
        <v>272</v>
      </c>
      <c r="BK19" s="61">
        <v>2021</v>
      </c>
      <c r="BL19" s="62">
        <v>44551</v>
      </c>
      <c r="BM19" s="62"/>
      <c r="BN19" s="62"/>
      <c r="BO19" s="61"/>
      <c r="BP19" s="65"/>
      <c r="BQ19" s="67"/>
      <c r="BR19" s="62"/>
      <c r="BS19" s="61"/>
      <c r="BT19" s="65">
        <v>44558</v>
      </c>
      <c r="BU19" s="65" t="s">
        <v>249</v>
      </c>
      <c r="BV19" s="65">
        <v>44558</v>
      </c>
      <c r="BW19" s="147" t="s">
        <v>272</v>
      </c>
      <c r="BX19" s="65">
        <f t="shared" si="28"/>
        <v>46383</v>
      </c>
      <c r="BY19" s="61" t="s">
        <v>273</v>
      </c>
      <c r="BZ19" s="61" t="s">
        <v>250</v>
      </c>
      <c r="CA19" s="61"/>
      <c r="CB19" s="62"/>
      <c r="CC19" s="61"/>
      <c r="CD19" s="68" t="s">
        <v>536</v>
      </c>
      <c r="CE19" s="60" t="s">
        <v>274</v>
      </c>
      <c r="CF19" s="61"/>
      <c r="CG19" s="61"/>
      <c r="CH19" s="64"/>
      <c r="CI19" s="64"/>
      <c r="CJ19" s="64"/>
      <c r="CK19" s="64" t="s">
        <v>265</v>
      </c>
      <c r="CL19" s="138">
        <v>44378</v>
      </c>
      <c r="CM19" s="64"/>
      <c r="CN19" s="64"/>
      <c r="CO19" s="70"/>
      <c r="CP19" s="64"/>
      <c r="CQ19" s="64"/>
      <c r="CR19" s="60"/>
      <c r="CS19" s="70"/>
      <c r="CT19" s="61"/>
      <c r="CU19" s="61"/>
      <c r="CV19" s="61"/>
      <c r="CW19" s="61"/>
      <c r="CX19" s="61"/>
      <c r="CY19" s="61"/>
      <c r="CZ19" s="61"/>
      <c r="DA19" s="61"/>
      <c r="DB19" s="61"/>
      <c r="DC19" s="61"/>
      <c r="DD19" s="61"/>
      <c r="DE19" s="61"/>
      <c r="DF19" s="61"/>
      <c r="DG19" s="64"/>
      <c r="DH19" s="60"/>
      <c r="DI19" s="105"/>
      <c r="DJ19" s="105"/>
      <c r="DK19" s="105"/>
      <c r="DL19" s="105"/>
      <c r="DM19" s="105"/>
      <c r="DN19" s="105"/>
      <c r="DO19" s="105"/>
      <c r="DP19" s="105"/>
      <c r="DQ19" s="105"/>
      <c r="DR19" s="105"/>
      <c r="DS19" s="105"/>
      <c r="DT19" s="105"/>
      <c r="DU19" s="105"/>
      <c r="DV19" s="105"/>
      <c r="DW19" s="105"/>
      <c r="DX19" s="105"/>
      <c r="DY19" s="105"/>
      <c r="DZ19" s="105"/>
      <c r="EA19" s="105"/>
      <c r="EB19" s="105"/>
      <c r="EC19" s="105"/>
      <c r="ED19" s="105"/>
      <c r="EE19" s="105"/>
      <c r="EF19" s="105"/>
      <c r="EG19" s="105"/>
      <c r="EH19" s="60"/>
      <c r="EI19" s="61"/>
      <c r="EJ19" s="61"/>
      <c r="EK19" s="61" t="s">
        <v>243</v>
      </c>
      <c r="EL19" s="70"/>
      <c r="EM19" s="71"/>
      <c r="EN19" s="133">
        <f t="shared" si="55"/>
        <v>0</v>
      </c>
      <c r="EO19" s="61">
        <f t="shared" si="56"/>
        <v>0</v>
      </c>
      <c r="EP19" s="62"/>
      <c r="EQ19" s="62"/>
      <c r="ER19" s="73"/>
      <c r="ES19" s="62"/>
      <c r="ET19" s="62"/>
      <c r="EU19" s="62"/>
      <c r="EV19" s="62"/>
      <c r="EW19" s="62"/>
      <c r="EX19" s="62"/>
      <c r="EY19" s="61">
        <f t="shared" si="57"/>
        <v>0</v>
      </c>
      <c r="EZ19" s="61"/>
      <c r="FA19" s="61"/>
      <c r="FB19" s="74"/>
      <c r="FC19" s="61"/>
      <c r="FD19" s="61"/>
      <c r="FE19" s="61"/>
      <c r="FF19" s="68" t="str">
        <f t="shared" si="58"/>
        <v>FP / No Demand</v>
      </c>
      <c r="FG19" s="76" t="str">
        <f t="shared" si="59"/>
        <v>-</v>
      </c>
      <c r="FH19" s="65">
        <f t="shared" si="60"/>
        <v>44558</v>
      </c>
      <c r="FI19" s="76" t="s">
        <v>317</v>
      </c>
      <c r="FJ19" s="62"/>
      <c r="FK19" s="62"/>
      <c r="FL19" s="61"/>
      <c r="FM19" s="61"/>
      <c r="FN19" s="61"/>
      <c r="FO19" s="60"/>
      <c r="FP19" s="64"/>
      <c r="FQ19" s="64"/>
      <c r="FR19" s="61"/>
      <c r="FS19" s="61"/>
      <c r="FT19" s="61"/>
      <c r="FU19" s="61"/>
      <c r="FV19" s="60"/>
      <c r="FW19" s="61"/>
      <c r="FX19" s="61"/>
      <c r="FY19" s="61"/>
      <c r="FZ19" s="61"/>
      <c r="GA19" s="61"/>
      <c r="GB19" s="61"/>
      <c r="GC19" s="61"/>
      <c r="GD19" s="61"/>
      <c r="GE19" s="61"/>
      <c r="GF19" s="61"/>
      <c r="GG19" s="61"/>
      <c r="GH19" s="61"/>
      <c r="GI19" s="60"/>
      <c r="GJ19" s="62"/>
      <c r="GK19" s="62"/>
      <c r="GL19" s="62"/>
      <c r="GM19" s="62"/>
      <c r="GN19" s="63"/>
      <c r="GO19" s="63"/>
      <c r="GP19" s="62"/>
      <c r="GQ19" s="62"/>
      <c r="GR19" s="62"/>
      <c r="GS19" s="62"/>
      <c r="GT19" s="62"/>
      <c r="GU19" s="62"/>
      <c r="GV19" s="62"/>
      <c r="GW19" s="62"/>
      <c r="GX19" s="62"/>
      <c r="GY19" s="62"/>
      <c r="GZ19" s="62"/>
      <c r="HA19" s="65"/>
      <c r="HB19" s="62"/>
      <c r="HC19" s="62"/>
      <c r="HD19" s="62"/>
      <c r="HE19" s="65"/>
      <c r="HF19" s="62"/>
      <c r="HG19" s="65"/>
      <c r="HH19" s="62"/>
      <c r="HI19" s="61"/>
      <c r="HJ19" s="62"/>
      <c r="HK19" s="62"/>
      <c r="HL19" s="62"/>
      <c r="HM19" s="65"/>
      <c r="HN19" s="63"/>
      <c r="HO19" s="62"/>
      <c r="HP19" s="78"/>
      <c r="HQ19" s="60"/>
      <c r="HR19" s="63"/>
      <c r="HS19" s="62"/>
      <c r="HT19" s="63"/>
      <c r="HU19" s="62"/>
      <c r="HV19" s="62"/>
      <c r="HW19" s="62"/>
      <c r="HX19" s="79"/>
      <c r="HY19" s="62"/>
      <c r="HZ19" s="79"/>
      <c r="IA19" s="60"/>
      <c r="IB19" s="65">
        <f>HM19+10</f>
        <v>10</v>
      </c>
      <c r="IC19" s="62"/>
      <c r="ID19" s="61"/>
      <c r="IE19" s="61"/>
      <c r="IF19" s="61"/>
      <c r="IG19" s="61"/>
      <c r="IH19" s="61"/>
      <c r="II19" s="61"/>
      <c r="IJ19" s="61"/>
      <c r="IK19" s="61"/>
      <c r="IL19" s="62"/>
      <c r="IM19" s="62"/>
      <c r="IN19" s="62" t="str">
        <f t="shared" si="61"/>
        <v>-</v>
      </c>
      <c r="IO19" s="60"/>
      <c r="IP19" s="65">
        <f>IB19+30</f>
        <v>40</v>
      </c>
      <c r="IQ19" s="62">
        <f t="shared" si="62"/>
        <v>0</v>
      </c>
      <c r="IR19" s="62"/>
      <c r="IS19" s="62"/>
      <c r="IT19" s="62"/>
      <c r="IU19" s="62"/>
      <c r="IV19" s="62"/>
      <c r="IW19" s="62"/>
      <c r="IX19" s="62"/>
      <c r="IY19" s="62"/>
      <c r="IZ19" s="62"/>
      <c r="JA19" s="62"/>
      <c r="JB19" s="62"/>
      <c r="JC19" s="62"/>
      <c r="JD19" s="62"/>
      <c r="JE19" s="62"/>
      <c r="JF19" s="62"/>
      <c r="JG19" s="62"/>
      <c r="JH19" s="65">
        <f>IP19+60</f>
        <v>100</v>
      </c>
      <c r="JI19" s="67" t="str">
        <f t="shared" si="63"/>
        <v>Q2-1900</v>
      </c>
      <c r="JJ19" s="62"/>
      <c r="JK19" s="60"/>
      <c r="JL19" s="61"/>
      <c r="JM19" s="64"/>
      <c r="JN19" s="62"/>
      <c r="JO19" s="62"/>
      <c r="JP19" s="78"/>
      <c r="JQ19" s="61"/>
      <c r="JR19" s="60"/>
      <c r="JS19" s="62"/>
      <c r="JT19" s="62"/>
      <c r="JU19" s="62"/>
      <c r="JV19" s="62"/>
      <c r="JW19" s="62"/>
      <c r="JX19" s="62"/>
      <c r="JY19" s="60"/>
      <c r="JZ19" s="61"/>
      <c r="KA19" s="61"/>
      <c r="KB19" s="61"/>
      <c r="KC19" s="61"/>
      <c r="KD19" s="61"/>
      <c r="KE19" s="61"/>
      <c r="KF19" s="60"/>
      <c r="KG19" s="86"/>
      <c r="KH19" s="60"/>
      <c r="KI19" s="81" t="str">
        <f t="shared" si="29"/>
        <v/>
      </c>
      <c r="KJ19" s="61" t="str">
        <f t="shared" si="30"/>
        <v>Not Gated</v>
      </c>
      <c r="KK19" s="61" t="str">
        <f t="shared" si="31"/>
        <v/>
      </c>
      <c r="KL19" s="62" t="str">
        <f t="shared" si="32"/>
        <v/>
      </c>
      <c r="KM19" s="62" t="str">
        <f t="shared" si="33"/>
        <v/>
      </c>
      <c r="KN19" s="61" t="str">
        <f t="shared" si="34"/>
        <v>Monopole</v>
      </c>
      <c r="KO19" s="61" t="str">
        <f t="shared" si="35"/>
        <v>TC68</v>
      </c>
      <c r="KP19" s="131" t="str">
        <f t="shared" si="36"/>
        <v>FP No Demand</v>
      </c>
      <c r="KQ19" s="131" t="str">
        <f t="shared" si="37"/>
        <v>No Forcast Date</v>
      </c>
      <c r="KR19" s="61" t="str">
        <f t="shared" si="38"/>
        <v xml:space="preserve">FP No Demand  Not Gated  UTS  TC68  No Forcast Date  </v>
      </c>
      <c r="KS19" s="61">
        <f t="shared" si="39"/>
        <v>0</v>
      </c>
      <c r="KT19" s="61" t="str">
        <f t="shared" si="40"/>
        <v/>
      </c>
      <c r="KU19" s="61" t="str">
        <f t="shared" si="41"/>
        <v>Monopole</v>
      </c>
      <c r="KV19" s="61">
        <f t="shared" si="42"/>
        <v>15</v>
      </c>
      <c r="KW19" s="61" t="str">
        <f t="shared" si="43"/>
        <v>Monopole</v>
      </c>
      <c r="KX19" s="61">
        <f t="shared" si="44"/>
        <v>21</v>
      </c>
      <c r="KY19" s="60"/>
      <c r="KZ19" s="60"/>
      <c r="LA19" s="62"/>
      <c r="LB19" s="61"/>
      <c r="LC19" s="62"/>
      <c r="LD19" s="61"/>
      <c r="LE19" s="68" t="str">
        <f t="shared" si="45"/>
        <v>-</v>
      </c>
      <c r="LF19" s="150" t="str">
        <f t="shared" si="46"/>
        <v>-</v>
      </c>
      <c r="LG19" s="60"/>
      <c r="LH19" s="60"/>
      <c r="LI19" s="68">
        <f t="shared" si="47"/>
        <v>55</v>
      </c>
      <c r="LJ19" s="150">
        <f t="shared" si="48"/>
        <v>1.8333333333333333</v>
      </c>
      <c r="LK19" s="60"/>
      <c r="LL19" s="68">
        <f t="shared" si="49"/>
        <v>89</v>
      </c>
      <c r="LM19" s="150">
        <f t="shared" si="50"/>
        <v>2.9666666666666668</v>
      </c>
      <c r="LN19" s="60"/>
      <c r="LO19" s="98" t="str">
        <f t="shared" si="51"/>
        <v>-</v>
      </c>
      <c r="LP19" s="68" t="str">
        <f t="shared" si="52"/>
        <v>-</v>
      </c>
      <c r="LQ19" s="150" t="str">
        <f t="shared" si="53"/>
        <v>-</v>
      </c>
      <c r="LR19" s="60"/>
      <c r="LS19" s="98" t="str">
        <f t="shared" si="54"/>
        <v>-</v>
      </c>
      <c r="LT19" s="60"/>
      <c r="LU19" s="60"/>
      <c r="LV19" s="60"/>
      <c r="LW19" s="60"/>
      <c r="LX19" s="60"/>
      <c r="LY19" s="60"/>
      <c r="LZ19" s="60"/>
      <c r="MA19" s="60"/>
      <c r="MB19" s="60"/>
      <c r="MC19" s="60"/>
      <c r="MD19" s="60"/>
      <c r="ME19" s="60"/>
      <c r="MF19" s="60"/>
      <c r="MG19" s="60"/>
      <c r="MH19" s="60"/>
      <c r="MI19" s="60"/>
      <c r="MJ19" s="60"/>
      <c r="MK19" s="60"/>
      <c r="ML19" s="60"/>
      <c r="MM19" s="60"/>
      <c r="MN19" s="60"/>
      <c r="MO19" s="60"/>
    </row>
    <row r="20" spans="2:353" ht="21" customHeight="1" x14ac:dyDescent="0.25">
      <c r="B20" s="115" t="s">
        <v>648</v>
      </c>
      <c r="C20" s="58" t="s">
        <v>633</v>
      </c>
      <c r="D20" s="159" t="s">
        <v>448</v>
      </c>
      <c r="E20" s="159" t="s">
        <v>239</v>
      </c>
      <c r="F20" s="159" t="s">
        <v>472</v>
      </c>
      <c r="G20" s="159"/>
      <c r="H20" s="59"/>
      <c r="I20" s="159" t="s">
        <v>636</v>
      </c>
      <c r="J20" s="159" t="s">
        <v>636</v>
      </c>
      <c r="K20" s="159" t="s">
        <v>636</v>
      </c>
      <c r="L20" s="159" t="s">
        <v>637</v>
      </c>
      <c r="M20" s="159" t="s">
        <v>254</v>
      </c>
      <c r="N20" s="159">
        <v>14</v>
      </c>
      <c r="O20" s="159" t="s">
        <v>330</v>
      </c>
      <c r="P20" s="159">
        <v>20</v>
      </c>
      <c r="Q20" s="159"/>
      <c r="R20" s="160"/>
      <c r="S20" s="159"/>
      <c r="T20" s="159"/>
      <c r="U20" s="61" t="s">
        <v>354</v>
      </c>
      <c r="V20" s="61">
        <v>2</v>
      </c>
      <c r="W20" s="65"/>
      <c r="X20" s="72">
        <v>43871</v>
      </c>
      <c r="Y20" s="61" t="s">
        <v>241</v>
      </c>
      <c r="Z20" s="61" t="s">
        <v>242</v>
      </c>
      <c r="AA20" s="61">
        <v>1000</v>
      </c>
      <c r="AB20" s="72">
        <v>45331</v>
      </c>
      <c r="AC20" s="72">
        <v>45481</v>
      </c>
      <c r="AD20" s="72" t="s">
        <v>257</v>
      </c>
      <c r="AE20" s="63">
        <v>5</v>
      </c>
      <c r="AF20" s="96">
        <v>45497</v>
      </c>
      <c r="AG20" s="72">
        <v>45468</v>
      </c>
      <c r="AH20" s="72">
        <v>45498</v>
      </c>
      <c r="AI20" s="61" t="s">
        <v>257</v>
      </c>
      <c r="AJ20" s="61" t="s">
        <v>245</v>
      </c>
      <c r="AK20" s="72"/>
      <c r="AL20" s="72">
        <v>45499</v>
      </c>
      <c r="AM20" s="62"/>
      <c r="AN20" s="64"/>
      <c r="AO20" s="61" t="s">
        <v>246</v>
      </c>
      <c r="AP20" s="61" t="s">
        <v>247</v>
      </c>
      <c r="AQ20" s="61" t="s">
        <v>248</v>
      </c>
      <c r="AR20" s="65">
        <v>45499</v>
      </c>
      <c r="AS20" s="72">
        <v>45504</v>
      </c>
      <c r="AT20" s="72">
        <v>45511</v>
      </c>
      <c r="AU20" s="61">
        <v>2460158</v>
      </c>
      <c r="AV20" s="61"/>
      <c r="AW20" s="61"/>
      <c r="AX20" s="62"/>
      <c r="AY20" s="62"/>
      <c r="AZ20" s="62"/>
      <c r="BA20" s="61"/>
      <c r="BB20" s="61"/>
      <c r="BC20" s="61"/>
      <c r="BD20" s="65">
        <f>AR20+35</f>
        <v>45534</v>
      </c>
      <c r="BE20" s="72">
        <v>45565</v>
      </c>
      <c r="BF20" s="62" t="s">
        <v>307</v>
      </c>
      <c r="BG20" s="61">
        <v>2</v>
      </c>
      <c r="BH20" s="65">
        <f>BD20+35</f>
        <v>45569</v>
      </c>
      <c r="BI20" s="72">
        <v>45565</v>
      </c>
      <c r="BJ20" s="62" t="s">
        <v>307</v>
      </c>
      <c r="BK20" s="61">
        <v>2026</v>
      </c>
      <c r="BL20" s="62">
        <v>45594</v>
      </c>
      <c r="BM20" s="62"/>
      <c r="BN20" s="62"/>
      <c r="BO20" s="61"/>
      <c r="BP20" s="65">
        <f>BH20+360</f>
        <v>45929</v>
      </c>
      <c r="BQ20" s="67" t="s">
        <v>249</v>
      </c>
      <c r="BR20" s="62"/>
      <c r="BS20" s="61"/>
      <c r="BT20" s="65">
        <f>BP20</f>
        <v>45929</v>
      </c>
      <c r="BU20" s="65" t="s">
        <v>249</v>
      </c>
      <c r="BV20" s="65">
        <v>45565</v>
      </c>
      <c r="BW20" s="147" t="s">
        <v>307</v>
      </c>
      <c r="BX20" s="65">
        <f t="shared" si="28"/>
        <v>0</v>
      </c>
      <c r="BY20" s="61" t="s">
        <v>363</v>
      </c>
      <c r="BZ20" s="61" t="s">
        <v>355</v>
      </c>
      <c r="CA20" s="61"/>
      <c r="CB20" s="62"/>
      <c r="CC20" s="61"/>
      <c r="CD20" s="121" t="s">
        <v>575</v>
      </c>
      <c r="CE20" s="122" t="s">
        <v>314</v>
      </c>
      <c r="CF20" s="61"/>
      <c r="CG20" s="61"/>
      <c r="CH20" s="61"/>
      <c r="CI20" s="62"/>
      <c r="CJ20" s="62"/>
      <c r="CK20" s="61"/>
      <c r="CL20" s="69" t="e">
        <v>#N/A</v>
      </c>
      <c r="CM20" s="61"/>
      <c r="CN20" s="61"/>
      <c r="CO20" s="61"/>
      <c r="CP20" s="61"/>
      <c r="CQ20" s="64"/>
      <c r="CR20" s="60"/>
      <c r="CS20" s="70"/>
      <c r="CT20" s="61"/>
      <c r="CU20" s="61"/>
      <c r="CV20" s="61"/>
      <c r="CW20" s="61"/>
      <c r="CX20" s="61"/>
      <c r="CY20" s="61"/>
      <c r="CZ20" s="61"/>
      <c r="DA20" s="61"/>
      <c r="DB20" s="61"/>
      <c r="DC20" s="61"/>
      <c r="DD20" s="61"/>
      <c r="DE20" s="61"/>
      <c r="DF20" s="61"/>
      <c r="DG20" s="64"/>
      <c r="DH20" s="60"/>
      <c r="DI20" s="62"/>
      <c r="DJ20" s="62"/>
      <c r="DK20" s="62"/>
      <c r="DL20" s="62"/>
      <c r="DM20" s="62"/>
      <c r="DN20" s="62"/>
      <c r="DO20" s="62"/>
      <c r="DP20" s="62"/>
      <c r="DQ20" s="62"/>
      <c r="DR20" s="62"/>
      <c r="DS20" s="62"/>
      <c r="DT20" s="62"/>
      <c r="DU20" s="62"/>
      <c r="DV20" s="62"/>
      <c r="DW20" s="62"/>
      <c r="DX20" s="62"/>
      <c r="DY20" s="62"/>
      <c r="DZ20" s="62"/>
      <c r="EA20" s="62"/>
      <c r="EB20" s="62"/>
      <c r="EC20" s="62"/>
      <c r="ED20" s="62"/>
      <c r="EE20" s="62"/>
      <c r="EF20" s="62"/>
      <c r="EG20" s="62"/>
      <c r="EH20" s="60"/>
      <c r="EI20" s="62"/>
      <c r="EJ20" s="62"/>
      <c r="EK20" s="61"/>
      <c r="EL20" s="70"/>
      <c r="EM20" s="71"/>
      <c r="EN20" s="133">
        <f t="shared" si="55"/>
        <v>1</v>
      </c>
      <c r="EO20" s="61">
        <f t="shared" si="56"/>
        <v>1</v>
      </c>
      <c r="EP20" s="62"/>
      <c r="EQ20" s="62">
        <v>44532</v>
      </c>
      <c r="ER20" s="73"/>
      <c r="ES20" s="62"/>
      <c r="ET20" s="62"/>
      <c r="EU20" s="62"/>
      <c r="EV20" s="62"/>
      <c r="EW20" s="62"/>
      <c r="EX20" s="62"/>
      <c r="EY20" s="61">
        <f t="shared" si="57"/>
        <v>0</v>
      </c>
      <c r="EZ20" s="61"/>
      <c r="FA20" s="62"/>
      <c r="FB20" s="73"/>
      <c r="FC20" s="61"/>
      <c r="FD20" s="61"/>
      <c r="FE20" s="61"/>
      <c r="FF20" s="68" t="str">
        <f t="shared" si="58"/>
        <v>No FP &amp; Demand</v>
      </c>
      <c r="FG20" s="76" t="str">
        <f t="shared" si="59"/>
        <v>-</v>
      </c>
      <c r="FH20" s="65">
        <f t="shared" si="60"/>
        <v>45929</v>
      </c>
      <c r="FI20" s="76"/>
      <c r="FJ20" s="62">
        <f>FH20+7</f>
        <v>45936</v>
      </c>
      <c r="FK20" s="62"/>
      <c r="FL20" s="61"/>
      <c r="FM20" s="61"/>
      <c r="FN20" s="61"/>
      <c r="FO20" s="60"/>
      <c r="FP20" s="64"/>
      <c r="FQ20" s="64"/>
      <c r="FR20" s="61"/>
      <c r="FS20" s="61"/>
      <c r="FT20" s="61"/>
      <c r="FU20" s="61"/>
      <c r="FV20" s="60"/>
      <c r="FW20" s="61"/>
      <c r="FX20" s="61"/>
      <c r="FY20" s="61"/>
      <c r="FZ20" s="61"/>
      <c r="GA20" s="61"/>
      <c r="GB20" s="61"/>
      <c r="GC20" s="61"/>
      <c r="GD20" s="61"/>
      <c r="GE20" s="61"/>
      <c r="GF20" s="61"/>
      <c r="GG20" s="61"/>
      <c r="GH20" s="61"/>
      <c r="GI20" s="60"/>
      <c r="GJ20" s="62"/>
      <c r="GK20" s="62"/>
      <c r="GL20" s="62"/>
      <c r="GM20" s="62"/>
      <c r="GN20" s="63"/>
      <c r="GO20" s="63"/>
      <c r="GP20" s="62"/>
      <c r="GQ20" s="62"/>
      <c r="GR20" s="62"/>
      <c r="GS20" s="62"/>
      <c r="GT20" s="62"/>
      <c r="GU20" s="62"/>
      <c r="GV20" s="78"/>
      <c r="GW20" s="62"/>
      <c r="GX20" s="62"/>
      <c r="GY20" s="62"/>
      <c r="GZ20" s="62"/>
      <c r="HA20" s="67"/>
      <c r="HB20" s="62"/>
      <c r="HC20" s="62"/>
      <c r="HD20" s="62"/>
      <c r="HE20" s="65"/>
      <c r="HF20" s="62"/>
      <c r="HG20" s="65"/>
      <c r="HH20" s="62"/>
      <c r="HI20" s="61"/>
      <c r="HJ20" s="62"/>
      <c r="HK20" s="62"/>
      <c r="HL20" s="62"/>
      <c r="HM20" s="65"/>
      <c r="HN20" s="63"/>
      <c r="HO20" s="62"/>
      <c r="HP20" s="78"/>
      <c r="HQ20" s="60"/>
      <c r="HR20" s="63"/>
      <c r="HS20" s="62"/>
      <c r="HT20" s="63"/>
      <c r="HU20" s="62"/>
      <c r="HV20" s="62"/>
      <c r="HW20" s="62"/>
      <c r="HX20" s="79"/>
      <c r="HY20" s="62"/>
      <c r="HZ20" s="79"/>
      <c r="IA20" s="60"/>
      <c r="IB20" s="65">
        <f>HM20+10</f>
        <v>10</v>
      </c>
      <c r="IC20" s="62"/>
      <c r="ID20" s="61"/>
      <c r="IE20" s="61"/>
      <c r="IF20" s="61"/>
      <c r="IG20" s="61"/>
      <c r="IH20" s="61"/>
      <c r="II20" s="61"/>
      <c r="IJ20" s="61"/>
      <c r="IK20" s="61"/>
      <c r="IL20" s="62"/>
      <c r="IM20" s="62"/>
      <c r="IN20" s="62" t="str">
        <f t="shared" si="61"/>
        <v>-</v>
      </c>
      <c r="IO20" s="60"/>
      <c r="IP20" s="65"/>
      <c r="IQ20" s="62">
        <f t="shared" si="62"/>
        <v>0</v>
      </c>
      <c r="IR20" s="62"/>
      <c r="IS20" s="62"/>
      <c r="IT20" s="62"/>
      <c r="IU20" s="62"/>
      <c r="IV20" s="62"/>
      <c r="IW20" s="62"/>
      <c r="IX20" s="62"/>
      <c r="IY20" s="62"/>
      <c r="IZ20" s="62"/>
      <c r="JA20" s="62"/>
      <c r="JB20" s="62"/>
      <c r="JC20" s="62"/>
      <c r="JD20" s="62"/>
      <c r="JE20" s="62"/>
      <c r="JF20" s="62"/>
      <c r="JG20" s="62"/>
      <c r="JH20" s="65">
        <f>IP20+60</f>
        <v>60</v>
      </c>
      <c r="JI20" s="67" t="str">
        <f t="shared" si="63"/>
        <v>Q1-1900</v>
      </c>
      <c r="JJ20" s="62"/>
      <c r="JK20" s="60"/>
      <c r="JL20" s="61"/>
      <c r="JM20" s="64"/>
      <c r="JN20" s="62"/>
      <c r="JO20" s="62"/>
      <c r="JP20" s="78"/>
      <c r="JQ20" s="61"/>
      <c r="JR20" s="60"/>
      <c r="JS20" s="62"/>
      <c r="JT20" s="62"/>
      <c r="JU20" s="62"/>
      <c r="JV20" s="62"/>
      <c r="JW20" s="62"/>
      <c r="JX20" s="62"/>
      <c r="JY20" s="60"/>
      <c r="JZ20" s="61"/>
      <c r="KA20" s="61"/>
      <c r="KB20" s="61"/>
      <c r="KC20" s="61"/>
      <c r="KD20" s="61"/>
      <c r="KE20" s="61"/>
      <c r="KF20" s="60"/>
      <c r="KG20" s="86"/>
      <c r="KH20" s="60"/>
      <c r="KI20" s="81" t="str">
        <f t="shared" si="29"/>
        <v/>
      </c>
      <c r="KJ20" s="61" t="str">
        <f t="shared" si="30"/>
        <v>Not Gated</v>
      </c>
      <c r="KK20" s="61" t="str">
        <f t="shared" si="31"/>
        <v/>
      </c>
      <c r="KL20" s="62" t="str">
        <f t="shared" si="32"/>
        <v/>
      </c>
      <c r="KM20" s="62" t="str">
        <f t="shared" si="33"/>
        <v/>
      </c>
      <c r="KN20" s="61" t="str">
        <f t="shared" si="34"/>
        <v>Lattice ext</v>
      </c>
      <c r="KO20" s="61" t="str">
        <f t="shared" si="35"/>
        <v>TC68</v>
      </c>
      <c r="KP20" s="131">
        <f t="shared" si="36"/>
        <v>0</v>
      </c>
      <c r="KQ20" s="131" t="str">
        <f t="shared" si="37"/>
        <v>No Forcast Date</v>
      </c>
      <c r="KR20" s="61" t="str">
        <f t="shared" si="38"/>
        <v xml:space="preserve">0  Not Gated  UTS  TC68  No Forcast Date  </v>
      </c>
      <c r="KS20" s="61">
        <f t="shared" si="39"/>
        <v>0</v>
      </c>
      <c r="KT20" s="61" t="str">
        <f t="shared" si="40"/>
        <v/>
      </c>
      <c r="KU20" s="61" t="str">
        <f t="shared" si="41"/>
        <v>Lattice Mast</v>
      </c>
      <c r="KV20" s="61">
        <f t="shared" si="42"/>
        <v>14</v>
      </c>
      <c r="KW20" s="61" t="str">
        <f t="shared" si="43"/>
        <v>Lattice ext</v>
      </c>
      <c r="KX20" s="61">
        <f t="shared" si="44"/>
        <v>20</v>
      </c>
      <c r="KY20" s="60"/>
      <c r="KZ20" s="60"/>
      <c r="LA20" s="62"/>
      <c r="LB20" s="61"/>
      <c r="LC20" s="62"/>
      <c r="LD20" s="61"/>
      <c r="LE20" s="68" t="str">
        <f t="shared" si="45"/>
        <v>-</v>
      </c>
      <c r="LF20" s="150" t="str">
        <f t="shared" si="46"/>
        <v>-</v>
      </c>
      <c r="LG20" s="60"/>
      <c r="LH20" s="60"/>
      <c r="LI20" s="68">
        <f t="shared" si="47"/>
        <v>61</v>
      </c>
      <c r="LJ20" s="150">
        <f t="shared" si="48"/>
        <v>2.0333333333333332</v>
      </c>
      <c r="LK20" s="60"/>
      <c r="LL20" s="68">
        <f t="shared" si="49"/>
        <v>61</v>
      </c>
      <c r="LM20" s="150">
        <f t="shared" si="50"/>
        <v>2.0333333333333332</v>
      </c>
      <c r="LN20" s="60"/>
      <c r="LO20" s="98" t="str">
        <f t="shared" si="51"/>
        <v>-</v>
      </c>
      <c r="LP20" s="68" t="str">
        <f t="shared" si="52"/>
        <v>-</v>
      </c>
      <c r="LQ20" s="150" t="str">
        <f t="shared" si="53"/>
        <v>-</v>
      </c>
      <c r="LR20" s="60"/>
      <c r="LS20" s="98" t="str">
        <f t="shared" si="54"/>
        <v>-</v>
      </c>
      <c r="LT20" s="60"/>
      <c r="LU20" s="60"/>
      <c r="LV20" s="60"/>
      <c r="LW20" s="60"/>
      <c r="LX20" s="60"/>
      <c r="LY20" s="60"/>
      <c r="LZ20" s="60"/>
      <c r="MA20" s="60"/>
      <c r="MB20" s="60"/>
      <c r="MC20" s="60"/>
      <c r="MD20" s="60"/>
      <c r="ME20" s="60"/>
      <c r="MF20" s="60"/>
      <c r="MG20" s="60"/>
      <c r="MH20" s="60"/>
      <c r="MI20" s="60"/>
      <c r="MJ20" s="60"/>
      <c r="MK20" s="60"/>
      <c r="ML20" s="60"/>
      <c r="MM20" s="60"/>
      <c r="MN20" s="60"/>
      <c r="MO20" s="60"/>
    </row>
    <row r="21" spans="2:353" ht="21" customHeight="1" x14ac:dyDescent="0.25">
      <c r="B21" s="58" t="s">
        <v>638</v>
      </c>
      <c r="C21" s="58" t="s">
        <v>633</v>
      </c>
      <c r="D21" s="159" t="s">
        <v>442</v>
      </c>
      <c r="E21" s="159" t="s">
        <v>239</v>
      </c>
      <c r="F21" s="159" t="s">
        <v>457</v>
      </c>
      <c r="G21" s="159"/>
      <c r="H21" s="59"/>
      <c r="I21" s="159" t="s">
        <v>636</v>
      </c>
      <c r="J21" s="159" t="s">
        <v>636</v>
      </c>
      <c r="K21" s="159" t="s">
        <v>636</v>
      </c>
      <c r="L21" s="159" t="s">
        <v>637</v>
      </c>
      <c r="M21" s="159" t="s">
        <v>278</v>
      </c>
      <c r="N21" s="159">
        <v>12</v>
      </c>
      <c r="O21" s="159" t="s">
        <v>240</v>
      </c>
      <c r="P21" s="159">
        <v>21</v>
      </c>
      <c r="Q21" s="159"/>
      <c r="R21" s="160"/>
      <c r="S21" s="159" t="s">
        <v>630</v>
      </c>
      <c r="T21" s="159"/>
      <c r="U21" s="61" t="s">
        <v>315</v>
      </c>
      <c r="V21" s="61">
        <v>3</v>
      </c>
      <c r="W21" s="65"/>
      <c r="X21" s="72" t="s">
        <v>257</v>
      </c>
      <c r="Y21" s="61" t="s">
        <v>305</v>
      </c>
      <c r="Z21" s="61" t="s">
        <v>242</v>
      </c>
      <c r="AA21" s="61">
        <v>2500</v>
      </c>
      <c r="AB21" s="72">
        <v>44074</v>
      </c>
      <c r="AC21" s="72">
        <v>44095</v>
      </c>
      <c r="AD21" s="72"/>
      <c r="AE21" s="63"/>
      <c r="AF21" s="72">
        <v>44119</v>
      </c>
      <c r="AG21" s="62"/>
      <c r="AH21" s="62"/>
      <c r="AI21" s="61" t="s">
        <v>257</v>
      </c>
      <c r="AJ21" s="61" t="s">
        <v>247</v>
      </c>
      <c r="AK21" s="72" t="s">
        <v>257</v>
      </c>
      <c r="AL21" s="72" t="s">
        <v>257</v>
      </c>
      <c r="AM21" s="72">
        <v>44341</v>
      </c>
      <c r="AN21" s="64"/>
      <c r="AO21" s="61" t="s">
        <v>296</v>
      </c>
      <c r="AP21" s="61" t="s">
        <v>247</v>
      </c>
      <c r="AQ21" s="61" t="s">
        <v>248</v>
      </c>
      <c r="AR21" s="65">
        <v>44120</v>
      </c>
      <c r="AS21" s="72">
        <v>44120</v>
      </c>
      <c r="AT21" s="72">
        <v>44123</v>
      </c>
      <c r="AU21" s="61">
        <v>20779</v>
      </c>
      <c r="AV21" s="61"/>
      <c r="AW21" s="61"/>
      <c r="AX21" s="62">
        <v>44175</v>
      </c>
      <c r="AY21" s="62">
        <v>44448</v>
      </c>
      <c r="AZ21" s="72">
        <v>44344</v>
      </c>
      <c r="BA21" s="61"/>
      <c r="BB21" s="61"/>
      <c r="BC21" s="61"/>
      <c r="BD21" s="65">
        <v>44409</v>
      </c>
      <c r="BE21" s="140">
        <v>44405</v>
      </c>
      <c r="BF21" s="62" t="s">
        <v>307</v>
      </c>
      <c r="BG21" s="61">
        <v>4</v>
      </c>
      <c r="BH21" s="65">
        <v>44444</v>
      </c>
      <c r="BI21" s="62"/>
      <c r="BJ21" s="62" t="s">
        <v>344</v>
      </c>
      <c r="BK21" s="61">
        <v>2023</v>
      </c>
      <c r="BL21" s="62">
        <v>44432</v>
      </c>
      <c r="BM21" s="72">
        <v>44431</v>
      </c>
      <c r="BN21" s="62"/>
      <c r="BO21" s="61">
        <v>311200</v>
      </c>
      <c r="BP21" s="65">
        <v>44565</v>
      </c>
      <c r="BQ21" s="67"/>
      <c r="BR21" s="72">
        <v>44949</v>
      </c>
      <c r="BS21" s="61" t="s">
        <v>249</v>
      </c>
      <c r="BT21" s="65">
        <v>44949</v>
      </c>
      <c r="BU21" s="65" t="s">
        <v>292</v>
      </c>
      <c r="BV21" s="65">
        <v>44949</v>
      </c>
      <c r="BW21" s="147" t="s">
        <v>272</v>
      </c>
      <c r="BX21" s="65">
        <f t="shared" si="28"/>
        <v>46774</v>
      </c>
      <c r="BY21" s="61" t="s">
        <v>273</v>
      </c>
      <c r="BZ21" s="61" t="s">
        <v>428</v>
      </c>
      <c r="CA21" s="61"/>
      <c r="CB21" s="72" t="s">
        <v>257</v>
      </c>
      <c r="CC21" s="61"/>
      <c r="CD21" s="68" t="s">
        <v>536</v>
      </c>
      <c r="CE21" s="60" t="s">
        <v>274</v>
      </c>
      <c r="CF21" s="61"/>
      <c r="CG21" s="61"/>
      <c r="CH21" s="61"/>
      <c r="CI21" s="62"/>
      <c r="CJ21" s="62">
        <v>44157</v>
      </c>
      <c r="CK21" s="61"/>
      <c r="CL21" s="69"/>
      <c r="CM21" s="61"/>
      <c r="CN21" s="61"/>
      <c r="CO21" s="61"/>
      <c r="CP21" s="61"/>
      <c r="CQ21" s="64" t="s">
        <v>372</v>
      </c>
      <c r="CR21" s="60"/>
      <c r="CS21" s="70" t="s">
        <v>590</v>
      </c>
      <c r="CT21" s="61" t="s">
        <v>269</v>
      </c>
      <c r="CU21" s="82" t="s">
        <v>275</v>
      </c>
      <c r="CV21" s="82" t="s">
        <v>275</v>
      </c>
      <c r="CW21" s="61" t="s">
        <v>269</v>
      </c>
      <c r="CX21" s="61" t="s">
        <v>269</v>
      </c>
      <c r="CY21" s="61" t="s">
        <v>269</v>
      </c>
      <c r="CZ21" s="61" t="s">
        <v>269</v>
      </c>
      <c r="DA21" s="61"/>
      <c r="DB21" s="61"/>
      <c r="DC21" s="61"/>
      <c r="DD21" s="61"/>
      <c r="DE21" s="61"/>
      <c r="DF21" s="61" t="s">
        <v>269</v>
      </c>
      <c r="DG21" s="61" t="s">
        <v>269</v>
      </c>
      <c r="DH21" s="60"/>
      <c r="DI21" s="62"/>
      <c r="DJ21" s="62"/>
      <c r="DK21" s="116"/>
      <c r="DL21" s="116"/>
      <c r="DM21" s="116"/>
      <c r="DN21" s="62" t="s">
        <v>591</v>
      </c>
      <c r="DO21" s="61" t="s">
        <v>276</v>
      </c>
      <c r="DP21" s="61" t="s">
        <v>276</v>
      </c>
      <c r="DQ21" s="62"/>
      <c r="DR21" s="62"/>
      <c r="DS21" s="62"/>
      <c r="DT21" s="62"/>
      <c r="DU21" s="62"/>
      <c r="DV21" s="62"/>
      <c r="DW21" s="62"/>
      <c r="DX21" s="62"/>
      <c r="DY21" s="62"/>
      <c r="DZ21" s="62"/>
      <c r="EA21" s="62"/>
      <c r="EB21" s="62"/>
      <c r="EC21" s="62"/>
      <c r="ED21" s="62"/>
      <c r="EE21" s="62"/>
      <c r="EF21" s="62"/>
      <c r="EG21" s="62"/>
      <c r="EH21" s="60"/>
      <c r="EI21" s="83">
        <v>45006</v>
      </c>
      <c r="EJ21" s="83">
        <v>45076</v>
      </c>
      <c r="EK21" s="61"/>
      <c r="EL21" s="70"/>
      <c r="EM21" s="71"/>
      <c r="EN21" s="133">
        <f t="shared" si="55"/>
        <v>1</v>
      </c>
      <c r="EO21" s="61">
        <f t="shared" si="56"/>
        <v>1</v>
      </c>
      <c r="EP21" s="62"/>
      <c r="EQ21" s="72">
        <v>45278</v>
      </c>
      <c r="ER21" s="73"/>
      <c r="ES21" s="62"/>
      <c r="ET21" s="62"/>
      <c r="EU21" s="62"/>
      <c r="EV21" s="62"/>
      <c r="EW21" s="62"/>
      <c r="EX21" s="62"/>
      <c r="EY21" s="61">
        <f t="shared" si="57"/>
        <v>0</v>
      </c>
      <c r="EZ21" s="61"/>
      <c r="FA21" s="61"/>
      <c r="FB21" s="74"/>
      <c r="FC21" s="61"/>
      <c r="FD21" s="61"/>
      <c r="FE21" s="61"/>
      <c r="FF21" s="68" t="str">
        <f t="shared" si="58"/>
        <v>FP &amp; Demand</v>
      </c>
      <c r="FG21" s="76" t="str">
        <f t="shared" si="59"/>
        <v>-</v>
      </c>
      <c r="FH21" s="65">
        <f t="shared" si="60"/>
        <v>44949</v>
      </c>
      <c r="FI21" s="76"/>
      <c r="FJ21" s="62">
        <f>FH21+7</f>
        <v>44956</v>
      </c>
      <c r="FK21" s="62">
        <v>44974</v>
      </c>
      <c r="FL21" s="61" t="s">
        <v>299</v>
      </c>
      <c r="FM21" s="61"/>
      <c r="FN21" s="61"/>
      <c r="FO21" s="60"/>
      <c r="FP21" s="64"/>
      <c r="FQ21" s="64"/>
      <c r="FR21" s="61"/>
      <c r="FS21" s="77" t="s">
        <v>257</v>
      </c>
      <c r="FT21" s="61"/>
      <c r="FU21" s="61"/>
      <c r="FV21" s="60"/>
      <c r="FW21" s="61"/>
      <c r="FX21" s="61"/>
      <c r="FY21" s="61"/>
      <c r="FZ21" s="61"/>
      <c r="GA21" s="61"/>
      <c r="GB21" s="61"/>
      <c r="GC21" s="61"/>
      <c r="GD21" s="61"/>
      <c r="GE21" s="61"/>
      <c r="GF21" s="61"/>
      <c r="GG21" s="61"/>
      <c r="GH21" s="61"/>
      <c r="GI21" s="60"/>
      <c r="GJ21" s="62"/>
      <c r="GK21" s="62"/>
      <c r="GL21" s="62"/>
      <c r="GM21" s="62"/>
      <c r="GN21" s="63"/>
      <c r="GO21" s="63"/>
      <c r="GP21" s="62"/>
      <c r="GQ21" s="62"/>
      <c r="GR21" s="62"/>
      <c r="GS21" s="62"/>
      <c r="GT21" s="62"/>
      <c r="GU21" s="62"/>
      <c r="GV21" s="78"/>
      <c r="GW21" s="62"/>
      <c r="GX21" s="62"/>
      <c r="GY21" s="62"/>
      <c r="GZ21" s="62"/>
      <c r="HA21" s="67"/>
      <c r="HB21" s="62"/>
      <c r="HC21" s="82" t="s">
        <v>257</v>
      </c>
      <c r="HD21" s="62"/>
      <c r="HE21" s="65"/>
      <c r="HF21" s="62"/>
      <c r="HG21" s="65">
        <f>FJ21+10</f>
        <v>44966</v>
      </c>
      <c r="HH21" s="62"/>
      <c r="HI21" s="61"/>
      <c r="HJ21" s="62"/>
      <c r="HK21" s="62"/>
      <c r="HL21" s="62"/>
      <c r="HM21" s="65">
        <f>IF(GW21="Yes",HE21,HG21+50)</f>
        <v>45016</v>
      </c>
      <c r="HN21" s="63"/>
      <c r="HO21" s="62"/>
      <c r="HP21" s="78"/>
      <c r="HQ21" s="60"/>
      <c r="HR21" s="63"/>
      <c r="HS21" s="62"/>
      <c r="HT21" s="63"/>
      <c r="HU21" s="62"/>
      <c r="HV21" s="62"/>
      <c r="HW21" s="62"/>
      <c r="HX21" s="79"/>
      <c r="HY21" s="62"/>
      <c r="HZ21" s="79"/>
      <c r="IA21" s="60"/>
      <c r="IB21" s="65">
        <f>HM21+10</f>
        <v>45026</v>
      </c>
      <c r="IC21" s="62"/>
      <c r="ID21" s="61"/>
      <c r="IE21" s="61"/>
      <c r="IF21" s="61"/>
      <c r="IG21" s="61"/>
      <c r="IH21" s="61"/>
      <c r="II21" s="61"/>
      <c r="IJ21" s="61"/>
      <c r="IK21" s="61"/>
      <c r="IL21" s="62"/>
      <c r="IM21" s="62"/>
      <c r="IN21" s="72">
        <f t="shared" si="61"/>
        <v>45076</v>
      </c>
      <c r="IO21" s="60"/>
      <c r="IP21" s="65">
        <f>IB21+30</f>
        <v>45056</v>
      </c>
      <c r="IQ21" s="62">
        <f t="shared" si="62"/>
        <v>0</v>
      </c>
      <c r="IR21" s="62"/>
      <c r="IS21" s="62"/>
      <c r="IT21" s="62"/>
      <c r="IU21" s="62"/>
      <c r="IV21" s="62"/>
      <c r="IW21" s="62"/>
      <c r="IX21" s="62"/>
      <c r="IY21" s="83" t="s">
        <v>257</v>
      </c>
      <c r="IZ21" s="62"/>
      <c r="JA21" s="62"/>
      <c r="JB21" s="62"/>
      <c r="JC21" s="62"/>
      <c r="JD21" s="62"/>
      <c r="JE21" s="62"/>
      <c r="JF21" s="62"/>
      <c r="JG21" s="62"/>
      <c r="JH21" s="65">
        <v>45278</v>
      </c>
      <c r="JI21" s="67" t="str">
        <f t="shared" si="63"/>
        <v>Q4-2023</v>
      </c>
      <c r="JJ21" s="80">
        <v>45278</v>
      </c>
      <c r="JK21" s="60"/>
      <c r="JL21" s="61"/>
      <c r="JM21" s="64"/>
      <c r="JN21" s="62"/>
      <c r="JO21" s="62" t="s">
        <v>257</v>
      </c>
      <c r="JP21" s="78" t="s">
        <v>278</v>
      </c>
      <c r="JQ21" s="72">
        <v>45434</v>
      </c>
      <c r="JR21" s="60"/>
      <c r="JS21" s="62"/>
      <c r="JT21" s="62"/>
      <c r="JU21" s="62"/>
      <c r="JV21" s="62"/>
      <c r="JW21" s="62"/>
      <c r="JX21" s="62"/>
      <c r="JY21" s="60"/>
      <c r="JZ21" s="61"/>
      <c r="KA21" s="61"/>
      <c r="KB21" s="61"/>
      <c r="KC21" s="61"/>
      <c r="KD21" s="61"/>
      <c r="KE21" s="61"/>
      <c r="KF21" s="60"/>
      <c r="KG21" s="61"/>
      <c r="KH21" s="60"/>
      <c r="KI21" s="81" t="str">
        <f t="shared" si="29"/>
        <v>TLKxxx</v>
      </c>
      <c r="KJ21" s="61" t="str">
        <f t="shared" si="30"/>
        <v>Live</v>
      </c>
      <c r="KK21" s="61" t="str">
        <f t="shared" si="31"/>
        <v>TLKxxx</v>
      </c>
      <c r="KL21" s="62">
        <f t="shared" si="32"/>
        <v>45278</v>
      </c>
      <c r="KM21" s="62">
        <f t="shared" si="33"/>
        <v>45278</v>
      </c>
      <c r="KN21" s="61" t="str">
        <f t="shared" si="34"/>
        <v>Monopole</v>
      </c>
      <c r="KO21" s="61" t="str">
        <f t="shared" si="35"/>
        <v>TC68</v>
      </c>
      <c r="KP21" s="131">
        <f t="shared" si="36"/>
        <v>0</v>
      </c>
      <c r="KQ21" s="131" t="str">
        <f t="shared" si="37"/>
        <v>Q4-2023</v>
      </c>
      <c r="KR21" s="61" t="str">
        <f t="shared" si="38"/>
        <v xml:space="preserve">0  Live  UTS  TC68  Q4-2023  </v>
      </c>
      <c r="KS21" s="61" t="str">
        <f t="shared" si="39"/>
        <v>RFI</v>
      </c>
      <c r="KT21" s="61" t="str">
        <f t="shared" si="40"/>
        <v>Site name</v>
      </c>
      <c r="KU21" s="61" t="str">
        <f t="shared" si="41"/>
        <v>Wooden Pole</v>
      </c>
      <c r="KV21" s="61">
        <f t="shared" si="42"/>
        <v>12</v>
      </c>
      <c r="KW21" s="61" t="str">
        <f t="shared" si="43"/>
        <v>Monopole</v>
      </c>
      <c r="KX21" s="61">
        <f t="shared" si="44"/>
        <v>21</v>
      </c>
      <c r="KY21" s="60"/>
      <c r="KZ21" s="60"/>
      <c r="LA21" s="62"/>
      <c r="LB21" s="61"/>
      <c r="LC21" s="62"/>
      <c r="LD21" s="61"/>
      <c r="LE21" s="68" t="str">
        <f t="shared" si="45"/>
        <v>-</v>
      </c>
      <c r="LF21" s="150" t="str">
        <f t="shared" si="46"/>
        <v>-</v>
      </c>
      <c r="LG21" s="60"/>
      <c r="LH21" s="60"/>
      <c r="LI21" s="68">
        <f t="shared" si="47"/>
        <v>285</v>
      </c>
      <c r="LJ21" s="150">
        <f t="shared" si="48"/>
        <v>9.5</v>
      </c>
      <c r="LK21" s="60"/>
      <c r="LL21" s="68">
        <f t="shared" si="49"/>
        <v>829</v>
      </c>
      <c r="LM21" s="150">
        <f t="shared" si="50"/>
        <v>27.633333333333333</v>
      </c>
      <c r="LN21" s="60"/>
      <c r="LO21" s="98">
        <f t="shared" si="51"/>
        <v>44431</v>
      </c>
      <c r="LP21" s="68">
        <f t="shared" si="52"/>
        <v>518</v>
      </c>
      <c r="LQ21" s="150">
        <f t="shared" si="53"/>
        <v>17.266666666666666</v>
      </c>
      <c r="LR21" s="60"/>
      <c r="LS21" s="98">
        <f t="shared" si="54"/>
        <v>44949</v>
      </c>
      <c r="LT21" s="60"/>
      <c r="LU21" s="60"/>
      <c r="LV21" s="60"/>
      <c r="LW21" s="60"/>
      <c r="LX21" s="60"/>
      <c r="LY21" s="60"/>
      <c r="LZ21" s="60"/>
      <c r="MA21" s="60"/>
      <c r="MB21" s="60"/>
      <c r="MC21" s="60"/>
      <c r="MD21" s="60"/>
      <c r="ME21" s="60"/>
      <c r="MF21" s="60"/>
      <c r="MG21" s="60"/>
      <c r="MH21" s="60"/>
      <c r="MI21" s="60"/>
      <c r="MJ21" s="60"/>
      <c r="MK21" s="60"/>
      <c r="ML21" s="60"/>
      <c r="MM21" s="60"/>
      <c r="MN21" s="60"/>
      <c r="MO21" s="60"/>
    </row>
    <row r="22" spans="2:353" ht="21" customHeight="1" x14ac:dyDescent="0.25">
      <c r="B22" s="58" t="s">
        <v>639</v>
      </c>
      <c r="C22" s="58" t="s">
        <v>633</v>
      </c>
      <c r="D22" s="159" t="s">
        <v>445</v>
      </c>
      <c r="E22" s="159" t="s">
        <v>239</v>
      </c>
      <c r="F22" s="159" t="s">
        <v>453</v>
      </c>
      <c r="G22" s="159"/>
      <c r="H22" s="59"/>
      <c r="I22" s="159" t="s">
        <v>636</v>
      </c>
      <c r="J22" s="159" t="s">
        <v>636</v>
      </c>
      <c r="K22" s="159" t="s">
        <v>636</v>
      </c>
      <c r="L22" s="159" t="s">
        <v>637</v>
      </c>
      <c r="M22" s="159" t="s">
        <v>278</v>
      </c>
      <c r="N22" s="159">
        <v>12</v>
      </c>
      <c r="O22" s="159" t="s">
        <v>240</v>
      </c>
      <c r="P22" s="159">
        <v>15</v>
      </c>
      <c r="Q22" s="159"/>
      <c r="R22" s="160"/>
      <c r="S22" s="159"/>
      <c r="T22" s="159" t="s">
        <v>407</v>
      </c>
      <c r="U22" s="61" t="s">
        <v>347</v>
      </c>
      <c r="V22" s="61">
        <v>3</v>
      </c>
      <c r="W22" s="65"/>
      <c r="X22" s="72" t="s">
        <v>257</v>
      </c>
      <c r="Y22" s="61" t="s">
        <v>305</v>
      </c>
      <c r="Z22" s="61" t="s">
        <v>270</v>
      </c>
      <c r="AA22" s="61">
        <v>1000</v>
      </c>
      <c r="AB22" s="72" t="s">
        <v>257</v>
      </c>
      <c r="AC22" s="72">
        <v>44152</v>
      </c>
      <c r="AD22" s="72"/>
      <c r="AE22" s="63"/>
      <c r="AF22" s="72">
        <v>44155</v>
      </c>
      <c r="AG22" s="62"/>
      <c r="AH22" s="72"/>
      <c r="AI22" s="61"/>
      <c r="AJ22" s="61"/>
      <c r="AK22" s="62"/>
      <c r="AL22" s="62"/>
      <c r="AM22" s="62"/>
      <c r="AN22" s="64"/>
      <c r="AO22" s="61" t="s">
        <v>271</v>
      </c>
      <c r="AP22" s="61"/>
      <c r="AQ22" s="61"/>
      <c r="AR22" s="65">
        <v>44162</v>
      </c>
      <c r="AS22" s="72">
        <v>44162</v>
      </c>
      <c r="AT22" s="72" t="s">
        <v>257</v>
      </c>
      <c r="AU22" s="61">
        <v>206334</v>
      </c>
      <c r="AV22" s="61" t="s">
        <v>269</v>
      </c>
      <c r="AW22" s="61" t="s">
        <v>243</v>
      </c>
      <c r="AX22" s="62" t="s">
        <v>243</v>
      </c>
      <c r="AY22" s="62" t="s">
        <v>243</v>
      </c>
      <c r="AZ22" s="62" t="s">
        <v>243</v>
      </c>
      <c r="BA22" s="61" t="s">
        <v>243</v>
      </c>
      <c r="BB22" s="61" t="s">
        <v>243</v>
      </c>
      <c r="BC22" s="61" t="s">
        <v>243</v>
      </c>
      <c r="BD22" s="65">
        <v>44229</v>
      </c>
      <c r="BE22" s="72">
        <v>44228</v>
      </c>
      <c r="BF22" s="62" t="s">
        <v>272</v>
      </c>
      <c r="BG22" s="61">
        <v>0</v>
      </c>
      <c r="BH22" s="65">
        <v>44266</v>
      </c>
      <c r="BI22" s="72">
        <v>44266</v>
      </c>
      <c r="BJ22" s="87" t="s">
        <v>272</v>
      </c>
      <c r="BK22" s="61">
        <v>2021</v>
      </c>
      <c r="BL22" s="62">
        <v>44255</v>
      </c>
      <c r="BM22" s="62"/>
      <c r="BN22" s="62"/>
      <c r="BO22" s="61"/>
      <c r="BP22" s="65"/>
      <c r="BQ22" s="67"/>
      <c r="BR22" s="62"/>
      <c r="BS22" s="61"/>
      <c r="BT22" s="65">
        <v>44266</v>
      </c>
      <c r="BU22" s="65" t="s">
        <v>249</v>
      </c>
      <c r="BV22" s="65">
        <v>44266</v>
      </c>
      <c r="BW22" s="147" t="s">
        <v>272</v>
      </c>
      <c r="BX22" s="65">
        <f t="shared" si="28"/>
        <v>46091</v>
      </c>
      <c r="BY22" s="61" t="s">
        <v>273</v>
      </c>
      <c r="BZ22" s="61" t="s">
        <v>362</v>
      </c>
      <c r="CA22" s="61"/>
      <c r="CB22" s="62"/>
      <c r="CC22" s="61"/>
      <c r="CD22" s="68" t="s">
        <v>536</v>
      </c>
      <c r="CE22" s="60" t="s">
        <v>274</v>
      </c>
      <c r="CF22" s="61"/>
      <c r="CG22" s="62"/>
      <c r="CH22" s="78"/>
      <c r="CI22" s="78"/>
      <c r="CJ22" s="78">
        <v>44208</v>
      </c>
      <c r="CK22" s="78"/>
      <c r="CL22" s="138"/>
      <c r="CM22" s="78"/>
      <c r="CN22" s="79"/>
      <c r="CO22" s="70"/>
      <c r="CP22" s="78"/>
      <c r="CQ22" s="64"/>
      <c r="CR22" s="60"/>
      <c r="CS22" s="70"/>
      <c r="CT22" s="61" t="s">
        <v>269</v>
      </c>
      <c r="CU22" s="61" t="s">
        <v>269</v>
      </c>
      <c r="CV22" s="61" t="s">
        <v>269</v>
      </c>
      <c r="CW22" s="61" t="s">
        <v>269</v>
      </c>
      <c r="CX22" s="61" t="s">
        <v>269</v>
      </c>
      <c r="CY22" s="82" t="s">
        <v>275</v>
      </c>
      <c r="CZ22" s="61" t="s">
        <v>269</v>
      </c>
      <c r="DA22" s="61"/>
      <c r="DB22" s="61"/>
      <c r="DC22" s="61"/>
      <c r="DD22" s="61"/>
      <c r="DE22" s="61"/>
      <c r="DF22" s="61" t="s">
        <v>269</v>
      </c>
      <c r="DG22" s="64" t="s">
        <v>548</v>
      </c>
      <c r="DH22" s="60"/>
      <c r="DI22" s="61"/>
      <c r="DJ22" s="61"/>
      <c r="DK22" s="61" t="s">
        <v>276</v>
      </c>
      <c r="DL22" s="61" t="s">
        <v>276</v>
      </c>
      <c r="DM22" s="61" t="s">
        <v>276</v>
      </c>
      <c r="DN22" s="61" t="s">
        <v>276</v>
      </c>
      <c r="DO22" s="61" t="s">
        <v>276</v>
      </c>
      <c r="DP22" s="61" t="s">
        <v>276</v>
      </c>
      <c r="DQ22" s="61"/>
      <c r="DR22" s="61"/>
      <c r="DS22" s="61"/>
      <c r="DT22" s="61"/>
      <c r="DU22" s="61"/>
      <c r="DV22" s="61"/>
      <c r="DW22" s="61"/>
      <c r="DX22" s="61"/>
      <c r="DY22" s="61"/>
      <c r="DZ22" s="61"/>
      <c r="EA22" s="61"/>
      <c r="EB22" s="61"/>
      <c r="EC22" s="61"/>
      <c r="ED22" s="61"/>
      <c r="EE22" s="61"/>
      <c r="EF22" s="61"/>
      <c r="EG22" s="61"/>
      <c r="EH22" s="60"/>
      <c r="EI22" s="61"/>
      <c r="EJ22" s="61"/>
      <c r="EK22" s="61">
        <v>2</v>
      </c>
      <c r="EL22" s="70"/>
      <c r="EM22" s="71"/>
      <c r="EN22" s="133">
        <f t="shared" si="55"/>
        <v>1</v>
      </c>
      <c r="EO22" s="61">
        <f t="shared" si="56"/>
        <v>0</v>
      </c>
      <c r="EP22" s="62"/>
      <c r="EQ22" s="62"/>
      <c r="ER22" s="73"/>
      <c r="ES22" s="62"/>
      <c r="ET22" s="62"/>
      <c r="EU22" s="62"/>
      <c r="EV22" s="62"/>
      <c r="EW22" s="62"/>
      <c r="EX22" s="62"/>
      <c r="EY22" s="61">
        <f t="shared" si="57"/>
        <v>1</v>
      </c>
      <c r="EZ22" s="61"/>
      <c r="FA22" s="61"/>
      <c r="FB22" s="74"/>
      <c r="FC22" s="157">
        <v>45870</v>
      </c>
      <c r="FD22" s="61"/>
      <c r="FE22" s="61"/>
      <c r="FF22" s="68" t="str">
        <f t="shared" si="58"/>
        <v>FP / No Demand</v>
      </c>
      <c r="FG22" s="156">
        <f>FC22</f>
        <v>45870</v>
      </c>
      <c r="FH22" s="65">
        <f t="shared" si="60"/>
        <v>44266</v>
      </c>
      <c r="FI22" s="156" t="s">
        <v>317</v>
      </c>
      <c r="FJ22" s="62">
        <f>FG22</f>
        <v>45870</v>
      </c>
      <c r="FK22" s="62">
        <f>FJ22+7</f>
        <v>45877</v>
      </c>
      <c r="FL22" s="61"/>
      <c r="FM22" s="61"/>
      <c r="FN22" s="61"/>
      <c r="FO22" s="60"/>
      <c r="FP22" s="64"/>
      <c r="FQ22" s="64"/>
      <c r="FR22" s="61"/>
      <c r="FS22" s="61"/>
      <c r="FT22" s="61"/>
      <c r="FU22" s="61"/>
      <c r="FV22" s="60"/>
      <c r="FW22" s="61"/>
      <c r="FX22" s="61"/>
      <c r="FY22" s="61"/>
      <c r="FZ22" s="61"/>
      <c r="GA22" s="61"/>
      <c r="GB22" s="61"/>
      <c r="GC22" s="61"/>
      <c r="GD22" s="61"/>
      <c r="GE22" s="61"/>
      <c r="GF22" s="61"/>
      <c r="GG22" s="61"/>
      <c r="GH22" s="61"/>
      <c r="GI22" s="60"/>
      <c r="GJ22" s="62"/>
      <c r="GK22" s="62"/>
      <c r="GL22" s="62"/>
      <c r="GM22" s="62"/>
      <c r="GN22" s="63"/>
      <c r="GO22" s="63"/>
      <c r="GP22" s="62"/>
      <c r="GQ22" s="62"/>
      <c r="GR22" s="62"/>
      <c r="GS22" s="62"/>
      <c r="GT22" s="62"/>
      <c r="GU22" s="62"/>
      <c r="GV22" s="62"/>
      <c r="GW22" s="62"/>
      <c r="GX22" s="62"/>
      <c r="GY22" s="62"/>
      <c r="GZ22" s="107"/>
      <c r="HA22" s="65"/>
      <c r="HB22" s="62"/>
      <c r="HC22" s="62"/>
      <c r="HD22" s="62"/>
      <c r="HE22" s="65"/>
      <c r="HF22" s="62"/>
      <c r="HG22" s="65"/>
      <c r="HH22" s="62"/>
      <c r="HI22" s="61"/>
      <c r="HJ22" s="62"/>
      <c r="HK22" s="62"/>
      <c r="HL22" s="62"/>
      <c r="HM22" s="65"/>
      <c r="HN22" s="63"/>
      <c r="HO22" s="62"/>
      <c r="HP22" s="78"/>
      <c r="HQ22" s="60"/>
      <c r="HR22" s="63"/>
      <c r="HS22" s="66"/>
      <c r="HT22" s="108"/>
      <c r="HU22" s="62"/>
      <c r="HV22" s="109"/>
      <c r="HW22" s="62"/>
      <c r="HX22" s="79"/>
      <c r="HY22" s="62"/>
      <c r="HZ22" s="79"/>
      <c r="IA22" s="60"/>
      <c r="IB22" s="65"/>
      <c r="IC22" s="62"/>
      <c r="ID22" s="61"/>
      <c r="IE22" s="61"/>
      <c r="IF22" s="61"/>
      <c r="IG22" s="61"/>
      <c r="IH22" s="61"/>
      <c r="II22" s="61"/>
      <c r="IJ22" s="61"/>
      <c r="IK22" s="61"/>
      <c r="IL22" s="62"/>
      <c r="IM22" s="62"/>
      <c r="IN22" s="62" t="str">
        <f t="shared" si="61"/>
        <v>-</v>
      </c>
      <c r="IO22" s="60"/>
      <c r="IP22" s="65"/>
      <c r="IQ22" s="62">
        <f t="shared" si="62"/>
        <v>0</v>
      </c>
      <c r="IR22" s="62"/>
      <c r="IS22" s="62"/>
      <c r="IT22" s="62"/>
      <c r="IU22" s="62"/>
      <c r="IV22" s="62"/>
      <c r="IW22" s="62"/>
      <c r="IX22" s="62"/>
      <c r="IY22" s="62"/>
      <c r="IZ22" s="62"/>
      <c r="JA22" s="62"/>
      <c r="JB22" s="62"/>
      <c r="JC22" s="62"/>
      <c r="JD22" s="62"/>
      <c r="JE22" s="62"/>
      <c r="JF22" s="62"/>
      <c r="JG22" s="62"/>
      <c r="JH22" s="65">
        <f>FK22+180</f>
        <v>46057</v>
      </c>
      <c r="JI22" s="67" t="str">
        <f t="shared" si="63"/>
        <v>Q1-2026</v>
      </c>
      <c r="JJ22" s="62"/>
      <c r="JK22" s="60"/>
      <c r="JL22" s="61"/>
      <c r="JM22" s="64"/>
      <c r="JN22" s="62"/>
      <c r="JO22" s="62"/>
      <c r="JP22" s="78"/>
      <c r="JQ22" s="61"/>
      <c r="JR22" s="60"/>
      <c r="JS22" s="62"/>
      <c r="JT22" s="62"/>
      <c r="JU22" s="62"/>
      <c r="JV22" s="62"/>
      <c r="JW22" s="62"/>
      <c r="JX22" s="62"/>
      <c r="JY22" s="60"/>
      <c r="JZ22" s="61"/>
      <c r="KA22" s="61"/>
      <c r="KB22" s="61"/>
      <c r="KC22" s="61"/>
      <c r="KD22" s="61"/>
      <c r="KE22" s="61"/>
      <c r="KF22" s="60"/>
      <c r="KG22" s="86"/>
      <c r="KH22" s="60"/>
      <c r="KI22" s="81" t="str">
        <f t="shared" si="29"/>
        <v>TCxxxx</v>
      </c>
      <c r="KJ22" s="61" t="str">
        <f t="shared" si="30"/>
        <v>Live</v>
      </c>
      <c r="KK22" s="61" t="str">
        <f t="shared" si="31"/>
        <v>TCxxxx</v>
      </c>
      <c r="KL22" s="62">
        <f t="shared" si="32"/>
        <v>46057</v>
      </c>
      <c r="KM22" s="62" t="str">
        <f t="shared" si="33"/>
        <v/>
      </c>
      <c r="KN22" s="61" t="str">
        <f t="shared" si="34"/>
        <v>Monopole</v>
      </c>
      <c r="KO22" s="61" t="str">
        <f t="shared" si="35"/>
        <v>TC68</v>
      </c>
      <c r="KP22" s="131" t="str">
        <f t="shared" si="36"/>
        <v>FP No Demand</v>
      </c>
      <c r="KQ22" s="131" t="str">
        <f t="shared" si="37"/>
        <v>Q1-2026</v>
      </c>
      <c r="KR22" s="61" t="str">
        <f t="shared" si="38"/>
        <v xml:space="preserve">FP No Demand  Live  UTS  TC68  Q1-2026  </v>
      </c>
      <c r="KS22" s="61">
        <f t="shared" si="39"/>
        <v>0</v>
      </c>
      <c r="KT22" s="61" t="str">
        <f t="shared" si="40"/>
        <v>Site name</v>
      </c>
      <c r="KU22" s="61" t="str">
        <f t="shared" si="41"/>
        <v>Wooden Pole</v>
      </c>
      <c r="KV22" s="61">
        <f t="shared" si="42"/>
        <v>12</v>
      </c>
      <c r="KW22" s="61" t="str">
        <f t="shared" si="43"/>
        <v>Monopole</v>
      </c>
      <c r="KX22" s="61">
        <f t="shared" si="44"/>
        <v>15</v>
      </c>
      <c r="KY22" s="60"/>
      <c r="KZ22" s="60"/>
      <c r="LA22" s="62"/>
      <c r="LB22" s="61"/>
      <c r="LC22" s="62"/>
      <c r="LD22" s="61"/>
      <c r="LE22" s="68" t="str">
        <f t="shared" si="45"/>
        <v>-</v>
      </c>
      <c r="LF22" s="150" t="str">
        <f t="shared" si="46"/>
        <v>-</v>
      </c>
      <c r="LG22" s="60"/>
      <c r="LH22" s="60"/>
      <c r="LI22" s="68">
        <f t="shared" si="47"/>
        <v>66</v>
      </c>
      <c r="LJ22" s="150">
        <f t="shared" si="48"/>
        <v>2.2000000000000002</v>
      </c>
      <c r="LK22" s="60"/>
      <c r="LL22" s="68">
        <f t="shared" si="49"/>
        <v>104</v>
      </c>
      <c r="LM22" s="150">
        <f t="shared" si="50"/>
        <v>3.4666666666666668</v>
      </c>
      <c r="LN22" s="60"/>
      <c r="LO22" s="98" t="str">
        <f t="shared" si="51"/>
        <v>-</v>
      </c>
      <c r="LP22" s="68" t="str">
        <f t="shared" si="52"/>
        <v>-</v>
      </c>
      <c r="LQ22" s="150" t="str">
        <f t="shared" si="53"/>
        <v>-</v>
      </c>
      <c r="LR22" s="60"/>
      <c r="LS22" s="98" t="str">
        <f t="shared" si="54"/>
        <v>-</v>
      </c>
      <c r="LT22" s="60"/>
      <c r="LU22" s="60"/>
      <c r="LV22" s="60"/>
      <c r="LW22" s="60"/>
      <c r="LX22" s="60"/>
      <c r="LY22" s="60"/>
      <c r="LZ22" s="60"/>
      <c r="MA22" s="60"/>
      <c r="MB22" s="60"/>
      <c r="MC22" s="60"/>
      <c r="MD22" s="60"/>
      <c r="ME22" s="60"/>
      <c r="MF22" s="60"/>
      <c r="MG22" s="60"/>
      <c r="MH22" s="60"/>
      <c r="MI22" s="60"/>
      <c r="MJ22" s="60"/>
      <c r="MK22" s="60"/>
      <c r="ML22" s="60"/>
      <c r="MM22" s="60"/>
      <c r="MN22" s="60"/>
      <c r="MO22" s="60"/>
    </row>
    <row r="23" spans="2:353" ht="21" customHeight="1" x14ac:dyDescent="0.25">
      <c r="B23" s="84" t="s">
        <v>640</v>
      </c>
      <c r="C23" s="58" t="s">
        <v>633</v>
      </c>
      <c r="D23" s="159" t="s">
        <v>443</v>
      </c>
      <c r="E23" s="159" t="s">
        <v>239</v>
      </c>
      <c r="F23" s="159" t="s">
        <v>458</v>
      </c>
      <c r="G23" s="159"/>
      <c r="H23" s="59"/>
      <c r="I23" s="159" t="s">
        <v>636</v>
      </c>
      <c r="J23" s="159" t="s">
        <v>636</v>
      </c>
      <c r="K23" s="159" t="s">
        <v>636</v>
      </c>
      <c r="L23" s="159" t="s">
        <v>637</v>
      </c>
      <c r="M23" s="159" t="s">
        <v>278</v>
      </c>
      <c r="N23" s="159">
        <v>10</v>
      </c>
      <c r="O23" s="159" t="s">
        <v>255</v>
      </c>
      <c r="P23" s="159">
        <v>20</v>
      </c>
      <c r="Q23" s="159"/>
      <c r="R23" s="160"/>
      <c r="S23" s="159" t="s">
        <v>630</v>
      </c>
      <c r="T23" s="159"/>
      <c r="U23" s="61" t="s">
        <v>350</v>
      </c>
      <c r="V23" s="61">
        <v>1</v>
      </c>
      <c r="W23" s="65"/>
      <c r="X23" s="72" t="s">
        <v>257</v>
      </c>
      <c r="Y23" s="61" t="s">
        <v>241</v>
      </c>
      <c r="Z23" s="61" t="s">
        <v>242</v>
      </c>
      <c r="AA23" s="61">
        <v>2500</v>
      </c>
      <c r="AB23" s="72">
        <v>43871</v>
      </c>
      <c r="AC23" s="72">
        <v>43900</v>
      </c>
      <c r="AD23" s="72"/>
      <c r="AE23" s="63"/>
      <c r="AF23" s="72">
        <v>43962</v>
      </c>
      <c r="AG23" s="62"/>
      <c r="AH23" s="72"/>
      <c r="AI23" s="61"/>
      <c r="AJ23" s="61"/>
      <c r="AK23" s="62"/>
      <c r="AL23" s="62"/>
      <c r="AM23" s="62"/>
      <c r="AN23" s="64"/>
      <c r="AO23" s="61" t="s">
        <v>271</v>
      </c>
      <c r="AP23" s="61"/>
      <c r="AQ23" s="61"/>
      <c r="AR23" s="65">
        <v>44153</v>
      </c>
      <c r="AS23" s="72">
        <v>44153</v>
      </c>
      <c r="AT23" s="72" t="s">
        <v>257</v>
      </c>
      <c r="AU23" s="61">
        <v>20201383</v>
      </c>
      <c r="AV23" s="61"/>
      <c r="AW23" s="61"/>
      <c r="AX23" s="62"/>
      <c r="AY23" s="62"/>
      <c r="AZ23" s="62"/>
      <c r="BA23" s="61"/>
      <c r="BB23" s="61"/>
      <c r="BC23" s="61"/>
      <c r="BD23" s="65">
        <v>44216</v>
      </c>
      <c r="BE23" s="140">
        <v>44211</v>
      </c>
      <c r="BF23" s="62" t="s">
        <v>272</v>
      </c>
      <c r="BG23" s="61">
        <v>2</v>
      </c>
      <c r="BH23" s="65">
        <v>44235</v>
      </c>
      <c r="BI23" s="72">
        <v>44235</v>
      </c>
      <c r="BJ23" s="62" t="s">
        <v>320</v>
      </c>
      <c r="BK23" s="61">
        <v>2021</v>
      </c>
      <c r="BL23" s="62">
        <v>44238</v>
      </c>
      <c r="BM23" s="62"/>
      <c r="BN23" s="72">
        <v>44229</v>
      </c>
      <c r="BO23" s="61">
        <v>309348</v>
      </c>
      <c r="BP23" s="65">
        <v>44355</v>
      </c>
      <c r="BQ23" s="67"/>
      <c r="BR23" s="72">
        <v>44350</v>
      </c>
      <c r="BS23" s="61" t="s">
        <v>272</v>
      </c>
      <c r="BT23" s="65">
        <v>44350</v>
      </c>
      <c r="BU23" s="65" t="s">
        <v>249</v>
      </c>
      <c r="BV23" s="65">
        <v>44350</v>
      </c>
      <c r="BW23" s="147" t="s">
        <v>272</v>
      </c>
      <c r="BX23" s="65">
        <f t="shared" si="28"/>
        <v>46175</v>
      </c>
      <c r="BY23" s="61" t="s">
        <v>273</v>
      </c>
      <c r="BZ23" s="61" t="s">
        <v>429</v>
      </c>
      <c r="CA23" s="61"/>
      <c r="CB23" s="72" t="s">
        <v>244</v>
      </c>
      <c r="CC23" s="61"/>
      <c r="CD23" s="68" t="s">
        <v>536</v>
      </c>
      <c r="CE23" s="60" t="s">
        <v>274</v>
      </c>
      <c r="CF23" s="61"/>
      <c r="CG23" s="61"/>
      <c r="CH23" s="61"/>
      <c r="CI23" s="62"/>
      <c r="CJ23" s="62"/>
      <c r="CK23" s="61"/>
      <c r="CL23" s="69"/>
      <c r="CM23" s="61"/>
      <c r="CN23" s="61"/>
      <c r="CO23" s="61"/>
      <c r="CP23" s="61"/>
      <c r="CQ23" s="64"/>
      <c r="CR23" s="60"/>
      <c r="CS23" s="70"/>
      <c r="CT23" s="61"/>
      <c r="CU23" s="61"/>
      <c r="CV23" s="61"/>
      <c r="CW23" s="61"/>
      <c r="CX23" s="61"/>
      <c r="CY23" s="61"/>
      <c r="CZ23" s="61"/>
      <c r="DA23" s="61"/>
      <c r="DB23" s="61"/>
      <c r="DC23" s="61"/>
      <c r="DD23" s="61"/>
      <c r="DE23" s="61"/>
      <c r="DF23" s="61"/>
      <c r="DG23" s="64"/>
      <c r="DH23" s="60"/>
      <c r="DI23" s="62"/>
      <c r="DJ23" s="62"/>
      <c r="DK23" s="62"/>
      <c r="DL23" s="62"/>
      <c r="DM23" s="62"/>
      <c r="DN23" s="62"/>
      <c r="DO23" s="62"/>
      <c r="DP23" s="62"/>
      <c r="DQ23" s="62"/>
      <c r="DR23" s="62"/>
      <c r="DS23" s="62"/>
      <c r="DT23" s="62"/>
      <c r="DU23" s="62"/>
      <c r="DV23" s="62"/>
      <c r="DW23" s="62"/>
      <c r="DX23" s="62"/>
      <c r="DY23" s="62"/>
      <c r="DZ23" s="62"/>
      <c r="EA23" s="62"/>
      <c r="EB23" s="62"/>
      <c r="EC23" s="62"/>
      <c r="ED23" s="62"/>
      <c r="EE23" s="62"/>
      <c r="EF23" s="62"/>
      <c r="EG23" s="62"/>
      <c r="EH23" s="60"/>
      <c r="EI23" s="62"/>
      <c r="EJ23" s="62"/>
      <c r="EK23" s="61"/>
      <c r="EL23" s="70"/>
      <c r="EM23" s="71"/>
      <c r="EN23" s="133">
        <f t="shared" si="55"/>
        <v>3</v>
      </c>
      <c r="EO23" s="61">
        <f t="shared" si="56"/>
        <v>1</v>
      </c>
      <c r="EP23" s="62"/>
      <c r="EQ23" s="72">
        <v>44771</v>
      </c>
      <c r="ER23" s="73"/>
      <c r="ES23" s="62"/>
      <c r="ET23" s="62"/>
      <c r="EU23" s="62"/>
      <c r="EV23" s="62"/>
      <c r="EW23" s="62"/>
      <c r="EX23" s="62"/>
      <c r="EY23" s="61">
        <f t="shared" si="57"/>
        <v>2</v>
      </c>
      <c r="EZ23" s="62">
        <v>46388</v>
      </c>
      <c r="FA23" s="61"/>
      <c r="FB23" s="74"/>
      <c r="FC23" s="62">
        <v>46753</v>
      </c>
      <c r="FD23" s="61"/>
      <c r="FE23" s="61"/>
      <c r="FF23" s="68" t="str">
        <f t="shared" si="58"/>
        <v>FP &amp; Demand</v>
      </c>
      <c r="FG23" s="76">
        <f>IF((MIN(EZ23:FD23))=0,"-",(MIN(EZ23:FD23)))</f>
        <v>46388</v>
      </c>
      <c r="FH23" s="65">
        <f t="shared" si="60"/>
        <v>44350</v>
      </c>
      <c r="FI23" s="76"/>
      <c r="FJ23" s="106">
        <f>FH23+7</f>
        <v>44357</v>
      </c>
      <c r="FK23" s="106">
        <v>44439</v>
      </c>
      <c r="FL23" s="61" t="s">
        <v>299</v>
      </c>
      <c r="FM23" s="61"/>
      <c r="FN23" s="61"/>
      <c r="FO23" s="60"/>
      <c r="FP23" s="110"/>
      <c r="FQ23" s="110"/>
      <c r="FR23" s="61"/>
      <c r="FS23" s="77" t="s">
        <v>257</v>
      </c>
      <c r="FT23" s="61"/>
      <c r="FU23" s="61"/>
      <c r="FV23" s="60"/>
      <c r="FW23" s="61"/>
      <c r="FX23" s="61"/>
      <c r="FY23" s="61"/>
      <c r="FZ23" s="61"/>
      <c r="GA23" s="61"/>
      <c r="GB23" s="61"/>
      <c r="GC23" s="61"/>
      <c r="GD23" s="61"/>
      <c r="GE23" s="61"/>
      <c r="GF23" s="61"/>
      <c r="GG23" s="61"/>
      <c r="GH23" s="61"/>
      <c r="GI23" s="60"/>
      <c r="GJ23" s="62"/>
      <c r="GK23" s="62"/>
      <c r="GL23" s="62"/>
      <c r="GM23" s="62"/>
      <c r="GN23" s="63"/>
      <c r="GO23" s="63"/>
      <c r="GP23" s="62"/>
      <c r="GQ23" s="62"/>
      <c r="GR23" s="62"/>
      <c r="GS23" s="62"/>
      <c r="GT23" s="62"/>
      <c r="GU23" s="62"/>
      <c r="GV23" s="78"/>
      <c r="GW23" s="62"/>
      <c r="GX23" s="62"/>
      <c r="GY23" s="62"/>
      <c r="GZ23" s="62"/>
      <c r="HA23" s="67"/>
      <c r="HB23" s="62"/>
      <c r="HC23" s="107"/>
      <c r="HD23" s="62"/>
      <c r="HE23" s="65"/>
      <c r="HF23" s="62"/>
      <c r="HG23" s="65">
        <f>FJ23+10</f>
        <v>44367</v>
      </c>
      <c r="HH23" s="62"/>
      <c r="HI23" s="61"/>
      <c r="HJ23" s="62"/>
      <c r="HK23" s="107"/>
      <c r="HL23" s="107"/>
      <c r="HM23" s="65">
        <f>IF(GW23="Yes",HE23,HG23+50)</f>
        <v>44417</v>
      </c>
      <c r="HN23" s="63"/>
      <c r="HO23" s="62"/>
      <c r="HP23" s="78"/>
      <c r="HQ23" s="60"/>
      <c r="HR23" s="63"/>
      <c r="HS23" s="66"/>
      <c r="HT23" s="108"/>
      <c r="HU23" s="62"/>
      <c r="HV23" s="109"/>
      <c r="HW23" s="62"/>
      <c r="HX23" s="79"/>
      <c r="HY23" s="62"/>
      <c r="HZ23" s="79"/>
      <c r="IA23" s="60"/>
      <c r="IB23" s="65">
        <f>HM23+10</f>
        <v>44427</v>
      </c>
      <c r="IC23" s="111"/>
      <c r="ID23" s="61"/>
      <c r="IE23" s="61"/>
      <c r="IF23" s="61"/>
      <c r="IG23" s="61"/>
      <c r="IH23" s="61"/>
      <c r="II23" s="61"/>
      <c r="IJ23" s="61"/>
      <c r="IK23" s="61"/>
      <c r="IL23" s="62"/>
      <c r="IM23" s="62"/>
      <c r="IN23" s="62" t="str">
        <f t="shared" si="61"/>
        <v>-</v>
      </c>
      <c r="IO23" s="60"/>
      <c r="IP23" s="65">
        <f>IB23+30</f>
        <v>44457</v>
      </c>
      <c r="IQ23" s="62">
        <f t="shared" si="62"/>
        <v>0</v>
      </c>
      <c r="IR23" s="62"/>
      <c r="IS23" s="62"/>
      <c r="IT23" s="62"/>
      <c r="IU23" s="62"/>
      <c r="IV23" s="62"/>
      <c r="IW23" s="62"/>
      <c r="IX23" s="62"/>
      <c r="IY23" s="62"/>
      <c r="IZ23" s="62"/>
      <c r="JA23" s="62"/>
      <c r="JB23" s="111"/>
      <c r="JC23" s="111"/>
      <c r="JD23" s="111"/>
      <c r="JE23" s="111"/>
      <c r="JF23" s="111"/>
      <c r="JG23" s="62"/>
      <c r="JH23" s="65">
        <v>44771</v>
      </c>
      <c r="JI23" s="67" t="str">
        <f t="shared" si="63"/>
        <v>Q3-2022</v>
      </c>
      <c r="JJ23" s="80">
        <v>44771</v>
      </c>
      <c r="JK23" s="60"/>
      <c r="JL23" s="61"/>
      <c r="JM23" s="64"/>
      <c r="JN23" s="62"/>
      <c r="JO23" s="62" t="s">
        <v>257</v>
      </c>
      <c r="JP23" s="78" t="s">
        <v>278</v>
      </c>
      <c r="JQ23" s="72">
        <v>45392</v>
      </c>
      <c r="JR23" s="60"/>
      <c r="JS23" s="62"/>
      <c r="JT23" s="62"/>
      <c r="JU23" s="62"/>
      <c r="JV23" s="62"/>
      <c r="JW23" s="62"/>
      <c r="JX23" s="62"/>
      <c r="JY23" s="60"/>
      <c r="JZ23" s="61"/>
      <c r="KA23" s="61"/>
      <c r="KB23" s="61"/>
      <c r="KC23" s="61"/>
      <c r="KD23" s="61"/>
      <c r="KE23" s="61"/>
      <c r="KF23" s="60"/>
      <c r="KG23" s="61"/>
      <c r="KH23" s="60"/>
      <c r="KI23" s="81" t="str">
        <f t="shared" si="29"/>
        <v>TDUxxxx</v>
      </c>
      <c r="KJ23" s="61" t="str">
        <f t="shared" si="30"/>
        <v>Live</v>
      </c>
      <c r="KK23" s="61" t="str">
        <f t="shared" si="31"/>
        <v>TDUxxxx</v>
      </c>
      <c r="KL23" s="62">
        <f t="shared" si="32"/>
        <v>44771</v>
      </c>
      <c r="KM23" s="62">
        <f t="shared" si="33"/>
        <v>44771</v>
      </c>
      <c r="KN23" s="61" t="str">
        <f t="shared" si="34"/>
        <v>Lattice</v>
      </c>
      <c r="KO23" s="61" t="str">
        <f t="shared" si="35"/>
        <v>TC68</v>
      </c>
      <c r="KP23" s="131">
        <f t="shared" si="36"/>
        <v>0</v>
      </c>
      <c r="KQ23" s="131" t="str">
        <f t="shared" si="37"/>
        <v>Q3-2022</v>
      </c>
      <c r="KR23" s="61" t="str">
        <f t="shared" si="38"/>
        <v xml:space="preserve">0  Live  UTS  TC68  Q3-2022  </v>
      </c>
      <c r="KS23" s="61" t="str">
        <f t="shared" si="39"/>
        <v>RFI</v>
      </c>
      <c r="KT23" s="61" t="str">
        <f t="shared" si="40"/>
        <v>Site name</v>
      </c>
      <c r="KU23" s="61" t="str">
        <f t="shared" si="41"/>
        <v>Wooden Pole</v>
      </c>
      <c r="KV23" s="61">
        <f t="shared" si="42"/>
        <v>10</v>
      </c>
      <c r="KW23" s="61" t="str">
        <f t="shared" si="43"/>
        <v>Lattice</v>
      </c>
      <c r="KX23" s="61">
        <f t="shared" si="44"/>
        <v>20</v>
      </c>
      <c r="KY23" s="60"/>
      <c r="KZ23" s="60"/>
      <c r="LA23" s="62"/>
      <c r="LB23" s="61"/>
      <c r="LC23" s="62"/>
      <c r="LD23" s="61"/>
      <c r="LE23" s="68" t="str">
        <f t="shared" si="45"/>
        <v>-</v>
      </c>
      <c r="LF23" s="150" t="str">
        <f t="shared" si="46"/>
        <v>-</v>
      </c>
      <c r="LG23" s="60"/>
      <c r="LH23" s="60"/>
      <c r="LI23" s="68">
        <f t="shared" si="47"/>
        <v>58</v>
      </c>
      <c r="LJ23" s="150">
        <f t="shared" si="48"/>
        <v>1.9333333333333333</v>
      </c>
      <c r="LK23" s="60"/>
      <c r="LL23" s="68">
        <f t="shared" si="49"/>
        <v>197</v>
      </c>
      <c r="LM23" s="150">
        <f t="shared" si="50"/>
        <v>6.5666666666666664</v>
      </c>
      <c r="LN23" s="60"/>
      <c r="LO23" s="98">
        <f t="shared" si="51"/>
        <v>44229</v>
      </c>
      <c r="LP23" s="68">
        <f t="shared" si="52"/>
        <v>121</v>
      </c>
      <c r="LQ23" s="150">
        <f t="shared" si="53"/>
        <v>4.0333333333333332</v>
      </c>
      <c r="LR23" s="60"/>
      <c r="LS23" s="98">
        <f t="shared" si="54"/>
        <v>44350</v>
      </c>
      <c r="LT23" s="60"/>
      <c r="LU23" s="60"/>
      <c r="LV23" s="60"/>
      <c r="LW23" s="60"/>
      <c r="LX23" s="60"/>
      <c r="LY23" s="60"/>
      <c r="LZ23" s="60"/>
      <c r="MA23" s="60"/>
      <c r="MB23" s="60"/>
      <c r="MC23" s="60"/>
      <c r="MD23" s="60"/>
      <c r="ME23" s="60"/>
      <c r="MF23" s="60"/>
      <c r="MG23" s="60"/>
      <c r="MH23" s="60"/>
      <c r="MI23" s="60"/>
      <c r="MJ23" s="60"/>
      <c r="MK23" s="60"/>
      <c r="ML23" s="60"/>
      <c r="MM23" s="60"/>
      <c r="MN23" s="60"/>
      <c r="MO23" s="60"/>
    </row>
    <row r="24" spans="2:353" ht="21" customHeight="1" x14ac:dyDescent="0.25">
      <c r="B24" s="58" t="s">
        <v>641</v>
      </c>
      <c r="C24" s="58" t="s">
        <v>633</v>
      </c>
      <c r="D24" s="159" t="s">
        <v>252</v>
      </c>
      <c r="E24" s="159" t="s">
        <v>239</v>
      </c>
      <c r="F24" s="159" t="s">
        <v>485</v>
      </c>
      <c r="G24" s="159"/>
      <c r="H24" s="59"/>
      <c r="I24" s="159" t="s">
        <v>636</v>
      </c>
      <c r="J24" s="159" t="s">
        <v>636</v>
      </c>
      <c r="K24" s="159" t="s">
        <v>636</v>
      </c>
      <c r="L24" s="159" t="s">
        <v>637</v>
      </c>
      <c r="M24" s="159" t="s">
        <v>278</v>
      </c>
      <c r="N24" s="159">
        <v>12</v>
      </c>
      <c r="O24" s="159" t="s">
        <v>567</v>
      </c>
      <c r="P24" s="159">
        <v>12</v>
      </c>
      <c r="Q24" s="159"/>
      <c r="R24" s="160"/>
      <c r="S24" s="159"/>
      <c r="T24" s="159"/>
      <c r="U24" s="61" t="s">
        <v>256</v>
      </c>
      <c r="V24" s="61">
        <v>3</v>
      </c>
      <c r="W24" s="65"/>
      <c r="X24" s="62"/>
      <c r="Y24" s="61" t="s">
        <v>241</v>
      </c>
      <c r="Z24" s="61" t="s">
        <v>242</v>
      </c>
      <c r="AA24" s="61"/>
      <c r="AB24" s="85">
        <f>AR24-60</f>
        <v>46250</v>
      </c>
      <c r="AC24" s="85"/>
      <c r="AD24" s="62"/>
      <c r="AE24" s="63"/>
      <c r="AF24" s="62"/>
      <c r="AG24" s="62"/>
      <c r="AH24" s="62"/>
      <c r="AI24" s="61" t="s">
        <v>257</v>
      </c>
      <c r="AJ24" s="61" t="s">
        <v>258</v>
      </c>
      <c r="AK24" s="62"/>
      <c r="AL24" s="62"/>
      <c r="AM24" s="62"/>
      <c r="AN24" s="64"/>
      <c r="AO24" s="61" t="s">
        <v>246</v>
      </c>
      <c r="AP24" s="61"/>
      <c r="AQ24" s="61" t="s">
        <v>248</v>
      </c>
      <c r="AR24" s="65">
        <v>46310</v>
      </c>
      <c r="AS24" s="62"/>
      <c r="AT24" s="62"/>
      <c r="AU24" s="61"/>
      <c r="AV24" s="61"/>
      <c r="AW24" s="61"/>
      <c r="AX24" s="62"/>
      <c r="AY24" s="62"/>
      <c r="AZ24" s="62"/>
      <c r="BA24" s="62"/>
      <c r="BB24" s="61"/>
      <c r="BC24" s="61"/>
      <c r="BD24" s="65">
        <f>AR24+60</f>
        <v>46370</v>
      </c>
      <c r="BE24" s="62"/>
      <c r="BF24" s="62"/>
      <c r="BG24" s="61"/>
      <c r="BH24" s="65">
        <f>BD24+35</f>
        <v>46405</v>
      </c>
      <c r="BI24" s="62"/>
      <c r="BJ24" s="62"/>
      <c r="BK24" s="61">
        <v>2028</v>
      </c>
      <c r="BL24" s="62"/>
      <c r="BM24" s="62"/>
      <c r="BN24" s="62"/>
      <c r="BO24" s="61"/>
      <c r="BP24" s="65">
        <f>BH24+360</f>
        <v>46765</v>
      </c>
      <c r="BQ24" s="67"/>
      <c r="BR24" s="62"/>
      <c r="BS24" s="61"/>
      <c r="BT24" s="65">
        <f>BP24</f>
        <v>46765</v>
      </c>
      <c r="BU24" s="65" t="s">
        <v>249</v>
      </c>
      <c r="BV24" s="65"/>
      <c r="BW24" s="147"/>
      <c r="BX24" s="65">
        <f t="shared" si="28"/>
        <v>0</v>
      </c>
      <c r="BY24" s="61"/>
      <c r="BZ24" s="61" t="s">
        <v>259</v>
      </c>
      <c r="CA24" s="61"/>
      <c r="CB24" s="62"/>
      <c r="CC24" s="61"/>
      <c r="CD24" s="68" t="s">
        <v>537</v>
      </c>
      <c r="CE24" s="60" t="s">
        <v>260</v>
      </c>
      <c r="CF24" s="61" t="s">
        <v>261</v>
      </c>
      <c r="CG24" s="61" t="s">
        <v>262</v>
      </c>
      <c r="CH24" s="61" t="s">
        <v>263</v>
      </c>
      <c r="CI24" s="78" t="s">
        <v>264</v>
      </c>
      <c r="CJ24" s="62"/>
      <c r="CK24" s="61" t="s">
        <v>265</v>
      </c>
      <c r="CL24" s="69">
        <v>44501</v>
      </c>
      <c r="CM24" s="61"/>
      <c r="CN24" s="61"/>
      <c r="CO24" s="61"/>
      <c r="CP24" s="61"/>
      <c r="CQ24" s="64" t="s">
        <v>266</v>
      </c>
      <c r="CR24" s="60"/>
      <c r="CS24" s="70"/>
      <c r="CT24" s="61"/>
      <c r="CU24" s="61"/>
      <c r="CV24" s="61"/>
      <c r="CW24" s="61"/>
      <c r="CX24" s="61"/>
      <c r="CY24" s="61"/>
      <c r="CZ24" s="61"/>
      <c r="DA24" s="61"/>
      <c r="DB24" s="61"/>
      <c r="DC24" s="61"/>
      <c r="DD24" s="61"/>
      <c r="DE24" s="61"/>
      <c r="DF24" s="61"/>
      <c r="DG24" s="64"/>
      <c r="DH24" s="60"/>
      <c r="DI24" s="62"/>
      <c r="DJ24" s="62"/>
      <c r="DK24" s="62"/>
      <c r="DL24" s="62"/>
      <c r="DM24" s="62"/>
      <c r="DN24" s="62"/>
      <c r="DO24" s="62"/>
      <c r="DP24" s="62"/>
      <c r="DQ24" s="62"/>
      <c r="DR24" s="62"/>
      <c r="DS24" s="62"/>
      <c r="DT24" s="62"/>
      <c r="DU24" s="62"/>
      <c r="DV24" s="62"/>
      <c r="DW24" s="62"/>
      <c r="DX24" s="62"/>
      <c r="DY24" s="62"/>
      <c r="DZ24" s="62"/>
      <c r="EA24" s="62"/>
      <c r="EB24" s="62"/>
      <c r="EC24" s="62"/>
      <c r="ED24" s="62"/>
      <c r="EE24" s="62"/>
      <c r="EF24" s="62"/>
      <c r="EG24" s="62"/>
      <c r="EH24" s="60"/>
      <c r="EI24" s="62"/>
      <c r="EJ24" s="62"/>
      <c r="EK24" s="61"/>
      <c r="EL24" s="70"/>
      <c r="EM24" s="71"/>
      <c r="EN24" s="133">
        <f t="shared" si="55"/>
        <v>1</v>
      </c>
      <c r="EO24" s="61">
        <f t="shared" si="56"/>
        <v>0</v>
      </c>
      <c r="EP24" s="72" t="s">
        <v>340</v>
      </c>
      <c r="EQ24" s="62"/>
      <c r="ER24" s="73"/>
      <c r="ES24" s="62"/>
      <c r="ET24" s="62"/>
      <c r="EU24" s="62"/>
      <c r="EV24" s="62"/>
      <c r="EW24" s="62"/>
      <c r="EX24" s="62"/>
      <c r="EY24" s="61">
        <f t="shared" si="57"/>
        <v>1</v>
      </c>
      <c r="EZ24" s="61"/>
      <c r="FA24" s="117">
        <v>46753</v>
      </c>
      <c r="FB24" s="90"/>
      <c r="FC24" s="90"/>
      <c r="FD24" s="61"/>
      <c r="FE24" s="61"/>
      <c r="FF24" s="68" t="str">
        <f t="shared" si="58"/>
        <v>No FP / No Demand</v>
      </c>
      <c r="FG24" s="76">
        <f>IF((MIN(EZ24:FD24))=0,"-",(MIN(EZ24:FD24)))</f>
        <v>46753</v>
      </c>
      <c r="FH24" s="65">
        <f t="shared" si="60"/>
        <v>46765</v>
      </c>
      <c r="FI24" s="76" t="s">
        <v>294</v>
      </c>
      <c r="FJ24" s="62">
        <f>FA24</f>
        <v>46753</v>
      </c>
      <c r="FK24" s="62"/>
      <c r="FL24" s="61"/>
      <c r="FM24" s="61"/>
      <c r="FN24" s="61"/>
      <c r="FO24" s="60"/>
      <c r="FP24" s="64"/>
      <c r="FQ24" s="64"/>
      <c r="FR24" s="61"/>
      <c r="FS24" s="61"/>
      <c r="FT24" s="61"/>
      <c r="FU24" s="61"/>
      <c r="FV24" s="60"/>
      <c r="FW24" s="61"/>
      <c r="FX24" s="61"/>
      <c r="FY24" s="61"/>
      <c r="FZ24" s="61"/>
      <c r="GA24" s="61"/>
      <c r="GB24" s="61"/>
      <c r="GC24" s="61"/>
      <c r="GD24" s="61"/>
      <c r="GE24" s="61"/>
      <c r="GF24" s="61"/>
      <c r="GG24" s="61"/>
      <c r="GH24" s="61"/>
      <c r="GI24" s="60"/>
      <c r="GJ24" s="62"/>
      <c r="GK24" s="62"/>
      <c r="GL24" s="62"/>
      <c r="GM24" s="62"/>
      <c r="GN24" s="63"/>
      <c r="GO24" s="63"/>
      <c r="GP24" s="62"/>
      <c r="GQ24" s="62"/>
      <c r="GR24" s="62"/>
      <c r="GS24" s="62"/>
      <c r="GT24" s="62"/>
      <c r="GU24" s="62"/>
      <c r="GV24" s="78"/>
      <c r="GW24" s="62"/>
      <c r="GX24" s="62"/>
      <c r="GY24" s="62"/>
      <c r="GZ24" s="62"/>
      <c r="HA24" s="67"/>
      <c r="HB24" s="62"/>
      <c r="HC24" s="62"/>
      <c r="HD24" s="62"/>
      <c r="HE24" s="65"/>
      <c r="HF24" s="107"/>
      <c r="HG24" s="65"/>
      <c r="HH24" s="62"/>
      <c r="HI24" s="61"/>
      <c r="HJ24" s="62"/>
      <c r="HK24" s="107"/>
      <c r="HL24" s="112"/>
      <c r="HM24" s="65"/>
      <c r="HN24" s="63"/>
      <c r="HO24" s="62"/>
      <c r="HP24" s="78"/>
      <c r="HQ24" s="60"/>
      <c r="HR24" s="63"/>
      <c r="HS24" s="62"/>
      <c r="HT24" s="113"/>
      <c r="HU24" s="106"/>
      <c r="HV24" s="62"/>
      <c r="HW24" s="106"/>
      <c r="HX24" s="79"/>
      <c r="HY24" s="106"/>
      <c r="HZ24" s="79"/>
      <c r="IA24" s="60"/>
      <c r="IB24" s="65"/>
      <c r="IC24" s="62"/>
      <c r="ID24" s="61"/>
      <c r="IE24" s="61"/>
      <c r="IF24" s="61"/>
      <c r="IG24" s="61"/>
      <c r="IH24" s="61"/>
      <c r="II24" s="61"/>
      <c r="IJ24" s="61"/>
      <c r="IK24" s="61"/>
      <c r="IL24" s="62"/>
      <c r="IM24" s="62"/>
      <c r="IN24" s="62" t="str">
        <f t="shared" si="61"/>
        <v>-</v>
      </c>
      <c r="IO24" s="60"/>
      <c r="IP24" s="65"/>
      <c r="IQ24" s="62">
        <f t="shared" si="62"/>
        <v>0</v>
      </c>
      <c r="IR24" s="66"/>
      <c r="IS24" s="62"/>
      <c r="IT24" s="62"/>
      <c r="IU24" s="62"/>
      <c r="IV24" s="66"/>
      <c r="IW24" s="62"/>
      <c r="IX24" s="62"/>
      <c r="IY24" s="66"/>
      <c r="IZ24" s="62"/>
      <c r="JA24" s="62"/>
      <c r="JB24" s="109"/>
      <c r="JC24" s="62"/>
      <c r="JD24" s="62"/>
      <c r="JE24" s="62"/>
      <c r="JF24" s="62"/>
      <c r="JG24" s="62"/>
      <c r="JH24" s="65">
        <f>FJ24+120</f>
        <v>46873</v>
      </c>
      <c r="JI24" s="67" t="str">
        <f t="shared" si="63"/>
        <v>Q2-2028</v>
      </c>
      <c r="JJ24" s="62"/>
      <c r="JK24" s="60"/>
      <c r="JL24" s="61"/>
      <c r="JM24" s="64"/>
      <c r="JN24" s="62"/>
      <c r="JO24" s="62"/>
      <c r="JP24" s="78"/>
      <c r="JQ24" s="61"/>
      <c r="JR24" s="60"/>
      <c r="JS24" s="62"/>
      <c r="JT24" s="62"/>
      <c r="JU24" s="62"/>
      <c r="JV24" s="62"/>
      <c r="JW24" s="62"/>
      <c r="JX24" s="62"/>
      <c r="JY24" s="60"/>
      <c r="JZ24" s="61"/>
      <c r="KA24" s="61"/>
      <c r="KB24" s="61"/>
      <c r="KC24" s="61"/>
      <c r="KD24" s="61"/>
      <c r="KE24" s="61"/>
      <c r="KF24" s="60"/>
      <c r="KG24" s="61"/>
      <c r="KH24" s="60"/>
      <c r="KI24" s="81" t="str">
        <f t="shared" si="29"/>
        <v/>
      </c>
      <c r="KJ24" s="61" t="str">
        <f t="shared" si="30"/>
        <v>Not Gated</v>
      </c>
      <c r="KK24" s="61" t="str">
        <f t="shared" si="31"/>
        <v/>
      </c>
      <c r="KL24" s="62" t="str">
        <f t="shared" si="32"/>
        <v/>
      </c>
      <c r="KM24" s="62" t="str">
        <f t="shared" si="33"/>
        <v/>
      </c>
      <c r="KN24" s="61" t="str">
        <f t="shared" si="34"/>
        <v>Modular Monopole</v>
      </c>
      <c r="KO24" s="61" t="str">
        <f t="shared" si="35"/>
        <v>TC68</v>
      </c>
      <c r="KP24" s="131" t="str">
        <f t="shared" si="36"/>
        <v>No FP OPW</v>
      </c>
      <c r="KQ24" s="131" t="str">
        <f t="shared" si="37"/>
        <v>No Forcast Date</v>
      </c>
      <c r="KR24" s="61" t="str">
        <f t="shared" si="38"/>
        <v xml:space="preserve">No FP OPW  Not Gated  UTS  TC68  No Forcast Date  </v>
      </c>
      <c r="KS24" s="61">
        <f t="shared" si="39"/>
        <v>0</v>
      </c>
      <c r="KT24" s="61" t="str">
        <f t="shared" si="40"/>
        <v/>
      </c>
      <c r="KU24" s="61" t="str">
        <f t="shared" si="41"/>
        <v>Wooden Pole</v>
      </c>
      <c r="KV24" s="61">
        <f t="shared" si="42"/>
        <v>12</v>
      </c>
      <c r="KW24" s="61" t="str">
        <f t="shared" si="43"/>
        <v>Modular Monopole</v>
      </c>
      <c r="KX24" s="61">
        <f t="shared" si="44"/>
        <v>12</v>
      </c>
      <c r="KY24" s="60"/>
      <c r="KZ24" s="60"/>
      <c r="LA24" s="62"/>
      <c r="LB24" s="61"/>
      <c r="LC24" s="62"/>
      <c r="LD24" s="61"/>
      <c r="LE24" s="68" t="str">
        <f t="shared" si="45"/>
        <v>-</v>
      </c>
      <c r="LF24" s="150" t="str">
        <f t="shared" si="46"/>
        <v>-</v>
      </c>
      <c r="LG24" s="60"/>
      <c r="LH24" s="60"/>
      <c r="LI24" s="68" t="str">
        <f t="shared" si="47"/>
        <v>-</v>
      </c>
      <c r="LJ24" s="150" t="str">
        <f t="shared" si="48"/>
        <v>-</v>
      </c>
      <c r="LK24" s="60"/>
      <c r="LL24" s="68" t="str">
        <f t="shared" si="49"/>
        <v>-</v>
      </c>
      <c r="LM24" s="150" t="str">
        <f t="shared" si="50"/>
        <v>-</v>
      </c>
      <c r="LN24" s="60"/>
      <c r="LO24" s="98" t="str">
        <f t="shared" si="51"/>
        <v>-</v>
      </c>
      <c r="LP24" s="68" t="str">
        <f t="shared" si="52"/>
        <v>-</v>
      </c>
      <c r="LQ24" s="150" t="str">
        <f t="shared" si="53"/>
        <v>-</v>
      </c>
      <c r="LR24" s="60"/>
      <c r="LS24" s="98" t="str">
        <f t="shared" si="54"/>
        <v>-</v>
      </c>
      <c r="LT24" s="60"/>
      <c r="LU24" s="60"/>
      <c r="LV24" s="60"/>
      <c r="LW24" s="60"/>
      <c r="LX24" s="60"/>
      <c r="LY24" s="60"/>
      <c r="LZ24" s="60"/>
      <c r="MA24" s="60"/>
      <c r="MB24" s="60"/>
      <c r="MC24" s="60"/>
      <c r="MD24" s="60"/>
      <c r="ME24" s="60"/>
      <c r="MF24" s="60"/>
      <c r="MG24" s="60"/>
      <c r="MH24" s="60"/>
      <c r="MI24" s="60"/>
      <c r="MJ24" s="60"/>
      <c r="MK24" s="60"/>
      <c r="ML24" s="60"/>
      <c r="MM24" s="60"/>
      <c r="MN24" s="60"/>
      <c r="MO24" s="60"/>
    </row>
    <row r="25" spans="2:353" ht="21" customHeight="1" x14ac:dyDescent="0.25">
      <c r="B25" s="84" t="s">
        <v>642</v>
      </c>
      <c r="C25" s="58" t="s">
        <v>633</v>
      </c>
      <c r="D25" s="159" t="s">
        <v>252</v>
      </c>
      <c r="E25" s="159" t="s">
        <v>239</v>
      </c>
      <c r="F25" s="159" t="s">
        <v>466</v>
      </c>
      <c r="G25" s="159"/>
      <c r="H25" s="59"/>
      <c r="I25" s="159" t="s">
        <v>636</v>
      </c>
      <c r="J25" s="159" t="s">
        <v>636</v>
      </c>
      <c r="K25" s="159" t="s">
        <v>636</v>
      </c>
      <c r="L25" s="159" t="s">
        <v>637</v>
      </c>
      <c r="M25" s="159" t="s">
        <v>278</v>
      </c>
      <c r="N25" s="159">
        <v>12</v>
      </c>
      <c r="O25" s="159" t="s">
        <v>240</v>
      </c>
      <c r="P25" s="159">
        <v>18</v>
      </c>
      <c r="Q25" s="159"/>
      <c r="R25" s="160"/>
      <c r="S25" s="159"/>
      <c r="T25" s="159" t="s">
        <v>403</v>
      </c>
      <c r="U25" s="61" t="s">
        <v>256</v>
      </c>
      <c r="V25" s="61">
        <v>3</v>
      </c>
      <c r="W25" s="65"/>
      <c r="X25" s="72">
        <v>44651</v>
      </c>
      <c r="Y25" s="61" t="s">
        <v>305</v>
      </c>
      <c r="Z25" s="61" t="s">
        <v>306</v>
      </c>
      <c r="AA25" s="61" t="s">
        <v>243</v>
      </c>
      <c r="AB25" s="72">
        <v>44651</v>
      </c>
      <c r="AC25" s="72">
        <v>44670</v>
      </c>
      <c r="AD25" s="72"/>
      <c r="AE25" s="63"/>
      <c r="AF25" s="72">
        <v>44694</v>
      </c>
      <c r="AG25" s="62"/>
      <c r="AH25" s="62"/>
      <c r="AI25" s="61"/>
      <c r="AJ25" s="61"/>
      <c r="AK25" s="62"/>
      <c r="AL25" s="62"/>
      <c r="AM25" s="62"/>
      <c r="AN25" s="64"/>
      <c r="AO25" s="61" t="s">
        <v>246</v>
      </c>
      <c r="AP25" s="61"/>
      <c r="AQ25" s="61"/>
      <c r="AR25" s="65">
        <v>44699</v>
      </c>
      <c r="AS25" s="72">
        <v>44699</v>
      </c>
      <c r="AT25" s="72">
        <v>44701</v>
      </c>
      <c r="AU25" s="61">
        <v>22649</v>
      </c>
      <c r="AV25" s="61" t="s">
        <v>269</v>
      </c>
      <c r="AW25" s="61" t="s">
        <v>243</v>
      </c>
      <c r="AX25" s="62" t="s">
        <v>243</v>
      </c>
      <c r="AY25" s="62" t="s">
        <v>243</v>
      </c>
      <c r="AZ25" s="62" t="s">
        <v>243</v>
      </c>
      <c r="BA25" s="61" t="s">
        <v>243</v>
      </c>
      <c r="BB25" s="61" t="s">
        <v>243</v>
      </c>
      <c r="BC25" s="61" t="s">
        <v>243</v>
      </c>
      <c r="BD25" s="65">
        <v>44769</v>
      </c>
      <c r="BE25" s="72">
        <v>44755</v>
      </c>
      <c r="BF25" s="75" t="s">
        <v>307</v>
      </c>
      <c r="BG25" s="61">
        <v>2</v>
      </c>
      <c r="BH25" s="65">
        <v>44804</v>
      </c>
      <c r="BI25" s="62"/>
      <c r="BJ25" s="62" t="s">
        <v>344</v>
      </c>
      <c r="BK25" s="61">
        <v>2024</v>
      </c>
      <c r="BL25" s="62">
        <v>44782</v>
      </c>
      <c r="BM25" s="72">
        <v>44782</v>
      </c>
      <c r="BN25" s="62"/>
      <c r="BO25" s="61">
        <v>314308</v>
      </c>
      <c r="BP25" s="65">
        <v>45334</v>
      </c>
      <c r="BQ25" s="67"/>
      <c r="BR25" s="72">
        <v>45225</v>
      </c>
      <c r="BS25" s="88" t="s">
        <v>307</v>
      </c>
      <c r="BT25" s="65">
        <v>45231</v>
      </c>
      <c r="BU25" s="65" t="s">
        <v>249</v>
      </c>
      <c r="BV25" s="65">
        <v>45225</v>
      </c>
      <c r="BW25" s="147" t="s">
        <v>307</v>
      </c>
      <c r="BX25" s="65">
        <f t="shared" si="28"/>
        <v>0</v>
      </c>
      <c r="BY25" s="61" t="s">
        <v>363</v>
      </c>
      <c r="BZ25" s="61" t="s">
        <v>308</v>
      </c>
      <c r="CA25" s="61"/>
      <c r="CB25" s="72">
        <v>45247</v>
      </c>
      <c r="CC25" s="61"/>
      <c r="CD25" s="68" t="s">
        <v>575</v>
      </c>
      <c r="CE25" s="60" t="s">
        <v>384</v>
      </c>
      <c r="CF25" s="61"/>
      <c r="CG25" s="61"/>
      <c r="CH25" s="64"/>
      <c r="CI25" s="64"/>
      <c r="CJ25" s="64"/>
      <c r="CK25" s="64" t="s">
        <v>265</v>
      </c>
      <c r="CL25" s="138">
        <v>44621</v>
      </c>
      <c r="CM25" s="64"/>
      <c r="CN25" s="64"/>
      <c r="CO25" s="70"/>
      <c r="CP25" s="64"/>
      <c r="CQ25" s="64"/>
      <c r="CR25" s="60"/>
      <c r="CS25" s="70" t="s">
        <v>309</v>
      </c>
      <c r="CT25" s="61" t="s">
        <v>269</v>
      </c>
      <c r="CU25" s="82" t="s">
        <v>275</v>
      </c>
      <c r="CV25" s="82" t="s">
        <v>275</v>
      </c>
      <c r="CW25" s="82" t="s">
        <v>275</v>
      </c>
      <c r="CX25" s="61" t="s">
        <v>269</v>
      </c>
      <c r="CY25" s="61" t="s">
        <v>269</v>
      </c>
      <c r="CZ25" s="61" t="s">
        <v>269</v>
      </c>
      <c r="DA25" s="61"/>
      <c r="DB25" s="61"/>
      <c r="DC25" s="61"/>
      <c r="DD25" s="61"/>
      <c r="DE25" s="61"/>
      <c r="DF25" s="61" t="s">
        <v>269</v>
      </c>
      <c r="DG25" s="64" t="s">
        <v>269</v>
      </c>
      <c r="DH25" s="60"/>
      <c r="DI25" s="78"/>
      <c r="DJ25" s="78"/>
      <c r="DK25" s="83"/>
      <c r="DL25" s="83"/>
      <c r="DM25" s="83">
        <v>45266</v>
      </c>
      <c r="DN25" s="83">
        <v>45301</v>
      </c>
      <c r="DO25" s="83">
        <v>45266</v>
      </c>
      <c r="DP25" s="83">
        <v>45301</v>
      </c>
      <c r="DQ25" s="78"/>
      <c r="DR25" s="78"/>
      <c r="DS25" s="78"/>
      <c r="DT25" s="78"/>
      <c r="DU25" s="78"/>
      <c r="DV25" s="78"/>
      <c r="DW25" s="78"/>
      <c r="DX25" s="78"/>
      <c r="DY25" s="78"/>
      <c r="DZ25" s="78"/>
      <c r="EA25" s="78"/>
      <c r="EB25" s="78"/>
      <c r="EC25" s="78"/>
      <c r="ED25" s="78"/>
      <c r="EE25" s="78"/>
      <c r="EF25" s="78"/>
      <c r="EG25" s="78"/>
      <c r="EH25" s="60"/>
      <c r="EI25" s="83">
        <v>45266</v>
      </c>
      <c r="EJ25" s="83">
        <v>45302</v>
      </c>
      <c r="EK25" s="61"/>
      <c r="EL25" s="70"/>
      <c r="EM25" s="71"/>
      <c r="EN25" s="133">
        <f t="shared" si="55"/>
        <v>3</v>
      </c>
      <c r="EO25" s="61">
        <f t="shared" si="56"/>
        <v>1</v>
      </c>
      <c r="EP25" s="62"/>
      <c r="EQ25" s="62">
        <v>44477</v>
      </c>
      <c r="ER25" s="73"/>
      <c r="ES25" s="62"/>
      <c r="ET25" s="62"/>
      <c r="EU25" s="62"/>
      <c r="EV25" s="62"/>
      <c r="EW25" s="62"/>
      <c r="EX25" s="62"/>
      <c r="EY25" s="61">
        <f t="shared" si="57"/>
        <v>2</v>
      </c>
      <c r="EZ25" s="117">
        <v>47119</v>
      </c>
      <c r="FA25" s="62"/>
      <c r="FB25" s="73"/>
      <c r="FC25" s="62">
        <v>46753</v>
      </c>
      <c r="FD25" s="61"/>
      <c r="FE25" s="61"/>
      <c r="FF25" s="68" t="str">
        <f t="shared" si="58"/>
        <v>No FP &amp; Demand</v>
      </c>
      <c r="FG25" s="76">
        <v>46388</v>
      </c>
      <c r="FH25" s="65">
        <f t="shared" si="60"/>
        <v>45231</v>
      </c>
      <c r="FI25" s="76" t="s">
        <v>310</v>
      </c>
      <c r="FJ25" s="72">
        <v>46266</v>
      </c>
      <c r="FK25" s="72">
        <f>FJ25+7</f>
        <v>46273</v>
      </c>
      <c r="FL25" s="82" t="s">
        <v>285</v>
      </c>
      <c r="FM25" s="61"/>
      <c r="FN25" s="61" t="s">
        <v>286</v>
      </c>
      <c r="FO25" s="60"/>
      <c r="FP25" s="64" t="s">
        <v>311</v>
      </c>
      <c r="FQ25" s="64"/>
      <c r="FR25" s="64" t="s">
        <v>287</v>
      </c>
      <c r="FS25" s="103" t="s">
        <v>269</v>
      </c>
      <c r="FT25" s="103" t="s">
        <v>312</v>
      </c>
      <c r="FU25" s="64"/>
      <c r="FV25" s="60"/>
      <c r="FW25" s="91" t="s">
        <v>288</v>
      </c>
      <c r="FX25" s="61"/>
      <c r="FY25" s="61"/>
      <c r="FZ25" s="61"/>
      <c r="GA25" s="61"/>
      <c r="GB25" s="61"/>
      <c r="GC25" s="61"/>
      <c r="GD25" s="61"/>
      <c r="GE25" s="61"/>
      <c r="GF25" s="61"/>
      <c r="GG25" s="61"/>
      <c r="GH25" s="61"/>
      <c r="GI25" s="60"/>
      <c r="GJ25" s="62"/>
      <c r="GK25" s="62"/>
      <c r="GL25" s="62"/>
      <c r="GM25" s="62"/>
      <c r="GN25" s="63"/>
      <c r="GO25" s="63"/>
      <c r="GP25" s="104" t="s">
        <v>288</v>
      </c>
      <c r="GQ25" s="62" t="s">
        <v>257</v>
      </c>
      <c r="GR25" s="72">
        <v>45264</v>
      </c>
      <c r="GS25" s="62"/>
      <c r="GT25" s="104" t="s">
        <v>288</v>
      </c>
      <c r="GU25" s="62"/>
      <c r="GV25" s="78"/>
      <c r="GW25" s="126" t="s">
        <v>257</v>
      </c>
      <c r="GX25" s="72">
        <v>45264</v>
      </c>
      <c r="GY25" s="72">
        <v>45264</v>
      </c>
      <c r="GZ25" s="158"/>
      <c r="HA25" s="65"/>
      <c r="HB25" s="62"/>
      <c r="HC25" s="107"/>
      <c r="HD25" s="94"/>
      <c r="HE25" s="65"/>
      <c r="HF25" s="107"/>
      <c r="HG25" s="65"/>
      <c r="HH25" s="94"/>
      <c r="HI25" s="61"/>
      <c r="HJ25" s="62"/>
      <c r="HK25" s="107"/>
      <c r="HL25" s="112"/>
      <c r="HM25" s="65"/>
      <c r="HN25" s="63"/>
      <c r="HO25" s="62"/>
      <c r="HP25" s="78"/>
      <c r="HQ25" s="60"/>
      <c r="HR25" s="63"/>
      <c r="HS25" s="62"/>
      <c r="HT25" s="63"/>
      <c r="HU25" s="62"/>
      <c r="HV25" s="62"/>
      <c r="HW25" s="62"/>
      <c r="HX25" s="79"/>
      <c r="HY25" s="62"/>
      <c r="HZ25" s="79"/>
      <c r="IA25" s="60"/>
      <c r="IB25" s="65">
        <f>HM25+10</f>
        <v>10</v>
      </c>
      <c r="IC25" s="62"/>
      <c r="ID25" s="61"/>
      <c r="IE25" s="61"/>
      <c r="IF25" s="61"/>
      <c r="IG25" s="61"/>
      <c r="IH25" s="61"/>
      <c r="II25" s="61"/>
      <c r="IJ25" s="61"/>
      <c r="IK25" s="61"/>
      <c r="IL25" s="62"/>
      <c r="IM25" s="62"/>
      <c r="IN25" s="72">
        <f t="shared" si="61"/>
        <v>45302</v>
      </c>
      <c r="IO25" s="60"/>
      <c r="IP25" s="65">
        <f>IB25+30</f>
        <v>40</v>
      </c>
      <c r="IQ25" s="62">
        <f t="shared" si="62"/>
        <v>0</v>
      </c>
      <c r="IR25" s="103" t="s">
        <v>313</v>
      </c>
      <c r="IS25" s="62"/>
      <c r="IT25" s="62"/>
      <c r="IU25" s="62"/>
      <c r="IV25" s="62"/>
      <c r="IW25" s="62"/>
      <c r="IX25" s="107"/>
      <c r="IY25" s="107"/>
      <c r="IZ25" s="107"/>
      <c r="JA25" s="107"/>
      <c r="JB25" s="111"/>
      <c r="JC25" s="111"/>
      <c r="JD25" s="111"/>
      <c r="JE25" s="111"/>
      <c r="JF25" s="111"/>
      <c r="JG25" s="62"/>
      <c r="JH25" s="65">
        <f>FK25+180</f>
        <v>46453</v>
      </c>
      <c r="JI25" s="67" t="str">
        <f t="shared" si="63"/>
        <v>Q1-2027</v>
      </c>
      <c r="JJ25" s="62"/>
      <c r="JK25" s="60"/>
      <c r="JL25" s="61" t="s">
        <v>257</v>
      </c>
      <c r="JM25" s="64" t="s">
        <v>634</v>
      </c>
      <c r="JN25" s="62"/>
      <c r="JO25" s="62"/>
      <c r="JP25" s="78" t="s">
        <v>278</v>
      </c>
      <c r="JQ25" s="61"/>
      <c r="JR25" s="60"/>
      <c r="JS25" s="62"/>
      <c r="JT25" s="62"/>
      <c r="JU25" s="62"/>
      <c r="JV25" s="62"/>
      <c r="JW25" s="62"/>
      <c r="JX25" s="62"/>
      <c r="JY25" s="60"/>
      <c r="JZ25" s="61"/>
      <c r="KA25" s="61"/>
      <c r="KB25" s="61"/>
      <c r="KC25" s="61"/>
      <c r="KD25" s="61"/>
      <c r="KE25" s="61"/>
      <c r="KF25" s="60"/>
      <c r="KG25" s="61"/>
      <c r="KH25" s="60"/>
      <c r="KI25" s="81" t="str">
        <f t="shared" si="29"/>
        <v>TWWxxxx</v>
      </c>
      <c r="KJ25" s="61" t="str">
        <f t="shared" si="30"/>
        <v>Live</v>
      </c>
      <c r="KK25" s="61" t="str">
        <f t="shared" si="31"/>
        <v>TWWxxxx</v>
      </c>
      <c r="KL25" s="62">
        <f t="shared" si="32"/>
        <v>46453</v>
      </c>
      <c r="KM25" s="62" t="str">
        <f t="shared" si="33"/>
        <v/>
      </c>
      <c r="KN25" s="61" t="str">
        <f t="shared" si="34"/>
        <v>Monopole</v>
      </c>
      <c r="KO25" s="61" t="str">
        <f t="shared" si="35"/>
        <v>TC68</v>
      </c>
      <c r="KP25" s="131" t="str">
        <f t="shared" si="36"/>
        <v>Stop - JR</v>
      </c>
      <c r="KQ25" s="131" t="str">
        <f t="shared" si="37"/>
        <v>Q1-2027</v>
      </c>
      <c r="KR25" s="61" t="str">
        <f t="shared" si="38"/>
        <v xml:space="preserve">Stop - JR  Live  UTS  TC68  Q1-2027  </v>
      </c>
      <c r="KS25" s="61" t="str">
        <f t="shared" si="39"/>
        <v>Stop</v>
      </c>
      <c r="KT25" s="61" t="str">
        <f t="shared" si="40"/>
        <v>Site name</v>
      </c>
      <c r="KU25" s="61" t="str">
        <f t="shared" si="41"/>
        <v>Wooden Pole</v>
      </c>
      <c r="KV25" s="61">
        <f t="shared" si="42"/>
        <v>12</v>
      </c>
      <c r="KW25" s="61" t="str">
        <f t="shared" si="43"/>
        <v>Monopole</v>
      </c>
      <c r="KX25" s="61">
        <f t="shared" si="44"/>
        <v>18</v>
      </c>
      <c r="KY25" s="60"/>
      <c r="KZ25" s="60"/>
      <c r="LA25" s="62">
        <v>45280</v>
      </c>
      <c r="LB25" s="61" t="s">
        <v>536</v>
      </c>
      <c r="LC25" s="62">
        <v>45579</v>
      </c>
      <c r="LD25" s="61" t="s">
        <v>614</v>
      </c>
      <c r="LE25" s="68">
        <f t="shared" si="45"/>
        <v>299</v>
      </c>
      <c r="LF25" s="150">
        <f t="shared" si="46"/>
        <v>9.9666666666666668</v>
      </c>
      <c r="LG25" s="60"/>
      <c r="LH25" s="60"/>
      <c r="LI25" s="68">
        <f t="shared" si="47"/>
        <v>56</v>
      </c>
      <c r="LJ25" s="150">
        <f t="shared" si="48"/>
        <v>1.8666666666666667</v>
      </c>
      <c r="LK25" s="60"/>
      <c r="LL25" s="68">
        <f t="shared" si="49"/>
        <v>526</v>
      </c>
      <c r="LM25" s="150">
        <f t="shared" si="50"/>
        <v>17.533333333333335</v>
      </c>
      <c r="LN25" s="60"/>
      <c r="LO25" s="98">
        <f t="shared" si="51"/>
        <v>44782</v>
      </c>
      <c r="LP25" s="68">
        <f t="shared" si="52"/>
        <v>443</v>
      </c>
      <c r="LQ25" s="150">
        <f t="shared" si="53"/>
        <v>14.766666666666667</v>
      </c>
      <c r="LR25" s="60"/>
      <c r="LS25" s="98">
        <f t="shared" si="54"/>
        <v>45225</v>
      </c>
      <c r="LT25" s="60"/>
      <c r="LU25" s="60"/>
      <c r="LV25" s="60"/>
      <c r="LW25" s="60"/>
      <c r="LX25" s="60"/>
      <c r="LY25" s="60"/>
      <c r="LZ25" s="60"/>
      <c r="MA25" s="60"/>
      <c r="MB25" s="60"/>
      <c r="MC25" s="60"/>
      <c r="MD25" s="60"/>
      <c r="ME25" s="60"/>
      <c r="MF25" s="60"/>
      <c r="MG25" s="60"/>
      <c r="MH25" s="60"/>
      <c r="MI25" s="60"/>
      <c r="MJ25" s="60"/>
      <c r="MK25" s="60"/>
      <c r="ML25" s="60"/>
      <c r="MM25" s="60"/>
      <c r="MN25" s="60"/>
      <c r="MO25" s="60"/>
    </row>
    <row r="26" spans="2:353" ht="21" customHeight="1" x14ac:dyDescent="0.25">
      <c r="B26" s="84" t="s">
        <v>642</v>
      </c>
      <c r="C26" s="58" t="s">
        <v>633</v>
      </c>
      <c r="D26" s="159" t="s">
        <v>325</v>
      </c>
      <c r="E26" s="159">
        <v>108</v>
      </c>
      <c r="F26" s="159" t="s">
        <v>459</v>
      </c>
      <c r="G26" s="159"/>
      <c r="H26" s="59"/>
      <c r="I26" s="159" t="s">
        <v>636</v>
      </c>
      <c r="J26" s="159" t="s">
        <v>636</v>
      </c>
      <c r="K26" s="159" t="s">
        <v>636</v>
      </c>
      <c r="L26" s="159" t="s">
        <v>637</v>
      </c>
      <c r="M26" s="159" t="s">
        <v>278</v>
      </c>
      <c r="N26" s="159">
        <v>10</v>
      </c>
      <c r="O26" s="159" t="s">
        <v>255</v>
      </c>
      <c r="P26" s="159">
        <v>20</v>
      </c>
      <c r="Q26" s="159"/>
      <c r="R26" s="160"/>
      <c r="S26" s="159" t="s">
        <v>630</v>
      </c>
      <c r="T26" s="159"/>
      <c r="U26" s="61" t="s">
        <v>326</v>
      </c>
      <c r="V26" s="61">
        <v>1</v>
      </c>
      <c r="W26" s="65"/>
      <c r="X26" s="72" t="s">
        <v>257</v>
      </c>
      <c r="Y26" s="61" t="s">
        <v>305</v>
      </c>
      <c r="Z26" s="61" t="s">
        <v>242</v>
      </c>
      <c r="AA26" s="61">
        <v>2500</v>
      </c>
      <c r="AB26" s="72">
        <v>43759</v>
      </c>
      <c r="AC26" s="72">
        <v>44054</v>
      </c>
      <c r="AD26" s="72"/>
      <c r="AE26" s="63"/>
      <c r="AF26" s="72">
        <v>44088</v>
      </c>
      <c r="AG26" s="62"/>
      <c r="AH26" s="72"/>
      <c r="AI26" s="61"/>
      <c r="AJ26" s="61"/>
      <c r="AK26" s="62"/>
      <c r="AL26" s="62"/>
      <c r="AM26" s="62"/>
      <c r="AN26" s="64"/>
      <c r="AO26" s="61" t="s">
        <v>271</v>
      </c>
      <c r="AP26" s="61"/>
      <c r="AQ26" s="61"/>
      <c r="AR26" s="65">
        <v>44092</v>
      </c>
      <c r="AS26" s="139">
        <v>44092</v>
      </c>
      <c r="AT26" s="72" t="s">
        <v>257</v>
      </c>
      <c r="AU26" s="61">
        <v>206114</v>
      </c>
      <c r="AV26" s="61"/>
      <c r="AW26" s="61"/>
      <c r="AX26" s="62"/>
      <c r="AY26" s="62"/>
      <c r="AZ26" s="62"/>
      <c r="BA26" s="61"/>
      <c r="BB26" s="61"/>
      <c r="BC26" s="61"/>
      <c r="BD26" s="65">
        <v>44148</v>
      </c>
      <c r="BE26" s="140">
        <v>44154</v>
      </c>
      <c r="BF26" s="62" t="s">
        <v>272</v>
      </c>
      <c r="BG26" s="61">
        <v>0</v>
      </c>
      <c r="BH26" s="65">
        <v>44188</v>
      </c>
      <c r="BI26" s="72">
        <v>44188</v>
      </c>
      <c r="BJ26" s="62" t="s">
        <v>272</v>
      </c>
      <c r="BK26" s="61">
        <v>2020</v>
      </c>
      <c r="BL26" s="62">
        <v>44181</v>
      </c>
      <c r="BM26" s="62"/>
      <c r="BN26" s="62"/>
      <c r="BO26" s="61"/>
      <c r="BP26" s="65"/>
      <c r="BQ26" s="67"/>
      <c r="BR26" s="62"/>
      <c r="BS26" s="61"/>
      <c r="BT26" s="65">
        <v>44188</v>
      </c>
      <c r="BU26" s="65" t="s">
        <v>249</v>
      </c>
      <c r="BV26" s="65">
        <v>44188</v>
      </c>
      <c r="BW26" s="147" t="s">
        <v>272</v>
      </c>
      <c r="BX26" s="65">
        <f t="shared" si="28"/>
        <v>46013</v>
      </c>
      <c r="BY26" s="61" t="s">
        <v>273</v>
      </c>
      <c r="BZ26" s="61" t="s">
        <v>430</v>
      </c>
      <c r="CA26" s="61"/>
      <c r="CB26" s="72" t="s">
        <v>244</v>
      </c>
      <c r="CC26" s="61"/>
      <c r="CD26" s="68" t="s">
        <v>536</v>
      </c>
      <c r="CE26" s="60" t="s">
        <v>274</v>
      </c>
      <c r="CF26" s="61"/>
      <c r="CG26" s="61"/>
      <c r="CH26" s="61"/>
      <c r="CI26" s="62"/>
      <c r="CJ26" s="62"/>
      <c r="CK26" s="61"/>
      <c r="CL26" s="69"/>
      <c r="CM26" s="61"/>
      <c r="CN26" s="61"/>
      <c r="CO26" s="61"/>
      <c r="CP26" s="61"/>
      <c r="CQ26" s="64" t="s">
        <v>592</v>
      </c>
      <c r="CR26" s="60"/>
      <c r="CS26" s="70" t="s">
        <v>593</v>
      </c>
      <c r="CT26" s="61" t="s">
        <v>269</v>
      </c>
      <c r="CU26" s="61" t="s">
        <v>269</v>
      </c>
      <c r="CV26" s="61" t="s">
        <v>269</v>
      </c>
      <c r="CW26" s="82" t="s">
        <v>275</v>
      </c>
      <c r="CX26" s="91" t="s">
        <v>594</v>
      </c>
      <c r="CY26" s="61" t="s">
        <v>269</v>
      </c>
      <c r="CZ26" s="61" t="s">
        <v>269</v>
      </c>
      <c r="DA26" s="61"/>
      <c r="DB26" s="61"/>
      <c r="DC26" s="61"/>
      <c r="DD26" s="61"/>
      <c r="DE26" s="61"/>
      <c r="DF26" s="61" t="s">
        <v>269</v>
      </c>
      <c r="DG26" s="64" t="s">
        <v>595</v>
      </c>
      <c r="DH26" s="60"/>
      <c r="DI26" s="62"/>
      <c r="DJ26" s="62"/>
      <c r="DK26" s="62" t="s">
        <v>276</v>
      </c>
      <c r="DL26" s="62" t="s">
        <v>276</v>
      </c>
      <c r="DM26" s="62" t="s">
        <v>276</v>
      </c>
      <c r="DN26" s="62" t="s">
        <v>276</v>
      </c>
      <c r="DO26" s="72">
        <v>44768</v>
      </c>
      <c r="DP26" s="72">
        <v>44818</v>
      </c>
      <c r="DQ26" s="62"/>
      <c r="DR26" s="62"/>
      <c r="DS26" s="62"/>
      <c r="DT26" s="62"/>
      <c r="DU26" s="62"/>
      <c r="DV26" s="62"/>
      <c r="DW26" s="62"/>
      <c r="DX26" s="62"/>
      <c r="DY26" s="62"/>
      <c r="DZ26" s="62"/>
      <c r="EA26" s="62"/>
      <c r="EB26" s="62"/>
      <c r="EC26" s="62"/>
      <c r="ED26" s="62"/>
      <c r="EE26" s="62"/>
      <c r="EF26" s="62"/>
      <c r="EG26" s="62"/>
      <c r="EH26" s="60"/>
      <c r="EI26" s="72">
        <v>44768</v>
      </c>
      <c r="EJ26" s="72">
        <v>44818</v>
      </c>
      <c r="EK26" s="61">
        <v>3</v>
      </c>
      <c r="EL26" s="70"/>
      <c r="EM26" s="71"/>
      <c r="EN26" s="133">
        <f t="shared" si="55"/>
        <v>1</v>
      </c>
      <c r="EO26" s="61">
        <f t="shared" si="56"/>
        <v>1</v>
      </c>
      <c r="EP26" s="62"/>
      <c r="EQ26" s="72">
        <v>44847</v>
      </c>
      <c r="ER26" s="73"/>
      <c r="ES26" s="62"/>
      <c r="ET26" s="62"/>
      <c r="EU26" s="62"/>
      <c r="EV26" s="62"/>
      <c r="EW26" s="62"/>
      <c r="EX26" s="62"/>
      <c r="EY26" s="61">
        <f t="shared" si="57"/>
        <v>0</v>
      </c>
      <c r="EZ26" s="61"/>
      <c r="FA26" s="61"/>
      <c r="FB26" s="74"/>
      <c r="FC26" s="61"/>
      <c r="FD26" s="61"/>
      <c r="FE26" s="61"/>
      <c r="FF26" s="68" t="str">
        <f t="shared" si="58"/>
        <v>FP &amp; Demand</v>
      </c>
      <c r="FG26" s="76" t="str">
        <f t="shared" ref="FG26:FG38" si="64">IF((MIN(EZ26:FD26))=0,"-",(MIN(EZ26:FD26)))</f>
        <v>-</v>
      </c>
      <c r="FH26" s="65">
        <f t="shared" si="60"/>
        <v>44188</v>
      </c>
      <c r="FI26" s="76"/>
      <c r="FJ26" s="106">
        <f>FH26+7</f>
        <v>44195</v>
      </c>
      <c r="FK26" s="106">
        <v>44222</v>
      </c>
      <c r="FL26" s="61" t="s">
        <v>299</v>
      </c>
      <c r="FM26" s="61"/>
      <c r="FN26" s="61"/>
      <c r="FO26" s="60"/>
      <c r="FP26" s="64"/>
      <c r="FQ26" s="64"/>
      <c r="FR26" s="61"/>
      <c r="FS26" s="61"/>
      <c r="FT26" s="61"/>
      <c r="FU26" s="61"/>
      <c r="FV26" s="60"/>
      <c r="FW26" s="61"/>
      <c r="FX26" s="61"/>
      <c r="FY26" s="61"/>
      <c r="FZ26" s="61"/>
      <c r="GA26" s="61"/>
      <c r="GB26" s="61"/>
      <c r="GC26" s="61"/>
      <c r="GD26" s="61"/>
      <c r="GE26" s="61"/>
      <c r="GF26" s="61"/>
      <c r="GG26" s="61"/>
      <c r="GH26" s="61"/>
      <c r="GI26" s="60"/>
      <c r="GJ26" s="62"/>
      <c r="GK26" s="62"/>
      <c r="GL26" s="62"/>
      <c r="GM26" s="62"/>
      <c r="GN26" s="63"/>
      <c r="GO26" s="63"/>
      <c r="GP26" s="62"/>
      <c r="GQ26" s="62"/>
      <c r="GR26" s="62"/>
      <c r="GS26" s="62"/>
      <c r="GT26" s="62"/>
      <c r="GU26" s="62"/>
      <c r="GV26" s="78"/>
      <c r="GW26" s="62"/>
      <c r="GX26" s="62"/>
      <c r="GY26" s="62"/>
      <c r="GZ26" s="62"/>
      <c r="HA26" s="67"/>
      <c r="HB26" s="62"/>
      <c r="HC26" s="82" t="s">
        <v>257</v>
      </c>
      <c r="HD26" s="62"/>
      <c r="HE26" s="65"/>
      <c r="HF26" s="62"/>
      <c r="HG26" s="65">
        <f>FJ26+10</f>
        <v>44205</v>
      </c>
      <c r="HH26" s="62"/>
      <c r="HI26" s="61"/>
      <c r="HJ26" s="62"/>
      <c r="HK26" s="62"/>
      <c r="HL26" s="62"/>
      <c r="HM26" s="65">
        <f>IF(GW26="Yes",HE26,HG26+50)</f>
        <v>44255</v>
      </c>
      <c r="HN26" s="63"/>
      <c r="HO26" s="107"/>
      <c r="HP26" s="78"/>
      <c r="HQ26" s="60"/>
      <c r="HR26" s="63"/>
      <c r="HS26" s="62"/>
      <c r="HT26" s="63"/>
      <c r="HU26" s="62"/>
      <c r="HV26" s="62"/>
      <c r="HW26" s="107"/>
      <c r="HX26" s="79"/>
      <c r="HY26" s="62"/>
      <c r="HZ26" s="79"/>
      <c r="IA26" s="60"/>
      <c r="IB26" s="65">
        <f>HM26+10</f>
        <v>44265</v>
      </c>
      <c r="IC26" s="62"/>
      <c r="ID26" s="61"/>
      <c r="IE26" s="61"/>
      <c r="IF26" s="61"/>
      <c r="IG26" s="61"/>
      <c r="IH26" s="61"/>
      <c r="II26" s="61"/>
      <c r="IJ26" s="61"/>
      <c r="IK26" s="114"/>
      <c r="IL26" s="66"/>
      <c r="IM26" s="66"/>
      <c r="IN26" s="72">
        <f t="shared" si="61"/>
        <v>44818</v>
      </c>
      <c r="IO26" s="60"/>
      <c r="IP26" s="65">
        <f>IB26+30</f>
        <v>44295</v>
      </c>
      <c r="IQ26" s="62">
        <f t="shared" si="62"/>
        <v>0</v>
      </c>
      <c r="IR26" s="62"/>
      <c r="IS26" s="62"/>
      <c r="IT26" s="62"/>
      <c r="IU26" s="62"/>
      <c r="IV26" s="62"/>
      <c r="IW26" s="62"/>
      <c r="IX26" s="62"/>
      <c r="IY26" s="83" t="s">
        <v>257</v>
      </c>
      <c r="IZ26" s="62"/>
      <c r="JA26" s="62"/>
      <c r="JB26" s="62"/>
      <c r="JC26" s="62"/>
      <c r="JD26" s="62"/>
      <c r="JE26" s="62"/>
      <c r="JF26" s="62"/>
      <c r="JG26" s="62"/>
      <c r="JH26" s="65">
        <v>44847</v>
      </c>
      <c r="JI26" s="67" t="str">
        <f t="shared" si="63"/>
        <v>Q4-2022</v>
      </c>
      <c r="JJ26" s="80">
        <v>44847</v>
      </c>
      <c r="JK26" s="60"/>
      <c r="JL26" s="61"/>
      <c r="JM26" s="64"/>
      <c r="JN26" s="62"/>
      <c r="JO26" s="62" t="s">
        <v>257</v>
      </c>
      <c r="JP26" s="78" t="s">
        <v>627</v>
      </c>
      <c r="JQ26" s="61"/>
      <c r="JR26" s="60"/>
      <c r="JS26" s="62"/>
      <c r="JT26" s="62"/>
      <c r="JU26" s="62"/>
      <c r="JV26" s="62"/>
      <c r="JW26" s="62"/>
      <c r="JX26" s="62"/>
      <c r="JY26" s="60"/>
      <c r="JZ26" s="61"/>
      <c r="KA26" s="61"/>
      <c r="KB26" s="61"/>
      <c r="KC26" s="61"/>
      <c r="KD26" s="61"/>
      <c r="KE26" s="61"/>
      <c r="KF26" s="60"/>
      <c r="KG26" s="61"/>
      <c r="KH26" s="60"/>
      <c r="KI26" s="81" t="str">
        <f t="shared" si="29"/>
        <v>TWWxxxx</v>
      </c>
      <c r="KJ26" s="61" t="str">
        <f t="shared" si="30"/>
        <v>Live</v>
      </c>
      <c r="KK26" s="61" t="str">
        <f t="shared" si="31"/>
        <v>TWWxxxx</v>
      </c>
      <c r="KL26" s="62">
        <f t="shared" si="32"/>
        <v>44847</v>
      </c>
      <c r="KM26" s="62">
        <f t="shared" si="33"/>
        <v>44847</v>
      </c>
      <c r="KN26" s="61" t="str">
        <f t="shared" si="34"/>
        <v>Lattice</v>
      </c>
      <c r="KO26" s="61">
        <f t="shared" si="35"/>
        <v>108</v>
      </c>
      <c r="KP26" s="131">
        <f t="shared" si="36"/>
        <v>0</v>
      </c>
      <c r="KQ26" s="131" t="str">
        <f t="shared" si="37"/>
        <v>Q4-2022</v>
      </c>
      <c r="KR26" s="61" t="str">
        <f t="shared" si="38"/>
        <v xml:space="preserve">0  Live  UTS  108  Q4-2022  </v>
      </c>
      <c r="KS26" s="61" t="str">
        <f t="shared" si="39"/>
        <v>RFI</v>
      </c>
      <c r="KT26" s="61" t="str">
        <f t="shared" si="40"/>
        <v>Site name</v>
      </c>
      <c r="KU26" s="61" t="str">
        <f t="shared" si="41"/>
        <v>Wooden Pole</v>
      </c>
      <c r="KV26" s="61">
        <f t="shared" si="42"/>
        <v>10</v>
      </c>
      <c r="KW26" s="61" t="str">
        <f t="shared" si="43"/>
        <v>Lattice</v>
      </c>
      <c r="KX26" s="61">
        <f t="shared" si="44"/>
        <v>20</v>
      </c>
      <c r="KY26" s="60"/>
      <c r="KZ26" s="60"/>
      <c r="LA26" s="62"/>
      <c r="LB26" s="61"/>
      <c r="LC26" s="62"/>
      <c r="LD26" s="61"/>
      <c r="LE26" s="68" t="str">
        <f t="shared" si="45"/>
        <v>-</v>
      </c>
      <c r="LF26" s="150" t="str">
        <f t="shared" si="46"/>
        <v>-</v>
      </c>
      <c r="LG26" s="60"/>
      <c r="LH26" s="60"/>
      <c r="LI26" s="68">
        <f t="shared" si="47"/>
        <v>62</v>
      </c>
      <c r="LJ26" s="150">
        <f t="shared" si="48"/>
        <v>2.0666666666666669</v>
      </c>
      <c r="LK26" s="60"/>
      <c r="LL26" s="68">
        <f t="shared" si="49"/>
        <v>96</v>
      </c>
      <c r="LM26" s="150">
        <f t="shared" si="50"/>
        <v>3.2</v>
      </c>
      <c r="LN26" s="60"/>
      <c r="LO26" s="98" t="str">
        <f t="shared" si="51"/>
        <v>-</v>
      </c>
      <c r="LP26" s="68" t="str">
        <f t="shared" si="52"/>
        <v>-</v>
      </c>
      <c r="LQ26" s="150" t="str">
        <f t="shared" si="53"/>
        <v>-</v>
      </c>
      <c r="LR26" s="60"/>
      <c r="LS26" s="98" t="str">
        <f t="shared" si="54"/>
        <v>-</v>
      </c>
      <c r="LT26" s="60"/>
      <c r="LU26" s="60"/>
      <c r="LV26" s="60"/>
      <c r="LW26" s="60"/>
      <c r="LX26" s="60"/>
      <c r="LY26" s="60"/>
      <c r="LZ26" s="60"/>
      <c r="MA26" s="60"/>
      <c r="MB26" s="60"/>
      <c r="MC26" s="60"/>
      <c r="MD26" s="60"/>
      <c r="ME26" s="60"/>
      <c r="MF26" s="60"/>
      <c r="MG26" s="60"/>
      <c r="MH26" s="60"/>
      <c r="MI26" s="60"/>
      <c r="MJ26" s="60"/>
      <c r="MK26" s="60"/>
      <c r="ML26" s="60"/>
      <c r="MM26" s="60"/>
      <c r="MN26" s="60"/>
      <c r="MO26" s="60"/>
    </row>
    <row r="27" spans="2:353" ht="21" customHeight="1" x14ac:dyDescent="0.25">
      <c r="B27" s="84" t="s">
        <v>643</v>
      </c>
      <c r="C27" s="58" t="s">
        <v>633</v>
      </c>
      <c r="D27" s="159" t="s">
        <v>325</v>
      </c>
      <c r="E27" s="159">
        <v>108</v>
      </c>
      <c r="F27" s="159" t="s">
        <v>477</v>
      </c>
      <c r="G27" s="159"/>
      <c r="H27" s="59"/>
      <c r="I27" s="159" t="s">
        <v>636</v>
      </c>
      <c r="J27" s="159" t="s">
        <v>636</v>
      </c>
      <c r="K27" s="159" t="s">
        <v>636</v>
      </c>
      <c r="L27" s="159" t="s">
        <v>637</v>
      </c>
      <c r="M27" s="159" t="s">
        <v>255</v>
      </c>
      <c r="N27" s="159">
        <v>20</v>
      </c>
      <c r="O27" s="159" t="s">
        <v>330</v>
      </c>
      <c r="P27" s="159">
        <v>24</v>
      </c>
      <c r="Q27" s="159"/>
      <c r="R27" s="160"/>
      <c r="S27" s="159"/>
      <c r="T27" s="159"/>
      <c r="U27" s="61" t="s">
        <v>326</v>
      </c>
      <c r="V27" s="61">
        <v>1</v>
      </c>
      <c r="W27" s="65">
        <f>AB27</f>
        <v>45999</v>
      </c>
      <c r="X27" s="62"/>
      <c r="Y27" s="61" t="s">
        <v>241</v>
      </c>
      <c r="Z27" s="61" t="s">
        <v>242</v>
      </c>
      <c r="AA27" s="61">
        <v>2500</v>
      </c>
      <c r="AB27" s="62">
        <f>AR27-60</f>
        <v>45999</v>
      </c>
      <c r="AC27" s="62"/>
      <c r="AD27" s="62"/>
      <c r="AE27" s="63"/>
      <c r="AF27" s="62"/>
      <c r="AG27" s="62"/>
      <c r="AH27" s="72"/>
      <c r="AI27" s="61"/>
      <c r="AJ27" s="61"/>
      <c r="AK27" s="62"/>
      <c r="AL27" s="62"/>
      <c r="AM27" s="62"/>
      <c r="AN27" s="64"/>
      <c r="AO27" s="61" t="s">
        <v>246</v>
      </c>
      <c r="AP27" s="61"/>
      <c r="AQ27" s="61" t="s">
        <v>248</v>
      </c>
      <c r="AR27" s="65">
        <v>46059</v>
      </c>
      <c r="AS27" s="62"/>
      <c r="AT27" s="62"/>
      <c r="AU27" s="61"/>
      <c r="AV27" s="61"/>
      <c r="AW27" s="61"/>
      <c r="AX27" s="62"/>
      <c r="AY27" s="62"/>
      <c r="AZ27" s="62"/>
      <c r="BA27" s="61"/>
      <c r="BB27" s="61"/>
      <c r="BC27" s="61"/>
      <c r="BD27" s="65">
        <f>AR27+60</f>
        <v>46119</v>
      </c>
      <c r="BE27" s="62"/>
      <c r="BF27" s="62"/>
      <c r="BG27" s="61"/>
      <c r="BH27" s="65">
        <f>BD27+35</f>
        <v>46154</v>
      </c>
      <c r="BI27" s="62"/>
      <c r="BJ27" s="62"/>
      <c r="BK27" s="61">
        <v>2027</v>
      </c>
      <c r="BL27" s="62"/>
      <c r="BM27" s="62"/>
      <c r="BN27" s="62"/>
      <c r="BO27" s="61"/>
      <c r="BP27" s="65">
        <f>BH27+360</f>
        <v>46514</v>
      </c>
      <c r="BQ27" s="67"/>
      <c r="BR27" s="62"/>
      <c r="BS27" s="61"/>
      <c r="BT27" s="65">
        <f>BP27</f>
        <v>46514</v>
      </c>
      <c r="BU27" s="65" t="s">
        <v>249</v>
      </c>
      <c r="BV27" s="65"/>
      <c r="BW27" s="147"/>
      <c r="BX27" s="65">
        <f t="shared" si="28"/>
        <v>0</v>
      </c>
      <c r="BY27" s="61"/>
      <c r="BZ27" s="61" t="s">
        <v>430</v>
      </c>
      <c r="CA27" s="61"/>
      <c r="CB27" s="62"/>
      <c r="CC27" s="61"/>
      <c r="CD27" s="68" t="s">
        <v>537</v>
      </c>
      <c r="CE27" s="60" t="s">
        <v>314</v>
      </c>
      <c r="CF27" s="61"/>
      <c r="CG27" s="61"/>
      <c r="CH27" s="61"/>
      <c r="CI27" s="62"/>
      <c r="CJ27" s="62"/>
      <c r="CK27" s="61"/>
      <c r="CL27" s="69"/>
      <c r="CM27" s="61"/>
      <c r="CN27" s="61"/>
      <c r="CO27" s="61"/>
      <c r="CP27" s="61"/>
      <c r="CQ27" s="64"/>
      <c r="CR27" s="60"/>
      <c r="CS27" s="70"/>
      <c r="CT27" s="61"/>
      <c r="CU27" s="61"/>
      <c r="CV27" s="61"/>
      <c r="CW27" s="61"/>
      <c r="CX27" s="61"/>
      <c r="CY27" s="61"/>
      <c r="CZ27" s="61"/>
      <c r="DA27" s="61"/>
      <c r="DB27" s="61"/>
      <c r="DC27" s="61"/>
      <c r="DD27" s="61"/>
      <c r="DE27" s="61"/>
      <c r="DF27" s="61"/>
      <c r="DG27" s="64"/>
      <c r="DH27" s="60"/>
      <c r="DI27" s="62"/>
      <c r="DJ27" s="62"/>
      <c r="DK27" s="62"/>
      <c r="DL27" s="62"/>
      <c r="DM27" s="62"/>
      <c r="DN27" s="62"/>
      <c r="DO27" s="62"/>
      <c r="DP27" s="62"/>
      <c r="DQ27" s="62"/>
      <c r="DR27" s="62"/>
      <c r="DS27" s="62"/>
      <c r="DT27" s="62"/>
      <c r="DU27" s="62"/>
      <c r="DV27" s="62"/>
      <c r="DW27" s="62"/>
      <c r="DX27" s="62"/>
      <c r="DY27" s="62"/>
      <c r="DZ27" s="62"/>
      <c r="EA27" s="62"/>
      <c r="EB27" s="62"/>
      <c r="EC27" s="62"/>
      <c r="ED27" s="62"/>
      <c r="EE27" s="62"/>
      <c r="EF27" s="62"/>
      <c r="EG27" s="62"/>
      <c r="EH27" s="60"/>
      <c r="EI27" s="62"/>
      <c r="EJ27" s="62"/>
      <c r="EK27" s="61"/>
      <c r="EL27" s="95"/>
      <c r="EM27" s="71"/>
      <c r="EN27" s="133">
        <f t="shared" si="55"/>
        <v>0</v>
      </c>
      <c r="EO27" s="61">
        <f t="shared" si="56"/>
        <v>0</v>
      </c>
      <c r="EP27" s="62"/>
      <c r="EQ27" s="62"/>
      <c r="ER27" s="73"/>
      <c r="ES27" s="62"/>
      <c r="ET27" s="62"/>
      <c r="EU27" s="62"/>
      <c r="EV27" s="62"/>
      <c r="EW27" s="62"/>
      <c r="EX27" s="62"/>
      <c r="EY27" s="61">
        <f t="shared" si="57"/>
        <v>0</v>
      </c>
      <c r="EZ27" s="62"/>
      <c r="FA27" s="61"/>
      <c r="FB27" s="74"/>
      <c r="FC27" s="61"/>
      <c r="FD27" s="61"/>
      <c r="FE27" s="61"/>
      <c r="FF27" s="68" t="str">
        <f t="shared" si="58"/>
        <v>No FP / No Demand</v>
      </c>
      <c r="FG27" s="76" t="str">
        <f t="shared" si="64"/>
        <v>-</v>
      </c>
      <c r="FH27" s="65">
        <f t="shared" si="60"/>
        <v>46514</v>
      </c>
      <c r="FI27" s="76"/>
      <c r="FJ27" s="106"/>
      <c r="FK27" s="106"/>
      <c r="FL27" s="61"/>
      <c r="FM27" s="61"/>
      <c r="FN27" s="61"/>
      <c r="FO27" s="60"/>
      <c r="FP27" s="110"/>
      <c r="FQ27" s="110"/>
      <c r="FR27" s="61"/>
      <c r="FS27" s="61"/>
      <c r="FT27" s="61"/>
      <c r="FU27" s="61"/>
      <c r="FV27" s="60"/>
      <c r="FW27" s="61"/>
      <c r="FX27" s="61"/>
      <c r="FY27" s="61"/>
      <c r="FZ27" s="61"/>
      <c r="GA27" s="61"/>
      <c r="GB27" s="61"/>
      <c r="GC27" s="61"/>
      <c r="GD27" s="61"/>
      <c r="GE27" s="61"/>
      <c r="GF27" s="61"/>
      <c r="GG27" s="61"/>
      <c r="GH27" s="61"/>
      <c r="GI27" s="60"/>
      <c r="GJ27" s="62"/>
      <c r="GK27" s="62"/>
      <c r="GL27" s="62"/>
      <c r="GM27" s="62"/>
      <c r="GN27" s="63"/>
      <c r="GO27" s="63"/>
      <c r="GP27" s="62"/>
      <c r="GQ27" s="62"/>
      <c r="GR27" s="62"/>
      <c r="GS27" s="62"/>
      <c r="GT27" s="62"/>
      <c r="GU27" s="62"/>
      <c r="GV27" s="78"/>
      <c r="GW27" s="62"/>
      <c r="GX27" s="62"/>
      <c r="GY27" s="62"/>
      <c r="GZ27" s="62"/>
      <c r="HA27" s="67"/>
      <c r="HB27" s="62"/>
      <c r="HC27" s="62"/>
      <c r="HD27" s="62"/>
      <c r="HE27" s="65"/>
      <c r="HF27" s="107"/>
      <c r="HG27" s="65">
        <f>FJ27+10</f>
        <v>10</v>
      </c>
      <c r="HH27" s="62"/>
      <c r="HI27" s="61"/>
      <c r="HJ27" s="62"/>
      <c r="HK27" s="62"/>
      <c r="HL27" s="107"/>
      <c r="HM27" s="65">
        <f>IF(GW27="Yes",HE27,HG27+50)</f>
        <v>60</v>
      </c>
      <c r="HN27" s="63"/>
      <c r="HO27" s="62"/>
      <c r="HP27" s="78"/>
      <c r="HQ27" s="60"/>
      <c r="HR27" s="63"/>
      <c r="HS27" s="107"/>
      <c r="HT27" s="63"/>
      <c r="HU27" s="107"/>
      <c r="HV27" s="62"/>
      <c r="HW27" s="107"/>
      <c r="HX27" s="79"/>
      <c r="HY27" s="62"/>
      <c r="HZ27" s="79"/>
      <c r="IA27" s="60"/>
      <c r="IB27" s="65">
        <f>HM27+10</f>
        <v>70</v>
      </c>
      <c r="IC27" s="62"/>
      <c r="ID27" s="61"/>
      <c r="IE27" s="61"/>
      <c r="IF27" s="61"/>
      <c r="IG27" s="61"/>
      <c r="IH27" s="61"/>
      <c r="II27" s="61"/>
      <c r="IJ27" s="61"/>
      <c r="IK27" s="61"/>
      <c r="IL27" s="62"/>
      <c r="IM27" s="62"/>
      <c r="IN27" s="62" t="str">
        <f t="shared" si="61"/>
        <v>-</v>
      </c>
      <c r="IO27" s="60"/>
      <c r="IP27" s="65">
        <f>IB27+30</f>
        <v>100</v>
      </c>
      <c r="IQ27" s="62">
        <f t="shared" si="62"/>
        <v>0</v>
      </c>
      <c r="IR27" s="62"/>
      <c r="IS27" s="62"/>
      <c r="IT27" s="62"/>
      <c r="IU27" s="62"/>
      <c r="IV27" s="62"/>
      <c r="IW27" s="62"/>
      <c r="IX27" s="62"/>
      <c r="IY27" s="62"/>
      <c r="IZ27" s="62"/>
      <c r="JA27" s="62"/>
      <c r="JB27" s="62"/>
      <c r="JC27" s="62"/>
      <c r="JD27" s="62"/>
      <c r="JE27" s="62"/>
      <c r="JF27" s="62"/>
      <c r="JG27" s="62"/>
      <c r="JH27" s="65">
        <f>IP27+60</f>
        <v>160</v>
      </c>
      <c r="JI27" s="67" t="str">
        <f t="shared" si="63"/>
        <v>Q2-1900</v>
      </c>
      <c r="JJ27" s="62"/>
      <c r="JK27" s="60"/>
      <c r="JL27" s="61"/>
      <c r="JM27" s="64"/>
      <c r="JN27" s="62"/>
      <c r="JO27" s="62"/>
      <c r="JP27" s="78"/>
      <c r="JQ27" s="61"/>
      <c r="JR27" s="60"/>
      <c r="JS27" s="62"/>
      <c r="JT27" s="62"/>
      <c r="JU27" s="62"/>
      <c r="JV27" s="62"/>
      <c r="JW27" s="62"/>
      <c r="JX27" s="62"/>
      <c r="JY27" s="60"/>
      <c r="JZ27" s="61"/>
      <c r="KA27" s="61"/>
      <c r="KB27" s="61"/>
      <c r="KC27" s="61"/>
      <c r="KD27" s="61"/>
      <c r="KE27" s="61"/>
      <c r="KF27" s="60"/>
      <c r="KG27" s="61"/>
      <c r="KH27" s="60"/>
      <c r="KI27" s="81" t="str">
        <f t="shared" si="29"/>
        <v/>
      </c>
      <c r="KJ27" s="61" t="str">
        <f t="shared" si="30"/>
        <v>Not Gated</v>
      </c>
      <c r="KK27" s="61" t="str">
        <f t="shared" si="31"/>
        <v/>
      </c>
      <c r="KL27" s="62" t="str">
        <f t="shared" si="32"/>
        <v/>
      </c>
      <c r="KM27" s="62" t="str">
        <f t="shared" si="33"/>
        <v/>
      </c>
      <c r="KN27" s="61" t="str">
        <f t="shared" si="34"/>
        <v>Lattice ext</v>
      </c>
      <c r="KO27" s="61">
        <f t="shared" si="35"/>
        <v>108</v>
      </c>
      <c r="KP27" s="131">
        <f t="shared" si="36"/>
        <v>0</v>
      </c>
      <c r="KQ27" s="131" t="str">
        <f t="shared" si="37"/>
        <v>No Forcast Date</v>
      </c>
      <c r="KR27" s="61" t="str">
        <f t="shared" si="38"/>
        <v xml:space="preserve">0  Not Gated  UTS  108  No Forcast Date  </v>
      </c>
      <c r="KS27" s="61">
        <f t="shared" si="39"/>
        <v>0</v>
      </c>
      <c r="KT27" s="61" t="str">
        <f t="shared" si="40"/>
        <v/>
      </c>
      <c r="KU27" s="61" t="str">
        <f t="shared" si="41"/>
        <v>Lattice</v>
      </c>
      <c r="KV27" s="61">
        <f t="shared" si="42"/>
        <v>20</v>
      </c>
      <c r="KW27" s="61" t="str">
        <f t="shared" si="43"/>
        <v>Lattice ext</v>
      </c>
      <c r="KX27" s="61">
        <f t="shared" si="44"/>
        <v>24</v>
      </c>
      <c r="KY27" s="60"/>
      <c r="KZ27" s="60"/>
      <c r="LA27" s="62"/>
      <c r="LB27" s="61"/>
      <c r="LC27" s="62"/>
      <c r="LD27" s="61"/>
      <c r="LE27" s="68" t="str">
        <f t="shared" si="45"/>
        <v>-</v>
      </c>
      <c r="LF27" s="150" t="str">
        <f t="shared" si="46"/>
        <v>-</v>
      </c>
      <c r="LG27" s="60"/>
      <c r="LH27" s="60"/>
      <c r="LI27" s="68" t="str">
        <f t="shared" si="47"/>
        <v>-</v>
      </c>
      <c r="LJ27" s="150" t="str">
        <f t="shared" si="48"/>
        <v>-</v>
      </c>
      <c r="LK27" s="60"/>
      <c r="LL27" s="68" t="str">
        <f t="shared" si="49"/>
        <v>-</v>
      </c>
      <c r="LM27" s="150" t="str">
        <f t="shared" si="50"/>
        <v>-</v>
      </c>
      <c r="LN27" s="60"/>
      <c r="LO27" s="98" t="str">
        <f t="shared" si="51"/>
        <v>-</v>
      </c>
      <c r="LP27" s="68" t="str">
        <f t="shared" si="52"/>
        <v>-</v>
      </c>
      <c r="LQ27" s="150" t="str">
        <f t="shared" si="53"/>
        <v>-</v>
      </c>
      <c r="LR27" s="60"/>
      <c r="LS27" s="98" t="str">
        <f t="shared" si="54"/>
        <v>-</v>
      </c>
      <c r="LT27" s="60"/>
      <c r="LU27" s="60"/>
      <c r="LV27" s="60"/>
      <c r="LW27" s="60"/>
      <c r="LX27" s="60"/>
      <c r="LY27" s="60"/>
      <c r="LZ27" s="60"/>
      <c r="MA27" s="60"/>
      <c r="MB27" s="60"/>
      <c r="MC27" s="60"/>
      <c r="MD27" s="60"/>
      <c r="ME27" s="60"/>
      <c r="MF27" s="60"/>
      <c r="MG27" s="60"/>
      <c r="MH27" s="60"/>
      <c r="MI27" s="60"/>
      <c r="MJ27" s="60"/>
      <c r="MK27" s="60"/>
      <c r="ML27" s="60"/>
      <c r="MM27" s="60"/>
      <c r="MN27" s="60"/>
      <c r="MO27" s="60"/>
    </row>
    <row r="28" spans="2:353" ht="21" customHeight="1" x14ac:dyDescent="0.25">
      <c r="B28" s="58" t="s">
        <v>644</v>
      </c>
      <c r="C28" s="58" t="s">
        <v>633</v>
      </c>
      <c r="D28" s="159" t="s">
        <v>325</v>
      </c>
      <c r="E28" s="159">
        <v>108</v>
      </c>
      <c r="F28" s="159" t="s">
        <v>476</v>
      </c>
      <c r="G28" s="159"/>
      <c r="H28" s="59"/>
      <c r="I28" s="159" t="s">
        <v>636</v>
      </c>
      <c r="J28" s="159" t="s">
        <v>636</v>
      </c>
      <c r="K28" s="159" t="s">
        <v>636</v>
      </c>
      <c r="L28" s="159" t="s">
        <v>637</v>
      </c>
      <c r="M28" s="159" t="s">
        <v>278</v>
      </c>
      <c r="N28" s="159">
        <v>12</v>
      </c>
      <c r="O28" s="159" t="s">
        <v>567</v>
      </c>
      <c r="P28" s="159">
        <v>12</v>
      </c>
      <c r="Q28" s="159"/>
      <c r="R28" s="160"/>
      <c r="S28" s="159"/>
      <c r="T28" s="159"/>
      <c r="U28" s="61" t="s">
        <v>326</v>
      </c>
      <c r="V28" s="61">
        <v>2</v>
      </c>
      <c r="W28" s="65"/>
      <c r="X28" s="72">
        <v>45196</v>
      </c>
      <c r="Y28" s="61" t="s">
        <v>241</v>
      </c>
      <c r="Z28" s="61" t="s">
        <v>242</v>
      </c>
      <c r="AA28" s="61">
        <v>2500</v>
      </c>
      <c r="AB28" s="72">
        <v>45196</v>
      </c>
      <c r="AC28" s="96">
        <v>45198</v>
      </c>
      <c r="AD28" s="72" t="s">
        <v>257</v>
      </c>
      <c r="AE28" s="63"/>
      <c r="AF28" s="96">
        <v>45240</v>
      </c>
      <c r="AG28" s="62"/>
      <c r="AH28" s="62"/>
      <c r="AI28" s="129" t="s">
        <v>257</v>
      </c>
      <c r="AJ28" s="129" t="s">
        <v>258</v>
      </c>
      <c r="AK28" s="97" t="s">
        <v>257</v>
      </c>
      <c r="AL28" s="72">
        <v>45245</v>
      </c>
      <c r="AM28" s="62"/>
      <c r="AN28" s="64"/>
      <c r="AO28" s="61" t="s">
        <v>246</v>
      </c>
      <c r="AP28" s="61" t="s">
        <v>247</v>
      </c>
      <c r="AQ28" s="61" t="s">
        <v>248</v>
      </c>
      <c r="AR28" s="65">
        <v>45250</v>
      </c>
      <c r="AS28" s="72">
        <v>45253</v>
      </c>
      <c r="AT28" s="72">
        <v>45257</v>
      </c>
      <c r="AU28" s="61">
        <v>236375</v>
      </c>
      <c r="AV28" s="61"/>
      <c r="AW28" s="61"/>
      <c r="AX28" s="62"/>
      <c r="AY28" s="62"/>
      <c r="AZ28" s="62"/>
      <c r="BA28" s="61"/>
      <c r="BB28" s="61"/>
      <c r="BC28" s="61"/>
      <c r="BD28" s="65">
        <v>45321</v>
      </c>
      <c r="BE28" s="72">
        <v>45321</v>
      </c>
      <c r="BF28" s="62" t="s">
        <v>307</v>
      </c>
      <c r="BG28" s="61">
        <v>0</v>
      </c>
      <c r="BH28" s="65">
        <v>45356</v>
      </c>
      <c r="BI28" s="62"/>
      <c r="BJ28" s="90" t="s">
        <v>344</v>
      </c>
      <c r="BK28" s="61">
        <v>2025</v>
      </c>
      <c r="BL28" s="62">
        <v>45348</v>
      </c>
      <c r="BM28" s="72">
        <v>45348</v>
      </c>
      <c r="BN28" s="62"/>
      <c r="BO28" s="61">
        <v>319135</v>
      </c>
      <c r="BP28" s="65">
        <v>45708</v>
      </c>
      <c r="BQ28" s="67"/>
      <c r="BR28" s="72">
        <v>45560</v>
      </c>
      <c r="BS28" s="61" t="s">
        <v>307</v>
      </c>
      <c r="BT28" s="65">
        <v>45708</v>
      </c>
      <c r="BU28" s="65" t="s">
        <v>292</v>
      </c>
      <c r="BV28" s="65">
        <v>45560</v>
      </c>
      <c r="BW28" s="147" t="s">
        <v>307</v>
      </c>
      <c r="BX28" s="65">
        <f t="shared" si="28"/>
        <v>0</v>
      </c>
      <c r="BY28" s="61" t="s">
        <v>363</v>
      </c>
      <c r="BZ28" s="61" t="s">
        <v>397</v>
      </c>
      <c r="CA28" s="61"/>
      <c r="CB28" s="62"/>
      <c r="CC28" s="61"/>
      <c r="CD28" s="68" t="s">
        <v>575</v>
      </c>
      <c r="CE28" s="60" t="s">
        <v>394</v>
      </c>
      <c r="CF28" s="61"/>
      <c r="CG28" s="61"/>
      <c r="CH28" s="61"/>
      <c r="CI28" s="62"/>
      <c r="CJ28" s="62"/>
      <c r="CK28" s="61"/>
      <c r="CL28" s="69"/>
      <c r="CM28" s="61"/>
      <c r="CN28" s="61"/>
      <c r="CO28" s="61"/>
      <c r="CP28" s="61"/>
      <c r="CQ28" s="64"/>
      <c r="CR28" s="60"/>
      <c r="CS28" s="70"/>
      <c r="CT28" s="61"/>
      <c r="CU28" s="61"/>
      <c r="CV28" s="61"/>
      <c r="CW28" s="61"/>
      <c r="CX28" s="61"/>
      <c r="CY28" s="61"/>
      <c r="CZ28" s="61"/>
      <c r="DA28" s="61"/>
      <c r="DB28" s="61"/>
      <c r="DC28" s="61"/>
      <c r="DD28" s="61"/>
      <c r="DE28" s="61"/>
      <c r="DF28" s="61"/>
      <c r="DG28" s="64"/>
      <c r="DH28" s="60"/>
      <c r="DI28" s="62"/>
      <c r="DJ28" s="62"/>
      <c r="DK28" s="62"/>
      <c r="DL28" s="62"/>
      <c r="DM28" s="62"/>
      <c r="DN28" s="62"/>
      <c r="DO28" s="62"/>
      <c r="DP28" s="62"/>
      <c r="DQ28" s="62"/>
      <c r="DR28" s="62"/>
      <c r="DS28" s="62"/>
      <c r="DT28" s="62"/>
      <c r="DU28" s="62"/>
      <c r="DV28" s="62"/>
      <c r="DW28" s="62"/>
      <c r="DX28" s="62"/>
      <c r="DY28" s="62"/>
      <c r="DZ28" s="62"/>
      <c r="EA28" s="62"/>
      <c r="EB28" s="62"/>
      <c r="EC28" s="62"/>
      <c r="ED28" s="62"/>
      <c r="EE28" s="62"/>
      <c r="EF28" s="62"/>
      <c r="EG28" s="62"/>
      <c r="EH28" s="60"/>
      <c r="EI28" s="62"/>
      <c r="EJ28" s="62"/>
      <c r="EK28" s="61"/>
      <c r="EL28" s="70"/>
      <c r="EM28" s="71"/>
      <c r="EN28" s="133">
        <f t="shared" si="55"/>
        <v>2</v>
      </c>
      <c r="EO28" s="61">
        <f t="shared" si="56"/>
        <v>1</v>
      </c>
      <c r="EP28" s="62"/>
      <c r="EQ28" s="62">
        <v>44504</v>
      </c>
      <c r="ER28" s="73"/>
      <c r="ES28" s="62"/>
      <c r="ET28" s="62"/>
      <c r="EU28" s="62"/>
      <c r="EV28" s="62"/>
      <c r="EW28" s="62"/>
      <c r="EX28" s="62"/>
      <c r="EY28" s="61">
        <f t="shared" si="57"/>
        <v>1</v>
      </c>
      <c r="EZ28" s="117">
        <v>47119</v>
      </c>
      <c r="FA28" s="62"/>
      <c r="FB28" s="73"/>
      <c r="FC28" s="61"/>
      <c r="FD28" s="61"/>
      <c r="FE28" s="61"/>
      <c r="FF28" s="68" t="str">
        <f t="shared" si="58"/>
        <v>No FP &amp; Demand</v>
      </c>
      <c r="FG28" s="76">
        <f t="shared" si="64"/>
        <v>47119</v>
      </c>
      <c r="FH28" s="65">
        <f t="shared" si="60"/>
        <v>45708</v>
      </c>
      <c r="FI28" s="76" t="s">
        <v>632</v>
      </c>
      <c r="FJ28" s="106">
        <f>FH28+7</f>
        <v>45715</v>
      </c>
      <c r="FK28" s="106"/>
      <c r="FL28" s="61"/>
      <c r="FM28" s="61"/>
      <c r="FN28" s="61"/>
      <c r="FO28" s="60"/>
      <c r="FP28" s="64"/>
      <c r="FQ28" s="64"/>
      <c r="FR28" s="61"/>
      <c r="FS28" s="61"/>
      <c r="FT28" s="61"/>
      <c r="FU28" s="61"/>
      <c r="FV28" s="60"/>
      <c r="FW28" s="61"/>
      <c r="FX28" s="61"/>
      <c r="FY28" s="61"/>
      <c r="FZ28" s="61"/>
      <c r="GA28" s="61"/>
      <c r="GB28" s="61"/>
      <c r="GC28" s="61"/>
      <c r="GD28" s="61"/>
      <c r="GE28" s="61"/>
      <c r="GF28" s="61"/>
      <c r="GG28" s="61"/>
      <c r="GH28" s="61"/>
      <c r="GI28" s="60"/>
      <c r="GJ28" s="62"/>
      <c r="GK28" s="62"/>
      <c r="GL28" s="62"/>
      <c r="GM28" s="62"/>
      <c r="GN28" s="63"/>
      <c r="GO28" s="63"/>
      <c r="GP28" s="62"/>
      <c r="GQ28" s="62"/>
      <c r="GR28" s="62"/>
      <c r="GS28" s="62"/>
      <c r="GT28" s="62"/>
      <c r="GU28" s="106"/>
      <c r="GV28" s="78"/>
      <c r="GW28" s="126"/>
      <c r="GX28" s="62"/>
      <c r="GY28" s="62"/>
      <c r="GZ28" s="62"/>
      <c r="HA28" s="67"/>
      <c r="HB28" s="62"/>
      <c r="HC28" s="62"/>
      <c r="HD28" s="62"/>
      <c r="HE28" s="65"/>
      <c r="HF28" s="62"/>
      <c r="HG28" s="65">
        <f>FJ28+10</f>
        <v>45725</v>
      </c>
      <c r="HH28" s="62"/>
      <c r="HI28" s="61"/>
      <c r="HJ28" s="62"/>
      <c r="HK28" s="62"/>
      <c r="HL28" s="62"/>
      <c r="HM28" s="65">
        <f>IF(GW28="Yes",HE28,HG28+50)</f>
        <v>45775</v>
      </c>
      <c r="HN28" s="63"/>
      <c r="HO28" s="62"/>
      <c r="HP28" s="78"/>
      <c r="HQ28" s="60"/>
      <c r="HR28" s="63"/>
      <c r="HS28" s="62"/>
      <c r="HT28" s="63"/>
      <c r="HU28" s="62"/>
      <c r="HV28" s="62"/>
      <c r="HW28" s="62"/>
      <c r="HX28" s="79"/>
      <c r="HY28" s="62"/>
      <c r="HZ28" s="79"/>
      <c r="IA28" s="60"/>
      <c r="IB28" s="65">
        <f>HM28+10</f>
        <v>45785</v>
      </c>
      <c r="IC28" s="62"/>
      <c r="ID28" s="61"/>
      <c r="IE28" s="61"/>
      <c r="IF28" s="61"/>
      <c r="IG28" s="61"/>
      <c r="IH28" s="61"/>
      <c r="II28" s="61"/>
      <c r="IJ28" s="61"/>
      <c r="IK28" s="61"/>
      <c r="IL28" s="62"/>
      <c r="IM28" s="62"/>
      <c r="IN28" s="62" t="str">
        <f t="shared" si="61"/>
        <v>-</v>
      </c>
      <c r="IO28" s="60"/>
      <c r="IP28" s="65">
        <f>IB28+30</f>
        <v>45815</v>
      </c>
      <c r="IQ28" s="62">
        <f t="shared" si="62"/>
        <v>0</v>
      </c>
      <c r="IR28" s="62"/>
      <c r="IS28" s="62"/>
      <c r="IT28" s="62"/>
      <c r="IU28" s="62"/>
      <c r="IV28" s="62"/>
      <c r="IW28" s="62"/>
      <c r="IX28" s="62"/>
      <c r="IY28" s="62"/>
      <c r="IZ28" s="62"/>
      <c r="JA28" s="62"/>
      <c r="JB28" s="62"/>
      <c r="JC28" s="62"/>
      <c r="JD28" s="62"/>
      <c r="JE28" s="62"/>
      <c r="JF28" s="62"/>
      <c r="JG28" s="62"/>
      <c r="JH28" s="65">
        <f>IP28+290</f>
        <v>46105</v>
      </c>
      <c r="JI28" s="67" t="str">
        <f t="shared" si="63"/>
        <v>Q1-2026</v>
      </c>
      <c r="JJ28" s="62"/>
      <c r="JK28" s="60"/>
      <c r="JL28" s="61"/>
      <c r="JM28" s="64"/>
      <c r="JN28" s="62"/>
      <c r="JO28" s="62"/>
      <c r="JP28" s="78"/>
      <c r="JQ28" s="61"/>
      <c r="JR28" s="60"/>
      <c r="JS28" s="62"/>
      <c r="JT28" s="62"/>
      <c r="JU28" s="62"/>
      <c r="JV28" s="62"/>
      <c r="JW28" s="62"/>
      <c r="JX28" s="62"/>
      <c r="JY28" s="60"/>
      <c r="JZ28" s="61"/>
      <c r="KA28" s="61"/>
      <c r="KB28" s="61"/>
      <c r="KC28" s="61"/>
      <c r="KD28" s="61"/>
      <c r="KE28" s="61"/>
      <c r="KF28" s="60"/>
      <c r="KG28" s="86"/>
      <c r="KH28" s="60"/>
      <c r="KI28" s="81" t="str">
        <f t="shared" si="29"/>
        <v/>
      </c>
      <c r="KJ28" s="61" t="str">
        <f t="shared" si="30"/>
        <v>Not Gated</v>
      </c>
      <c r="KK28" s="61" t="str">
        <f t="shared" si="31"/>
        <v/>
      </c>
      <c r="KL28" s="62" t="str">
        <f t="shared" si="32"/>
        <v/>
      </c>
      <c r="KM28" s="62" t="str">
        <f t="shared" si="33"/>
        <v/>
      </c>
      <c r="KN28" s="61" t="str">
        <f t="shared" si="34"/>
        <v>Modular Monopole</v>
      </c>
      <c r="KO28" s="61">
        <f t="shared" si="35"/>
        <v>108</v>
      </c>
      <c r="KP28" s="131" t="str">
        <f t="shared" si="36"/>
        <v xml:space="preserve">Wooden Pole Replacement - ACA </v>
      </c>
      <c r="KQ28" s="131" t="str">
        <f t="shared" si="37"/>
        <v>No Forcast Date</v>
      </c>
      <c r="KR28" s="61" t="str">
        <f t="shared" si="38"/>
        <v xml:space="preserve">Wooden Pole Replacement - ACA   Not Gated  UTS  108  No Forcast Date  </v>
      </c>
      <c r="KS28" s="61">
        <f t="shared" si="39"/>
        <v>0</v>
      </c>
      <c r="KT28" s="61" t="str">
        <f t="shared" si="40"/>
        <v/>
      </c>
      <c r="KU28" s="61" t="str">
        <f t="shared" si="41"/>
        <v>Wooden Pole</v>
      </c>
      <c r="KV28" s="61">
        <f t="shared" si="42"/>
        <v>12</v>
      </c>
      <c r="KW28" s="61" t="str">
        <f t="shared" si="43"/>
        <v>Modular Monopole</v>
      </c>
      <c r="KX28" s="61">
        <f t="shared" si="44"/>
        <v>12</v>
      </c>
      <c r="KY28" s="60"/>
      <c r="KZ28" s="60"/>
      <c r="LA28" s="62"/>
      <c r="LB28" s="61"/>
      <c r="LC28" s="62"/>
      <c r="LD28" s="61"/>
      <c r="LE28" s="68" t="str">
        <f t="shared" si="45"/>
        <v>-</v>
      </c>
      <c r="LF28" s="150" t="str">
        <f t="shared" si="46"/>
        <v>-</v>
      </c>
      <c r="LG28" s="60"/>
      <c r="LH28" s="60"/>
      <c r="LI28" s="68">
        <f t="shared" si="47"/>
        <v>68</v>
      </c>
      <c r="LJ28" s="150">
        <f t="shared" si="48"/>
        <v>2.2666666666666666</v>
      </c>
      <c r="LK28" s="60"/>
      <c r="LL28" s="68">
        <f t="shared" si="49"/>
        <v>307</v>
      </c>
      <c r="LM28" s="150">
        <f t="shared" si="50"/>
        <v>10.233333333333333</v>
      </c>
      <c r="LN28" s="60"/>
      <c r="LO28" s="98">
        <f t="shared" si="51"/>
        <v>45348</v>
      </c>
      <c r="LP28" s="68">
        <f t="shared" si="52"/>
        <v>212</v>
      </c>
      <c r="LQ28" s="150">
        <f t="shared" si="53"/>
        <v>7.0666666666666664</v>
      </c>
      <c r="LR28" s="60"/>
      <c r="LS28" s="98">
        <f t="shared" si="54"/>
        <v>45560</v>
      </c>
      <c r="LT28" s="60"/>
      <c r="LU28" s="60"/>
      <c r="LV28" s="60"/>
      <c r="LW28" s="60"/>
      <c r="LX28" s="60"/>
      <c r="LY28" s="60"/>
      <c r="LZ28" s="60"/>
      <c r="MA28" s="60"/>
      <c r="MB28" s="60"/>
      <c r="MC28" s="60"/>
      <c r="MD28" s="60"/>
      <c r="ME28" s="60"/>
      <c r="MF28" s="60"/>
      <c r="MG28" s="60"/>
      <c r="MH28" s="60"/>
      <c r="MI28" s="60"/>
      <c r="MJ28" s="60"/>
      <c r="MK28" s="60"/>
      <c r="ML28" s="60"/>
      <c r="MM28" s="60"/>
      <c r="MN28" s="60"/>
      <c r="MO28" s="60"/>
    </row>
    <row r="29" spans="2:353" ht="21" customHeight="1" x14ac:dyDescent="0.25">
      <c r="B29" s="84" t="s">
        <v>645</v>
      </c>
      <c r="C29" s="58" t="s">
        <v>633</v>
      </c>
      <c r="D29" s="159" t="s">
        <v>331</v>
      </c>
      <c r="E29" s="159">
        <v>108</v>
      </c>
      <c r="F29" s="159" t="s">
        <v>491</v>
      </c>
      <c r="G29" s="159"/>
      <c r="H29" s="59"/>
      <c r="I29" s="159" t="s">
        <v>636</v>
      </c>
      <c r="J29" s="159" t="s">
        <v>636</v>
      </c>
      <c r="K29" s="159" t="s">
        <v>636</v>
      </c>
      <c r="L29" s="159" t="s">
        <v>637</v>
      </c>
      <c r="M29" s="159" t="s">
        <v>254</v>
      </c>
      <c r="N29" s="159">
        <v>15</v>
      </c>
      <c r="O29" s="159" t="s">
        <v>255</v>
      </c>
      <c r="P29" s="159">
        <v>20</v>
      </c>
      <c r="Q29" s="159"/>
      <c r="R29" s="160"/>
      <c r="S29" s="159"/>
      <c r="T29" s="159" t="s">
        <v>404</v>
      </c>
      <c r="U29" s="61" t="s">
        <v>332</v>
      </c>
      <c r="V29" s="61">
        <v>2</v>
      </c>
      <c r="W29" s="65"/>
      <c r="X29" s="72">
        <v>43871</v>
      </c>
      <c r="Y29" s="61" t="s">
        <v>295</v>
      </c>
      <c r="Z29" s="61" t="s">
        <v>270</v>
      </c>
      <c r="AA29" s="61">
        <v>2500</v>
      </c>
      <c r="AB29" s="72">
        <v>43871</v>
      </c>
      <c r="AC29" s="72">
        <v>43868</v>
      </c>
      <c r="AD29" s="72"/>
      <c r="AE29" s="63"/>
      <c r="AF29" s="72">
        <v>43958</v>
      </c>
      <c r="AG29" s="62"/>
      <c r="AH29" s="72"/>
      <c r="AI29" s="61" t="s">
        <v>257</v>
      </c>
      <c r="AJ29" s="61" t="s">
        <v>258</v>
      </c>
      <c r="AK29" s="62" t="s">
        <v>257</v>
      </c>
      <c r="AL29" s="62" t="s">
        <v>257</v>
      </c>
      <c r="AM29" s="62"/>
      <c r="AN29" s="64"/>
      <c r="AO29" s="61" t="s">
        <v>271</v>
      </c>
      <c r="AP29" s="61"/>
      <c r="AQ29" s="61" t="s">
        <v>248</v>
      </c>
      <c r="AR29" s="65">
        <v>44347</v>
      </c>
      <c r="AS29" s="72">
        <v>44347</v>
      </c>
      <c r="AT29" s="72" t="s">
        <v>257</v>
      </c>
      <c r="AU29" s="61">
        <v>2151119</v>
      </c>
      <c r="AV29" s="61" t="s">
        <v>269</v>
      </c>
      <c r="AW29" s="61" t="s">
        <v>243</v>
      </c>
      <c r="AX29" s="62" t="s">
        <v>243</v>
      </c>
      <c r="AY29" s="62" t="s">
        <v>243</v>
      </c>
      <c r="AZ29" s="62" t="s">
        <v>243</v>
      </c>
      <c r="BA29" s="61" t="s">
        <v>243</v>
      </c>
      <c r="BB29" s="61" t="s">
        <v>243</v>
      </c>
      <c r="BC29" s="61" t="s">
        <v>243</v>
      </c>
      <c r="BD29" s="65">
        <v>44417</v>
      </c>
      <c r="BE29" s="72">
        <v>44399</v>
      </c>
      <c r="BF29" s="62" t="s">
        <v>272</v>
      </c>
      <c r="BG29" s="61"/>
      <c r="BH29" s="65">
        <v>44440</v>
      </c>
      <c r="BI29" s="72">
        <v>44440</v>
      </c>
      <c r="BJ29" s="87" t="s">
        <v>272</v>
      </c>
      <c r="BK29" s="61">
        <v>2021</v>
      </c>
      <c r="BL29" s="62">
        <v>44426</v>
      </c>
      <c r="BM29" s="62"/>
      <c r="BN29" s="62"/>
      <c r="BO29" s="61"/>
      <c r="BP29" s="65"/>
      <c r="BQ29" s="67"/>
      <c r="BR29" s="62"/>
      <c r="BS29" s="61"/>
      <c r="BT29" s="65">
        <v>44440</v>
      </c>
      <c r="BU29" s="65" t="s">
        <v>249</v>
      </c>
      <c r="BV29" s="65">
        <v>44440</v>
      </c>
      <c r="BW29" s="147" t="s">
        <v>272</v>
      </c>
      <c r="BX29" s="65">
        <f t="shared" si="28"/>
        <v>46265</v>
      </c>
      <c r="BY29" s="61" t="s">
        <v>273</v>
      </c>
      <c r="BZ29" s="61" t="s">
        <v>333</v>
      </c>
      <c r="CA29" s="61"/>
      <c r="CB29" s="62"/>
      <c r="CC29" s="61"/>
      <c r="CD29" s="68" t="s">
        <v>536</v>
      </c>
      <c r="CE29" s="60" t="s">
        <v>274</v>
      </c>
      <c r="CF29" s="61"/>
      <c r="CG29" s="62"/>
      <c r="CH29" s="78"/>
      <c r="CI29" s="78"/>
      <c r="CJ29" s="136">
        <v>44204</v>
      </c>
      <c r="CK29" s="136"/>
      <c r="CL29" s="138"/>
      <c r="CM29" s="136"/>
      <c r="CN29" s="79"/>
      <c r="CO29" s="70"/>
      <c r="CP29" s="136"/>
      <c r="CQ29" s="64"/>
      <c r="CR29" s="60"/>
      <c r="CS29" s="70"/>
      <c r="CT29" s="61"/>
      <c r="CU29" s="61"/>
      <c r="CV29" s="61"/>
      <c r="CW29" s="61"/>
      <c r="CX29" s="61"/>
      <c r="CY29" s="61"/>
      <c r="CZ29" s="61"/>
      <c r="DA29" s="61"/>
      <c r="DB29" s="61"/>
      <c r="DC29" s="61"/>
      <c r="DD29" s="61"/>
      <c r="DE29" s="61"/>
      <c r="DF29" s="61"/>
      <c r="DG29" s="64"/>
      <c r="DH29" s="60"/>
      <c r="DI29" s="84"/>
      <c r="DJ29" s="84"/>
      <c r="DK29" s="84"/>
      <c r="DL29" s="84"/>
      <c r="DM29" s="84"/>
      <c r="DN29" s="84"/>
      <c r="DO29" s="84"/>
      <c r="DP29" s="84"/>
      <c r="DQ29" s="84"/>
      <c r="DR29" s="84"/>
      <c r="DS29" s="84"/>
      <c r="DT29" s="84"/>
      <c r="DU29" s="84"/>
      <c r="DV29" s="84"/>
      <c r="DW29" s="84"/>
      <c r="DX29" s="84"/>
      <c r="DY29" s="84"/>
      <c r="DZ29" s="84"/>
      <c r="EA29" s="84"/>
      <c r="EB29" s="84"/>
      <c r="EC29" s="84"/>
      <c r="ED29" s="84"/>
      <c r="EE29" s="84"/>
      <c r="EF29" s="84"/>
      <c r="EG29" s="84"/>
      <c r="EH29" s="60"/>
      <c r="EI29" s="61"/>
      <c r="EJ29" s="61"/>
      <c r="EK29" s="61" t="s">
        <v>243</v>
      </c>
      <c r="EL29" s="70"/>
      <c r="EM29" s="71"/>
      <c r="EN29" s="133">
        <f t="shared" si="55"/>
        <v>2</v>
      </c>
      <c r="EO29" s="61">
        <f t="shared" si="56"/>
        <v>0</v>
      </c>
      <c r="EP29" s="62"/>
      <c r="EQ29" s="62"/>
      <c r="ER29" s="73"/>
      <c r="ES29" s="62"/>
      <c r="ET29" s="62"/>
      <c r="EU29" s="62"/>
      <c r="EV29" s="62"/>
      <c r="EW29" s="62"/>
      <c r="EX29" s="62"/>
      <c r="EY29" s="61">
        <f t="shared" si="57"/>
        <v>2</v>
      </c>
      <c r="EZ29" s="90"/>
      <c r="FA29" s="90">
        <v>46023</v>
      </c>
      <c r="FB29" s="73"/>
      <c r="FC29" s="90">
        <v>46023</v>
      </c>
      <c r="FD29" s="61"/>
      <c r="FE29" s="61"/>
      <c r="FF29" s="68" t="str">
        <f t="shared" si="58"/>
        <v>FP / No Demand</v>
      </c>
      <c r="FG29" s="76">
        <f t="shared" si="64"/>
        <v>46023</v>
      </c>
      <c r="FH29" s="65">
        <f t="shared" si="60"/>
        <v>44440</v>
      </c>
      <c r="FI29" s="76"/>
      <c r="FJ29" s="62">
        <v>45962</v>
      </c>
      <c r="FK29" s="62"/>
      <c r="FL29" s="61"/>
      <c r="FM29" s="61"/>
      <c r="FN29" s="61"/>
      <c r="FO29" s="60"/>
      <c r="FP29" s="64"/>
      <c r="FQ29" s="64"/>
      <c r="FR29" s="61"/>
      <c r="FS29" s="61"/>
      <c r="FT29" s="61"/>
      <c r="FU29" s="61"/>
      <c r="FV29" s="60"/>
      <c r="FW29" s="61"/>
      <c r="FX29" s="61"/>
      <c r="FY29" s="61"/>
      <c r="FZ29" s="61"/>
      <c r="GA29" s="61"/>
      <c r="GB29" s="61"/>
      <c r="GC29" s="61"/>
      <c r="GD29" s="61"/>
      <c r="GE29" s="61"/>
      <c r="GF29" s="61"/>
      <c r="GG29" s="61"/>
      <c r="GH29" s="61"/>
      <c r="GI29" s="60"/>
      <c r="GJ29" s="62"/>
      <c r="GK29" s="62"/>
      <c r="GL29" s="62"/>
      <c r="GM29" s="62"/>
      <c r="GN29" s="63"/>
      <c r="GO29" s="63"/>
      <c r="GP29" s="62"/>
      <c r="GQ29" s="62"/>
      <c r="GR29" s="62"/>
      <c r="GS29" s="62"/>
      <c r="GT29" s="62"/>
      <c r="GU29" s="106"/>
      <c r="GV29" s="62"/>
      <c r="GW29" s="62"/>
      <c r="GX29" s="62"/>
      <c r="GY29" s="62"/>
      <c r="GZ29" s="62"/>
      <c r="HA29" s="65"/>
      <c r="HB29" s="62"/>
      <c r="HC29" s="62"/>
      <c r="HD29" s="62"/>
      <c r="HE29" s="65"/>
      <c r="HF29" s="62"/>
      <c r="HG29" s="65"/>
      <c r="HH29" s="62"/>
      <c r="HI29" s="61"/>
      <c r="HJ29" s="62"/>
      <c r="HK29" s="62"/>
      <c r="HL29" s="62"/>
      <c r="HM29" s="65"/>
      <c r="HN29" s="63"/>
      <c r="HO29" s="62"/>
      <c r="HP29" s="78"/>
      <c r="HQ29" s="60"/>
      <c r="HR29" s="63"/>
      <c r="HS29" s="62"/>
      <c r="HT29" s="63"/>
      <c r="HU29" s="62"/>
      <c r="HV29" s="62"/>
      <c r="HW29" s="62"/>
      <c r="HX29" s="79"/>
      <c r="HY29" s="62"/>
      <c r="HZ29" s="79"/>
      <c r="IA29" s="60"/>
      <c r="IB29" s="65"/>
      <c r="IC29" s="62"/>
      <c r="ID29" s="61"/>
      <c r="IE29" s="61"/>
      <c r="IF29" s="61"/>
      <c r="IG29" s="61"/>
      <c r="IH29" s="61"/>
      <c r="II29" s="61"/>
      <c r="IJ29" s="61"/>
      <c r="IK29" s="61"/>
      <c r="IL29" s="62"/>
      <c r="IM29" s="62"/>
      <c r="IN29" s="62" t="str">
        <f t="shared" si="61"/>
        <v>-</v>
      </c>
      <c r="IO29" s="60"/>
      <c r="IP29" s="65"/>
      <c r="IQ29" s="62">
        <f t="shared" si="62"/>
        <v>0</v>
      </c>
      <c r="IR29" s="62"/>
      <c r="IS29" s="62"/>
      <c r="IT29" s="62"/>
      <c r="IU29" s="62"/>
      <c r="IV29" s="62"/>
      <c r="IW29" s="62"/>
      <c r="IX29" s="62"/>
      <c r="IY29" s="62"/>
      <c r="IZ29" s="62"/>
      <c r="JA29" s="62"/>
      <c r="JB29" s="62"/>
      <c r="JC29" s="62"/>
      <c r="JD29" s="62"/>
      <c r="JE29" s="62"/>
      <c r="JF29" s="62"/>
      <c r="JG29" s="62"/>
      <c r="JH29" s="65">
        <f>FJ29+180</f>
        <v>46142</v>
      </c>
      <c r="JI29" s="67" t="str">
        <f t="shared" si="63"/>
        <v>Q2-2026</v>
      </c>
      <c r="JJ29" s="62"/>
      <c r="JK29" s="60"/>
      <c r="JL29" s="61"/>
      <c r="JM29" s="64"/>
      <c r="JN29" s="62"/>
      <c r="JO29" s="62"/>
      <c r="JP29" s="78"/>
      <c r="JQ29" s="61"/>
      <c r="JR29" s="60"/>
      <c r="JS29" s="62"/>
      <c r="JT29" s="62"/>
      <c r="JU29" s="62"/>
      <c r="JV29" s="62"/>
      <c r="JW29" s="62"/>
      <c r="JX29" s="62"/>
      <c r="JY29" s="60"/>
      <c r="JZ29" s="61"/>
      <c r="KA29" s="61"/>
      <c r="KB29" s="61"/>
      <c r="KC29" s="61"/>
      <c r="KD29" s="61"/>
      <c r="KE29" s="61"/>
      <c r="KF29" s="60"/>
      <c r="KG29" s="86"/>
      <c r="KH29" s="60"/>
      <c r="KI29" s="81" t="str">
        <f t="shared" si="29"/>
        <v/>
      </c>
      <c r="KJ29" s="61" t="str">
        <f t="shared" si="30"/>
        <v>Not Gated</v>
      </c>
      <c r="KK29" s="61" t="str">
        <f t="shared" si="31"/>
        <v/>
      </c>
      <c r="KL29" s="62" t="str">
        <f t="shared" si="32"/>
        <v/>
      </c>
      <c r="KM29" s="62" t="str">
        <f t="shared" si="33"/>
        <v/>
      </c>
      <c r="KN29" s="61" t="str">
        <f t="shared" si="34"/>
        <v>Lattice</v>
      </c>
      <c r="KO29" s="61">
        <f t="shared" si="35"/>
        <v>108</v>
      </c>
      <c r="KP29" s="131">
        <f t="shared" si="36"/>
        <v>0</v>
      </c>
      <c r="KQ29" s="131" t="str">
        <f t="shared" si="37"/>
        <v>No Forcast Date</v>
      </c>
      <c r="KR29" s="61" t="str">
        <f t="shared" si="38"/>
        <v xml:space="preserve">0  Not Gated  UTS  108  No Forcast Date  </v>
      </c>
      <c r="KS29" s="61">
        <f t="shared" si="39"/>
        <v>0</v>
      </c>
      <c r="KT29" s="61" t="str">
        <f t="shared" si="40"/>
        <v/>
      </c>
      <c r="KU29" s="61" t="str">
        <f t="shared" si="41"/>
        <v>Lattice Mast</v>
      </c>
      <c r="KV29" s="61">
        <f t="shared" si="42"/>
        <v>15</v>
      </c>
      <c r="KW29" s="61" t="str">
        <f t="shared" si="43"/>
        <v>Lattice</v>
      </c>
      <c r="KX29" s="61">
        <f t="shared" si="44"/>
        <v>20</v>
      </c>
      <c r="KY29" s="60"/>
      <c r="KZ29" s="60"/>
      <c r="LA29" s="62"/>
      <c r="LB29" s="61"/>
      <c r="LC29" s="62"/>
      <c r="LD29" s="61"/>
      <c r="LE29" s="68" t="str">
        <f t="shared" si="45"/>
        <v>-</v>
      </c>
      <c r="LF29" s="150" t="str">
        <f t="shared" si="46"/>
        <v>-</v>
      </c>
      <c r="LG29" s="60"/>
      <c r="LH29" s="60"/>
      <c r="LI29" s="68">
        <f t="shared" si="47"/>
        <v>52</v>
      </c>
      <c r="LJ29" s="150">
        <f t="shared" si="48"/>
        <v>1.7333333333333334</v>
      </c>
      <c r="LK29" s="60"/>
      <c r="LL29" s="68">
        <f t="shared" si="49"/>
        <v>93</v>
      </c>
      <c r="LM29" s="150">
        <f t="shared" si="50"/>
        <v>3.1</v>
      </c>
      <c r="LN29" s="60"/>
      <c r="LO29" s="98" t="str">
        <f t="shared" si="51"/>
        <v>-</v>
      </c>
      <c r="LP29" s="68" t="str">
        <f t="shared" si="52"/>
        <v>-</v>
      </c>
      <c r="LQ29" s="150" t="str">
        <f t="shared" si="53"/>
        <v>-</v>
      </c>
      <c r="LR29" s="60"/>
      <c r="LS29" s="98" t="str">
        <f t="shared" si="54"/>
        <v>-</v>
      </c>
      <c r="LT29" s="60"/>
      <c r="LU29" s="60"/>
      <c r="LV29" s="60"/>
      <c r="LW29" s="60"/>
      <c r="LX29" s="60"/>
      <c r="LY29" s="60"/>
      <c r="LZ29" s="60"/>
      <c r="MA29" s="60"/>
      <c r="MB29" s="60"/>
      <c r="MC29" s="60"/>
      <c r="MD29" s="60"/>
      <c r="ME29" s="60"/>
      <c r="MF29" s="60"/>
      <c r="MG29" s="60"/>
      <c r="MH29" s="60"/>
      <c r="MI29" s="60"/>
      <c r="MJ29" s="60"/>
      <c r="MK29" s="60"/>
      <c r="ML29" s="60"/>
      <c r="MM29" s="60"/>
      <c r="MN29" s="60"/>
      <c r="MO29" s="60"/>
    </row>
    <row r="30" spans="2:353" ht="21" customHeight="1" x14ac:dyDescent="0.25">
      <c r="B30" s="84" t="s">
        <v>646</v>
      </c>
      <c r="C30" s="58" t="s">
        <v>633</v>
      </c>
      <c r="D30" s="159" t="s">
        <v>318</v>
      </c>
      <c r="E30" s="159">
        <v>108</v>
      </c>
      <c r="F30" s="159" t="s">
        <v>460</v>
      </c>
      <c r="G30" s="159"/>
      <c r="H30" s="59"/>
      <c r="I30" s="159" t="s">
        <v>636</v>
      </c>
      <c r="J30" s="159" t="s">
        <v>636</v>
      </c>
      <c r="K30" s="159" t="s">
        <v>636</v>
      </c>
      <c r="L30" s="159" t="s">
        <v>637</v>
      </c>
      <c r="M30" s="159" t="s">
        <v>356</v>
      </c>
      <c r="N30" s="159">
        <v>15</v>
      </c>
      <c r="O30" s="159" t="s">
        <v>330</v>
      </c>
      <c r="P30" s="159">
        <v>20</v>
      </c>
      <c r="Q30" s="159"/>
      <c r="R30" s="160"/>
      <c r="S30" s="159" t="s">
        <v>321</v>
      </c>
      <c r="T30" s="159"/>
      <c r="U30" s="61" t="s">
        <v>382</v>
      </c>
      <c r="V30" s="61">
        <v>2</v>
      </c>
      <c r="W30" s="65"/>
      <c r="X30" s="72" t="s">
        <v>257</v>
      </c>
      <c r="Y30" s="61" t="s">
        <v>241</v>
      </c>
      <c r="Z30" s="61" t="s">
        <v>270</v>
      </c>
      <c r="AA30" s="61" t="s">
        <v>243</v>
      </c>
      <c r="AB30" s="72">
        <v>43762</v>
      </c>
      <c r="AC30" s="72">
        <v>43768</v>
      </c>
      <c r="AD30" s="72"/>
      <c r="AE30" s="63"/>
      <c r="AF30" s="72">
        <v>43769</v>
      </c>
      <c r="AG30" s="62"/>
      <c r="AH30" s="72"/>
      <c r="AI30" s="61" t="s">
        <v>257</v>
      </c>
      <c r="AJ30" s="61" t="s">
        <v>248</v>
      </c>
      <c r="AK30" s="72" t="s">
        <v>257</v>
      </c>
      <c r="AL30" s="72">
        <v>44000</v>
      </c>
      <c r="AM30" s="62"/>
      <c r="AN30" s="64"/>
      <c r="AO30" s="61" t="s">
        <v>246</v>
      </c>
      <c r="AP30" s="61"/>
      <c r="AQ30" s="61" t="s">
        <v>248</v>
      </c>
      <c r="AR30" s="65">
        <v>43875</v>
      </c>
      <c r="AS30" s="72">
        <v>43875</v>
      </c>
      <c r="AT30" s="72">
        <v>43879</v>
      </c>
      <c r="AU30" s="61" t="s">
        <v>596</v>
      </c>
      <c r="AV30" s="61"/>
      <c r="AW30" s="61"/>
      <c r="AX30" s="62"/>
      <c r="AY30" s="62"/>
      <c r="AZ30" s="62"/>
      <c r="BA30" s="61"/>
      <c r="BB30" s="61"/>
      <c r="BC30" s="61"/>
      <c r="BD30" s="65">
        <v>43950</v>
      </c>
      <c r="BE30" s="140">
        <v>43950</v>
      </c>
      <c r="BF30" s="62" t="s">
        <v>307</v>
      </c>
      <c r="BG30" s="61">
        <v>11</v>
      </c>
      <c r="BH30" s="65">
        <v>44004</v>
      </c>
      <c r="BI30" s="72">
        <v>44004</v>
      </c>
      <c r="BJ30" s="62" t="s">
        <v>344</v>
      </c>
      <c r="BK30" s="61">
        <v>2020</v>
      </c>
      <c r="BL30" s="62">
        <v>43977</v>
      </c>
      <c r="BM30" s="72">
        <v>44001</v>
      </c>
      <c r="BN30" s="62"/>
      <c r="BO30" s="61">
        <v>307377</v>
      </c>
      <c r="BP30" s="65">
        <v>44126</v>
      </c>
      <c r="BQ30" s="67"/>
      <c r="BR30" s="72">
        <v>44105</v>
      </c>
      <c r="BS30" s="61" t="s">
        <v>272</v>
      </c>
      <c r="BT30" s="65">
        <v>44105</v>
      </c>
      <c r="BU30" s="65" t="s">
        <v>249</v>
      </c>
      <c r="BV30" s="65">
        <v>44105</v>
      </c>
      <c r="BW30" s="147" t="s">
        <v>272</v>
      </c>
      <c r="BX30" s="65">
        <f t="shared" si="28"/>
        <v>45930</v>
      </c>
      <c r="BY30" s="61" t="s">
        <v>273</v>
      </c>
      <c r="BZ30" s="61" t="s">
        <v>431</v>
      </c>
      <c r="CA30" s="61"/>
      <c r="CB30" s="72" t="s">
        <v>244</v>
      </c>
      <c r="CC30" s="61"/>
      <c r="CD30" s="68" t="s">
        <v>536</v>
      </c>
      <c r="CE30" s="60" t="s">
        <v>274</v>
      </c>
      <c r="CF30" s="61"/>
      <c r="CG30" s="61"/>
      <c r="CH30" s="61"/>
      <c r="CI30" s="62"/>
      <c r="CJ30" s="62"/>
      <c r="CK30" s="61"/>
      <c r="CL30" s="69"/>
      <c r="CM30" s="61"/>
      <c r="CN30" s="61"/>
      <c r="CO30" s="61"/>
      <c r="CP30" s="61" t="s">
        <v>261</v>
      </c>
      <c r="CQ30" s="64"/>
      <c r="CR30" s="60"/>
      <c r="CS30" s="70" t="s">
        <v>597</v>
      </c>
      <c r="CT30" s="61" t="s">
        <v>269</v>
      </c>
      <c r="CU30" s="61" t="s">
        <v>269</v>
      </c>
      <c r="CV30" s="82" t="s">
        <v>275</v>
      </c>
      <c r="CW30" s="82" t="s">
        <v>275</v>
      </c>
      <c r="CX30" s="61" t="s">
        <v>269</v>
      </c>
      <c r="CY30" s="61" t="s">
        <v>269</v>
      </c>
      <c r="CZ30" s="61" t="s">
        <v>269</v>
      </c>
      <c r="DA30" s="61"/>
      <c r="DB30" s="61"/>
      <c r="DC30" s="61"/>
      <c r="DD30" s="61"/>
      <c r="DE30" s="61"/>
      <c r="DF30" s="61" t="s">
        <v>269</v>
      </c>
      <c r="DG30" s="61" t="s">
        <v>269</v>
      </c>
      <c r="DH30" s="60"/>
      <c r="DI30" s="62"/>
      <c r="DJ30" s="62"/>
      <c r="DK30" s="62" t="s">
        <v>276</v>
      </c>
      <c r="DL30" s="62" t="s">
        <v>276</v>
      </c>
      <c r="DM30" s="72"/>
      <c r="DN30" s="72"/>
      <c r="DO30" s="72"/>
      <c r="DP30" s="72"/>
      <c r="DQ30" s="62"/>
      <c r="DR30" s="62"/>
      <c r="DS30" s="62"/>
      <c r="DT30" s="62"/>
      <c r="DU30" s="62"/>
      <c r="DV30" s="62"/>
      <c r="DW30" s="62"/>
      <c r="DX30" s="62"/>
      <c r="DY30" s="62"/>
      <c r="DZ30" s="62"/>
      <c r="EA30" s="62"/>
      <c r="EB30" s="62"/>
      <c r="EC30" s="62"/>
      <c r="ED30" s="62"/>
      <c r="EE30" s="62"/>
      <c r="EF30" s="62"/>
      <c r="EG30" s="62"/>
      <c r="EH30" s="60"/>
      <c r="EI30" s="83">
        <v>44244</v>
      </c>
      <c r="EJ30" s="83" t="s">
        <v>598</v>
      </c>
      <c r="EK30" s="61">
        <v>2</v>
      </c>
      <c r="EL30" s="70"/>
      <c r="EM30" s="71" t="s">
        <v>340</v>
      </c>
      <c r="EN30" s="133">
        <f t="shared" si="55"/>
        <v>2</v>
      </c>
      <c r="EO30" s="61">
        <f t="shared" si="56"/>
        <v>2</v>
      </c>
      <c r="EP30" s="72">
        <v>44197</v>
      </c>
      <c r="EQ30" s="62"/>
      <c r="ER30" s="72">
        <v>44562</v>
      </c>
      <c r="ES30" s="72">
        <v>44488</v>
      </c>
      <c r="ET30" s="62"/>
      <c r="EU30" s="62"/>
      <c r="EV30" s="62"/>
      <c r="EW30" s="62"/>
      <c r="EX30" s="62"/>
      <c r="EY30" s="61">
        <f t="shared" si="57"/>
        <v>0</v>
      </c>
      <c r="EZ30" s="62"/>
      <c r="FA30" s="62"/>
      <c r="FB30" s="73"/>
      <c r="FC30" s="62"/>
      <c r="FD30" s="61"/>
      <c r="FE30" s="61"/>
      <c r="FF30" s="68" t="str">
        <f t="shared" si="58"/>
        <v>FP &amp; Demand</v>
      </c>
      <c r="FG30" s="76" t="str">
        <f t="shared" si="64"/>
        <v>-</v>
      </c>
      <c r="FH30" s="65">
        <f t="shared" si="60"/>
        <v>44105</v>
      </c>
      <c r="FI30" s="76"/>
      <c r="FJ30" s="62">
        <f>FH30+7</f>
        <v>44112</v>
      </c>
      <c r="FK30" s="62">
        <v>44155</v>
      </c>
      <c r="FL30" s="61" t="s">
        <v>299</v>
      </c>
      <c r="FM30" s="61"/>
      <c r="FN30" s="61"/>
      <c r="FO30" s="60"/>
      <c r="FP30" s="64"/>
      <c r="FQ30" s="64"/>
      <c r="FR30" s="61"/>
      <c r="FS30" s="77" t="s">
        <v>257</v>
      </c>
      <c r="FT30" s="61"/>
      <c r="FU30" s="61"/>
      <c r="FV30" s="60"/>
      <c r="FW30" s="61"/>
      <c r="FX30" s="61"/>
      <c r="FY30" s="61"/>
      <c r="FZ30" s="61"/>
      <c r="GA30" s="61"/>
      <c r="GB30" s="61"/>
      <c r="GC30" s="61"/>
      <c r="GD30" s="61"/>
      <c r="GE30" s="61"/>
      <c r="GF30" s="61"/>
      <c r="GG30" s="61"/>
      <c r="GH30" s="61"/>
      <c r="GI30" s="60"/>
      <c r="GJ30" s="62"/>
      <c r="GK30" s="62"/>
      <c r="GL30" s="62"/>
      <c r="GM30" s="62"/>
      <c r="GN30" s="63"/>
      <c r="GO30" s="63"/>
      <c r="GP30" s="62"/>
      <c r="GQ30" s="62"/>
      <c r="GR30" s="62"/>
      <c r="GS30" s="62"/>
      <c r="GT30" s="62"/>
      <c r="GU30" s="62"/>
      <c r="GV30" s="78"/>
      <c r="GW30" s="62"/>
      <c r="GX30" s="62"/>
      <c r="GY30" s="62"/>
      <c r="GZ30" s="62"/>
      <c r="HA30" s="67"/>
      <c r="HB30" s="62"/>
      <c r="HC30" s="62"/>
      <c r="HD30" s="62"/>
      <c r="HE30" s="65"/>
      <c r="HF30" s="62"/>
      <c r="HG30" s="65">
        <f>FJ30+10</f>
        <v>44122</v>
      </c>
      <c r="HH30" s="62"/>
      <c r="HI30" s="61"/>
      <c r="HJ30" s="62"/>
      <c r="HK30" s="62"/>
      <c r="HL30" s="62"/>
      <c r="HM30" s="65">
        <f>IF(GW30="Yes",HE30,HG30+50)</f>
        <v>44172</v>
      </c>
      <c r="HN30" s="63"/>
      <c r="HO30" s="62"/>
      <c r="HP30" s="78"/>
      <c r="HQ30" s="60"/>
      <c r="HR30" s="63"/>
      <c r="HS30" s="62"/>
      <c r="HT30" s="63"/>
      <c r="HU30" s="62"/>
      <c r="HV30" s="62"/>
      <c r="HW30" s="62"/>
      <c r="HX30" s="79"/>
      <c r="HY30" s="62"/>
      <c r="HZ30" s="79"/>
      <c r="IA30" s="60"/>
      <c r="IB30" s="65">
        <f>HM30+10</f>
        <v>44182</v>
      </c>
      <c r="IC30" s="62"/>
      <c r="ID30" s="61"/>
      <c r="IE30" s="61"/>
      <c r="IF30" s="61"/>
      <c r="IG30" s="61"/>
      <c r="IH30" s="61"/>
      <c r="II30" s="61"/>
      <c r="IJ30" s="61"/>
      <c r="IK30" s="61"/>
      <c r="IL30" s="62"/>
      <c r="IM30" s="62"/>
      <c r="IN30" s="62" t="str">
        <f t="shared" si="61"/>
        <v>Timed out</v>
      </c>
      <c r="IO30" s="60"/>
      <c r="IP30" s="65">
        <f>IB30+30</f>
        <v>44212</v>
      </c>
      <c r="IQ30" s="62">
        <f t="shared" si="62"/>
        <v>0</v>
      </c>
      <c r="IR30" s="62"/>
      <c r="IS30" s="62"/>
      <c r="IT30" s="62"/>
      <c r="IU30" s="62"/>
      <c r="IV30" s="62"/>
      <c r="IW30" s="62"/>
      <c r="IX30" s="62"/>
      <c r="IY30" s="62"/>
      <c r="IZ30" s="62"/>
      <c r="JA30" s="62"/>
      <c r="JB30" s="62"/>
      <c r="JC30" s="62"/>
      <c r="JD30" s="62"/>
      <c r="JE30" s="62"/>
      <c r="JF30" s="62"/>
      <c r="JG30" s="62"/>
      <c r="JH30" s="65">
        <v>44446</v>
      </c>
      <c r="JI30" s="67" t="str">
        <f t="shared" si="63"/>
        <v>Q3-2021</v>
      </c>
      <c r="JJ30" s="80">
        <v>44446</v>
      </c>
      <c r="JK30" s="60"/>
      <c r="JL30" s="61"/>
      <c r="JM30" s="64"/>
      <c r="JN30" s="62"/>
      <c r="JO30" s="62" t="s">
        <v>276</v>
      </c>
      <c r="JP30" s="78"/>
      <c r="JQ30" s="61"/>
      <c r="JR30" s="60"/>
      <c r="JS30" s="62"/>
      <c r="JT30" s="62"/>
      <c r="JU30" s="62"/>
      <c r="JV30" s="62"/>
      <c r="JW30" s="62"/>
      <c r="JX30" s="62"/>
      <c r="JY30" s="60"/>
      <c r="JZ30" s="61"/>
      <c r="KA30" s="61"/>
      <c r="KB30" s="61"/>
      <c r="KC30" s="61"/>
      <c r="KD30" s="61"/>
      <c r="KE30" s="61"/>
      <c r="KF30" s="60"/>
      <c r="KG30" s="61"/>
      <c r="KH30" s="60"/>
      <c r="KI30" s="81" t="str">
        <f t="shared" si="29"/>
        <v>TLKxxxx</v>
      </c>
      <c r="KJ30" s="61" t="str">
        <f t="shared" si="30"/>
        <v>Live</v>
      </c>
      <c r="KK30" s="61" t="str">
        <f t="shared" si="31"/>
        <v>TLKxxxx</v>
      </c>
      <c r="KL30" s="62">
        <f t="shared" si="32"/>
        <v>44446</v>
      </c>
      <c r="KM30" s="62">
        <f t="shared" si="33"/>
        <v>44446</v>
      </c>
      <c r="KN30" s="61" t="str">
        <f t="shared" si="34"/>
        <v>Lattice ext</v>
      </c>
      <c r="KO30" s="61">
        <f t="shared" si="35"/>
        <v>108</v>
      </c>
      <c r="KP30" s="131">
        <f t="shared" si="36"/>
        <v>0</v>
      </c>
      <c r="KQ30" s="131" t="str">
        <f t="shared" si="37"/>
        <v>Q3-2021</v>
      </c>
      <c r="KR30" s="61" t="str">
        <f t="shared" si="38"/>
        <v xml:space="preserve">0  Live  UTS  108  Q3-2021  </v>
      </c>
      <c r="KS30" s="61" t="str">
        <f t="shared" si="39"/>
        <v>RFI</v>
      </c>
      <c r="KT30" s="61" t="str">
        <f t="shared" si="40"/>
        <v>Site name</v>
      </c>
      <c r="KU30" s="61" t="str">
        <f t="shared" si="41"/>
        <v>Lattice Tower</v>
      </c>
      <c r="KV30" s="61">
        <f t="shared" si="42"/>
        <v>15</v>
      </c>
      <c r="KW30" s="61" t="str">
        <f t="shared" si="43"/>
        <v>Lattice ext</v>
      </c>
      <c r="KX30" s="61">
        <f t="shared" si="44"/>
        <v>20</v>
      </c>
      <c r="KY30" s="60"/>
      <c r="KZ30" s="60"/>
      <c r="LA30" s="62"/>
      <c r="LB30" s="61"/>
      <c r="LC30" s="62"/>
      <c r="LD30" s="61"/>
      <c r="LE30" s="68" t="str">
        <f t="shared" si="45"/>
        <v>-</v>
      </c>
      <c r="LF30" s="150" t="str">
        <f t="shared" si="46"/>
        <v>-</v>
      </c>
      <c r="LG30" s="60"/>
      <c r="LH30" s="60"/>
      <c r="LI30" s="68">
        <f t="shared" si="47"/>
        <v>75</v>
      </c>
      <c r="LJ30" s="150">
        <f t="shared" si="48"/>
        <v>2.5</v>
      </c>
      <c r="LK30" s="60"/>
      <c r="LL30" s="68">
        <f t="shared" si="49"/>
        <v>230</v>
      </c>
      <c r="LM30" s="150">
        <f t="shared" si="50"/>
        <v>7.666666666666667</v>
      </c>
      <c r="LN30" s="60"/>
      <c r="LO30" s="98">
        <f t="shared" si="51"/>
        <v>44001</v>
      </c>
      <c r="LP30" s="68">
        <f t="shared" si="52"/>
        <v>104</v>
      </c>
      <c r="LQ30" s="150">
        <f t="shared" si="53"/>
        <v>3.4666666666666668</v>
      </c>
      <c r="LR30" s="60"/>
      <c r="LS30" s="98">
        <f t="shared" si="54"/>
        <v>44105</v>
      </c>
      <c r="LT30" s="60"/>
      <c r="LU30" s="60"/>
      <c r="LV30" s="60"/>
      <c r="LW30" s="60"/>
      <c r="LX30" s="60"/>
      <c r="LY30" s="60"/>
      <c r="LZ30" s="60"/>
      <c r="MA30" s="60"/>
      <c r="MB30" s="60"/>
      <c r="MC30" s="60"/>
      <c r="MD30" s="60"/>
      <c r="ME30" s="60"/>
      <c r="MF30" s="60"/>
      <c r="MG30" s="60"/>
      <c r="MH30" s="60"/>
      <c r="MI30" s="60"/>
      <c r="MJ30" s="60"/>
      <c r="MK30" s="60"/>
      <c r="ML30" s="60"/>
      <c r="MM30" s="60"/>
      <c r="MN30" s="60"/>
      <c r="MO30" s="60"/>
    </row>
    <row r="31" spans="2:353" ht="21" customHeight="1" x14ac:dyDescent="0.25">
      <c r="B31" s="84" t="s">
        <v>647</v>
      </c>
      <c r="C31" s="58" t="s">
        <v>633</v>
      </c>
      <c r="D31" s="159" t="s">
        <v>444</v>
      </c>
      <c r="E31" s="159">
        <v>108</v>
      </c>
      <c r="F31" s="159" t="s">
        <v>461</v>
      </c>
      <c r="G31" s="159"/>
      <c r="H31" s="59"/>
      <c r="I31" s="159" t="s">
        <v>636</v>
      </c>
      <c r="J31" s="159" t="s">
        <v>636</v>
      </c>
      <c r="K31" s="159" t="s">
        <v>636</v>
      </c>
      <c r="L31" s="159" t="s">
        <v>637</v>
      </c>
      <c r="M31" s="159" t="s">
        <v>278</v>
      </c>
      <c r="N31" s="159">
        <v>10</v>
      </c>
      <c r="O31" s="159" t="s">
        <v>240</v>
      </c>
      <c r="P31" s="159">
        <v>21</v>
      </c>
      <c r="Q31" s="159"/>
      <c r="R31" s="160"/>
      <c r="S31" s="159" t="s">
        <v>630</v>
      </c>
      <c r="T31" s="159"/>
      <c r="U31" s="61" t="s">
        <v>364</v>
      </c>
      <c r="V31" s="61">
        <v>2</v>
      </c>
      <c r="W31" s="65"/>
      <c r="X31" s="72" t="s">
        <v>257</v>
      </c>
      <c r="Y31" s="61" t="s">
        <v>305</v>
      </c>
      <c r="Z31" s="61" t="s">
        <v>242</v>
      </c>
      <c r="AA31" s="61">
        <v>2500</v>
      </c>
      <c r="AB31" s="72">
        <v>43892</v>
      </c>
      <c r="AC31" s="72">
        <v>44078</v>
      </c>
      <c r="AD31" s="72"/>
      <c r="AE31" s="63"/>
      <c r="AF31" s="72">
        <v>44088</v>
      </c>
      <c r="AG31" s="62"/>
      <c r="AH31" s="72"/>
      <c r="AI31" s="61"/>
      <c r="AJ31" s="61"/>
      <c r="AK31" s="62"/>
      <c r="AL31" s="62"/>
      <c r="AM31" s="62"/>
      <c r="AN31" s="64"/>
      <c r="AO31" s="61" t="s">
        <v>246</v>
      </c>
      <c r="AP31" s="61" t="s">
        <v>247</v>
      </c>
      <c r="AQ31" s="61"/>
      <c r="AR31" s="65">
        <v>44092</v>
      </c>
      <c r="AS31" s="72">
        <v>44092</v>
      </c>
      <c r="AT31" s="72" t="s">
        <v>257</v>
      </c>
      <c r="AU31" s="61">
        <v>20477</v>
      </c>
      <c r="AV31" s="61"/>
      <c r="AW31" s="61"/>
      <c r="AX31" s="62">
        <v>44134</v>
      </c>
      <c r="AY31" s="62">
        <v>44315</v>
      </c>
      <c r="AZ31" s="72">
        <v>44308</v>
      </c>
      <c r="BA31" s="61"/>
      <c r="BB31" s="61"/>
      <c r="BC31" s="61"/>
      <c r="BD31" s="65">
        <v>44442</v>
      </c>
      <c r="BE31" s="140">
        <v>44420</v>
      </c>
      <c r="BF31" s="62" t="s">
        <v>272</v>
      </c>
      <c r="BG31" s="61">
        <v>0</v>
      </c>
      <c r="BH31" s="65">
        <v>44477</v>
      </c>
      <c r="BI31" s="62"/>
      <c r="BJ31" s="62" t="s">
        <v>344</v>
      </c>
      <c r="BK31" s="61">
        <v>2022</v>
      </c>
      <c r="BL31" s="62">
        <v>44447</v>
      </c>
      <c r="BM31" s="72">
        <v>44447</v>
      </c>
      <c r="BN31" s="62"/>
      <c r="BO31" s="61">
        <v>311332</v>
      </c>
      <c r="BP31" s="65">
        <v>44581</v>
      </c>
      <c r="BQ31" s="67"/>
      <c r="BR31" s="72">
        <v>44664</v>
      </c>
      <c r="BS31" s="61" t="s">
        <v>272</v>
      </c>
      <c r="BT31" s="65">
        <v>44664</v>
      </c>
      <c r="BU31" s="65" t="s">
        <v>249</v>
      </c>
      <c r="BV31" s="65">
        <v>44664</v>
      </c>
      <c r="BW31" s="147" t="s">
        <v>272</v>
      </c>
      <c r="BX31" s="65">
        <f t="shared" si="28"/>
        <v>46489</v>
      </c>
      <c r="BY31" s="61" t="s">
        <v>273</v>
      </c>
      <c r="BZ31" s="61" t="s">
        <v>432</v>
      </c>
      <c r="CA31" s="61"/>
      <c r="CB31" s="72">
        <v>44743</v>
      </c>
      <c r="CC31" s="61" t="s">
        <v>257</v>
      </c>
      <c r="CD31" s="68" t="s">
        <v>536</v>
      </c>
      <c r="CE31" s="60" t="s">
        <v>274</v>
      </c>
      <c r="CF31" s="61"/>
      <c r="CG31" s="61"/>
      <c r="CH31" s="61"/>
      <c r="CI31" s="62"/>
      <c r="CJ31" s="62"/>
      <c r="CK31" s="61" t="s">
        <v>324</v>
      </c>
      <c r="CL31" s="69">
        <v>44287</v>
      </c>
      <c r="CM31" s="61"/>
      <c r="CN31" s="61"/>
      <c r="CO31" s="61"/>
      <c r="CP31" s="61"/>
      <c r="CQ31" s="64" t="s">
        <v>599</v>
      </c>
      <c r="CR31" s="60"/>
      <c r="CS31" s="70"/>
      <c r="CT31" s="61" t="s">
        <v>269</v>
      </c>
      <c r="CU31" s="61" t="s">
        <v>269</v>
      </c>
      <c r="CV31" s="61" t="s">
        <v>269</v>
      </c>
      <c r="CW31" s="61" t="s">
        <v>269</v>
      </c>
      <c r="CX31" s="61" t="s">
        <v>269</v>
      </c>
      <c r="CY31" s="82" t="s">
        <v>275</v>
      </c>
      <c r="CZ31" s="61" t="s">
        <v>269</v>
      </c>
      <c r="DA31" s="61"/>
      <c r="DB31" s="61"/>
      <c r="DC31" s="61"/>
      <c r="DD31" s="61"/>
      <c r="DE31" s="61"/>
      <c r="DF31" s="61" t="s">
        <v>269</v>
      </c>
      <c r="DG31" s="64" t="s">
        <v>329</v>
      </c>
      <c r="DH31" s="60"/>
      <c r="DI31" s="62"/>
      <c r="DJ31" s="62"/>
      <c r="DK31" s="62" t="s">
        <v>368</v>
      </c>
      <c r="DL31" s="62" t="s">
        <v>368</v>
      </c>
      <c r="DM31" s="62" t="s">
        <v>368</v>
      </c>
      <c r="DN31" s="62" t="s">
        <v>368</v>
      </c>
      <c r="DO31" s="62" t="s">
        <v>368</v>
      </c>
      <c r="DP31" s="62" t="s">
        <v>368</v>
      </c>
      <c r="DQ31" s="62"/>
      <c r="DR31" s="62"/>
      <c r="DS31" s="62"/>
      <c r="DT31" s="62"/>
      <c r="DU31" s="62"/>
      <c r="DV31" s="62"/>
      <c r="DW31" s="62"/>
      <c r="DX31" s="62"/>
      <c r="DY31" s="62"/>
      <c r="DZ31" s="62"/>
      <c r="EA31" s="62"/>
      <c r="EB31" s="62"/>
      <c r="EC31" s="62"/>
      <c r="ED31" s="62"/>
      <c r="EE31" s="62"/>
      <c r="EF31" s="62"/>
      <c r="EG31" s="62"/>
      <c r="EH31" s="60"/>
      <c r="EI31" s="72">
        <v>44972</v>
      </c>
      <c r="EJ31" s="72">
        <v>45014</v>
      </c>
      <c r="EK31" s="61">
        <v>2</v>
      </c>
      <c r="EL31" s="70"/>
      <c r="EM31" s="71"/>
      <c r="EN31" s="133">
        <f t="shared" si="55"/>
        <v>3</v>
      </c>
      <c r="EO31" s="61">
        <f t="shared" si="56"/>
        <v>1</v>
      </c>
      <c r="EP31" s="62"/>
      <c r="EQ31" s="72">
        <v>45190</v>
      </c>
      <c r="ER31" s="73"/>
      <c r="ES31" s="62"/>
      <c r="ET31" s="62"/>
      <c r="EU31" s="62"/>
      <c r="EV31" s="62"/>
      <c r="EW31" s="62"/>
      <c r="EX31" s="62"/>
      <c r="EY31" s="61">
        <f t="shared" si="57"/>
        <v>2</v>
      </c>
      <c r="EZ31" s="62">
        <v>46753</v>
      </c>
      <c r="FA31" s="61"/>
      <c r="FB31" s="74"/>
      <c r="FC31" s="62">
        <v>47484</v>
      </c>
      <c r="FD31" s="61"/>
      <c r="FE31" s="61"/>
      <c r="FF31" s="68" t="str">
        <f t="shared" si="58"/>
        <v>FP &amp; Demand</v>
      </c>
      <c r="FG31" s="76">
        <f t="shared" si="64"/>
        <v>46753</v>
      </c>
      <c r="FH31" s="65">
        <f t="shared" si="60"/>
        <v>44664</v>
      </c>
      <c r="FI31" s="76"/>
      <c r="FJ31" s="106">
        <f>FH31+7</f>
        <v>44671</v>
      </c>
      <c r="FK31" s="106">
        <v>44750</v>
      </c>
      <c r="FL31" s="61" t="s">
        <v>299</v>
      </c>
      <c r="FM31" s="61"/>
      <c r="FN31" s="61"/>
      <c r="FO31" s="60"/>
      <c r="FP31" s="110"/>
      <c r="FQ31" s="110"/>
      <c r="FR31" s="61"/>
      <c r="FS31" s="77" t="s">
        <v>257</v>
      </c>
      <c r="FT31" s="61"/>
      <c r="FU31" s="61"/>
      <c r="FV31" s="60"/>
      <c r="FW31" s="61"/>
      <c r="FX31" s="61"/>
      <c r="FY31" s="61"/>
      <c r="FZ31" s="61"/>
      <c r="GA31" s="61"/>
      <c r="GB31" s="61"/>
      <c r="GC31" s="61"/>
      <c r="GD31" s="61"/>
      <c r="GE31" s="61"/>
      <c r="GF31" s="61"/>
      <c r="GG31" s="61"/>
      <c r="GH31" s="61"/>
      <c r="GI31" s="60"/>
      <c r="GJ31" s="62"/>
      <c r="GK31" s="62"/>
      <c r="GL31" s="62"/>
      <c r="GM31" s="62"/>
      <c r="GN31" s="63"/>
      <c r="GO31" s="63"/>
      <c r="GP31" s="62"/>
      <c r="GQ31" s="62"/>
      <c r="GR31" s="62"/>
      <c r="GS31" s="62"/>
      <c r="GT31" s="62"/>
      <c r="GU31" s="62"/>
      <c r="GV31" s="78"/>
      <c r="GW31" s="62"/>
      <c r="GX31" s="62"/>
      <c r="GY31" s="62"/>
      <c r="GZ31" s="62"/>
      <c r="HA31" s="67"/>
      <c r="HB31" s="62"/>
      <c r="HC31" s="82" t="s">
        <v>257</v>
      </c>
      <c r="HD31" s="62"/>
      <c r="HE31" s="65"/>
      <c r="HF31" s="62"/>
      <c r="HG31" s="65">
        <f>FJ31+10</f>
        <v>44681</v>
      </c>
      <c r="HH31" s="62"/>
      <c r="HI31" s="61"/>
      <c r="HJ31" s="62"/>
      <c r="HK31" s="107"/>
      <c r="HL31" s="107"/>
      <c r="HM31" s="65">
        <f>IF(GW31="Yes",HE31,HG31+50)</f>
        <v>44731</v>
      </c>
      <c r="HN31" s="63"/>
      <c r="HO31" s="107"/>
      <c r="HP31" s="78"/>
      <c r="HQ31" s="60"/>
      <c r="HR31" s="63"/>
      <c r="HS31" s="107"/>
      <c r="HT31" s="63"/>
      <c r="HU31" s="107"/>
      <c r="HV31" s="62"/>
      <c r="HW31" s="107"/>
      <c r="HX31" s="79"/>
      <c r="HY31" s="107"/>
      <c r="HZ31" s="79"/>
      <c r="IA31" s="60"/>
      <c r="IB31" s="65">
        <f>HM31+10</f>
        <v>44741</v>
      </c>
      <c r="IC31" s="62"/>
      <c r="ID31" s="61"/>
      <c r="IE31" s="61"/>
      <c r="IF31" s="61"/>
      <c r="IG31" s="61"/>
      <c r="IH31" s="61"/>
      <c r="II31" s="61"/>
      <c r="IJ31" s="61"/>
      <c r="IK31" s="61"/>
      <c r="IL31" s="62"/>
      <c r="IM31" s="62"/>
      <c r="IN31" s="72">
        <f t="shared" si="61"/>
        <v>45014</v>
      </c>
      <c r="IO31" s="60"/>
      <c r="IP31" s="65">
        <f>IB31+30</f>
        <v>44771</v>
      </c>
      <c r="IQ31" s="62">
        <f t="shared" si="62"/>
        <v>0</v>
      </c>
      <c r="IR31" s="62"/>
      <c r="IS31" s="62"/>
      <c r="IT31" s="62"/>
      <c r="IU31" s="62"/>
      <c r="IV31" s="62"/>
      <c r="IW31" s="62"/>
      <c r="IX31" s="62"/>
      <c r="IY31" s="83" t="s">
        <v>257</v>
      </c>
      <c r="IZ31" s="62"/>
      <c r="JA31" s="62"/>
      <c r="JB31" s="62"/>
      <c r="JC31" s="62"/>
      <c r="JD31" s="62"/>
      <c r="JE31" s="62"/>
      <c r="JF31" s="62"/>
      <c r="JG31" s="62"/>
      <c r="JH31" s="65">
        <v>45190</v>
      </c>
      <c r="JI31" s="67" t="str">
        <f t="shared" si="63"/>
        <v>Q3-2023</v>
      </c>
      <c r="JJ31" s="80">
        <v>45190</v>
      </c>
      <c r="JK31" s="60"/>
      <c r="JL31" s="61"/>
      <c r="JM31" s="64" t="s">
        <v>622</v>
      </c>
      <c r="JN31" s="62"/>
      <c r="JO31" s="62" t="s">
        <v>257</v>
      </c>
      <c r="JP31" s="78" t="s">
        <v>278</v>
      </c>
      <c r="JQ31" s="72">
        <v>45624</v>
      </c>
      <c r="JR31" s="60"/>
      <c r="JS31" s="62"/>
      <c r="JT31" s="62"/>
      <c r="JU31" s="62"/>
      <c r="JV31" s="62"/>
      <c r="JW31" s="62"/>
      <c r="JX31" s="62"/>
      <c r="JY31" s="60"/>
      <c r="JZ31" s="61"/>
      <c r="KA31" s="61"/>
      <c r="KB31" s="61"/>
      <c r="KC31" s="61"/>
      <c r="KD31" s="61"/>
      <c r="KE31" s="61"/>
      <c r="KF31" s="60"/>
      <c r="KG31" s="61"/>
      <c r="KH31" s="60"/>
      <c r="KI31" s="81" t="str">
        <f t="shared" si="29"/>
        <v>TGYxxxx</v>
      </c>
      <c r="KJ31" s="61" t="str">
        <f t="shared" si="30"/>
        <v>Live</v>
      </c>
      <c r="KK31" s="61" t="str">
        <f t="shared" si="31"/>
        <v>TGYxxxx</v>
      </c>
      <c r="KL31" s="62">
        <f t="shared" si="32"/>
        <v>45190</v>
      </c>
      <c r="KM31" s="62">
        <f t="shared" si="33"/>
        <v>45190</v>
      </c>
      <c r="KN31" s="61" t="str">
        <f t="shared" si="34"/>
        <v>Monopole</v>
      </c>
      <c r="KO31" s="61">
        <f t="shared" si="35"/>
        <v>108</v>
      </c>
      <c r="KP31" s="131">
        <f t="shared" si="36"/>
        <v>0</v>
      </c>
      <c r="KQ31" s="131" t="str">
        <f t="shared" si="37"/>
        <v>Q3-2023</v>
      </c>
      <c r="KR31" s="61" t="str">
        <f t="shared" si="38"/>
        <v xml:space="preserve">0  Live  UTS  108  Q3-2023  </v>
      </c>
      <c r="KS31" s="61" t="str">
        <f t="shared" si="39"/>
        <v>RFI</v>
      </c>
      <c r="KT31" s="61" t="str">
        <f t="shared" si="40"/>
        <v>Site name</v>
      </c>
      <c r="KU31" s="61" t="str">
        <f t="shared" si="41"/>
        <v>Wooden Pole</v>
      </c>
      <c r="KV31" s="61">
        <f t="shared" si="42"/>
        <v>10</v>
      </c>
      <c r="KW31" s="61" t="str">
        <f t="shared" si="43"/>
        <v>Monopole</v>
      </c>
      <c r="KX31" s="61">
        <f t="shared" si="44"/>
        <v>21</v>
      </c>
      <c r="KY31" s="60"/>
      <c r="KZ31" s="60"/>
      <c r="LA31" s="62"/>
      <c r="LB31" s="61"/>
      <c r="LC31" s="62"/>
      <c r="LD31" s="61"/>
      <c r="LE31" s="68" t="str">
        <f t="shared" si="45"/>
        <v>-</v>
      </c>
      <c r="LF31" s="150" t="str">
        <f t="shared" si="46"/>
        <v>-</v>
      </c>
      <c r="LG31" s="60"/>
      <c r="LH31" s="60"/>
      <c r="LI31" s="68">
        <f t="shared" si="47"/>
        <v>328</v>
      </c>
      <c r="LJ31" s="150">
        <f t="shared" si="48"/>
        <v>10.933333333333334</v>
      </c>
      <c r="LK31" s="60"/>
      <c r="LL31" s="68">
        <f t="shared" si="49"/>
        <v>572</v>
      </c>
      <c r="LM31" s="150">
        <f t="shared" si="50"/>
        <v>19.066666666666666</v>
      </c>
      <c r="LN31" s="60"/>
      <c r="LO31" s="98">
        <f t="shared" si="51"/>
        <v>44447</v>
      </c>
      <c r="LP31" s="68">
        <f t="shared" si="52"/>
        <v>217</v>
      </c>
      <c r="LQ31" s="150">
        <f t="shared" si="53"/>
        <v>7.2333333333333334</v>
      </c>
      <c r="LR31" s="60"/>
      <c r="LS31" s="98">
        <f t="shared" si="54"/>
        <v>44664</v>
      </c>
      <c r="LT31" s="60"/>
      <c r="LU31" s="60"/>
      <c r="LV31" s="60"/>
      <c r="LW31" s="60"/>
      <c r="LX31" s="60"/>
      <c r="LY31" s="60"/>
      <c r="LZ31" s="60"/>
      <c r="MA31" s="60"/>
      <c r="MB31" s="60"/>
      <c r="MC31" s="60"/>
      <c r="MD31" s="60"/>
      <c r="ME31" s="60"/>
      <c r="MF31" s="60"/>
      <c r="MG31" s="60"/>
      <c r="MH31" s="60"/>
      <c r="MI31" s="60"/>
      <c r="MJ31" s="60"/>
      <c r="MK31" s="60"/>
      <c r="ML31" s="60"/>
      <c r="MM31" s="60"/>
      <c r="MN31" s="60"/>
      <c r="MO31" s="60"/>
    </row>
    <row r="32" spans="2:353" ht="21" customHeight="1" x14ac:dyDescent="0.25">
      <c r="B32" s="58" t="s">
        <v>646</v>
      </c>
      <c r="C32" s="58" t="s">
        <v>633</v>
      </c>
      <c r="D32" s="159" t="s">
        <v>325</v>
      </c>
      <c r="E32" s="159">
        <v>108</v>
      </c>
      <c r="F32" s="159" t="s">
        <v>456</v>
      </c>
      <c r="G32" s="159"/>
      <c r="H32" s="59"/>
      <c r="I32" s="159" t="s">
        <v>636</v>
      </c>
      <c r="J32" s="159" t="s">
        <v>636</v>
      </c>
      <c r="K32" s="159" t="s">
        <v>636</v>
      </c>
      <c r="L32" s="159" t="s">
        <v>637</v>
      </c>
      <c r="M32" s="159" t="s">
        <v>278</v>
      </c>
      <c r="N32" s="159">
        <v>12</v>
      </c>
      <c r="O32" s="159" t="s">
        <v>240</v>
      </c>
      <c r="P32" s="159">
        <v>21</v>
      </c>
      <c r="Q32" s="159"/>
      <c r="R32" s="160"/>
      <c r="S32" s="159"/>
      <c r="T32" s="159" t="s">
        <v>408</v>
      </c>
      <c r="U32" s="61" t="s">
        <v>326</v>
      </c>
      <c r="V32" s="61">
        <v>3</v>
      </c>
      <c r="W32" s="65"/>
      <c r="X32" s="72">
        <v>44789</v>
      </c>
      <c r="Y32" s="61" t="s">
        <v>305</v>
      </c>
      <c r="Z32" s="61" t="s">
        <v>306</v>
      </c>
      <c r="AA32" s="61" t="s">
        <v>243</v>
      </c>
      <c r="AB32" s="72">
        <v>44789</v>
      </c>
      <c r="AC32" s="72">
        <v>44798</v>
      </c>
      <c r="AD32" s="97" t="s">
        <v>257</v>
      </c>
      <c r="AE32" s="63"/>
      <c r="AF32" s="72">
        <v>44806</v>
      </c>
      <c r="AG32" s="62"/>
      <c r="AH32" s="72"/>
      <c r="AI32" s="61" t="s">
        <v>269</v>
      </c>
      <c r="AJ32" s="61" t="s">
        <v>243</v>
      </c>
      <c r="AK32" s="62" t="s">
        <v>243</v>
      </c>
      <c r="AL32" s="62" t="s">
        <v>243</v>
      </c>
      <c r="AM32" s="62" t="s">
        <v>243</v>
      </c>
      <c r="AN32" s="64"/>
      <c r="AO32" s="61" t="s">
        <v>296</v>
      </c>
      <c r="AP32" s="61" t="s">
        <v>257</v>
      </c>
      <c r="AQ32" s="61" t="s">
        <v>243</v>
      </c>
      <c r="AR32" s="65">
        <v>44813</v>
      </c>
      <c r="AS32" s="72">
        <v>44813</v>
      </c>
      <c r="AT32" s="72">
        <v>44837</v>
      </c>
      <c r="AU32" s="61">
        <v>22618</v>
      </c>
      <c r="AV32" s="61" t="s">
        <v>269</v>
      </c>
      <c r="AW32" s="61" t="s">
        <v>243</v>
      </c>
      <c r="AX32" s="62" t="s">
        <v>243</v>
      </c>
      <c r="AY32" s="62" t="s">
        <v>243</v>
      </c>
      <c r="AZ32" s="62" t="s">
        <v>243</v>
      </c>
      <c r="BA32" s="61" t="s">
        <v>243</v>
      </c>
      <c r="BB32" s="61" t="s">
        <v>243</v>
      </c>
      <c r="BC32" s="61" t="s">
        <v>243</v>
      </c>
      <c r="BD32" s="65">
        <v>44995</v>
      </c>
      <c r="BE32" s="72">
        <v>44889</v>
      </c>
      <c r="BF32" s="75" t="s">
        <v>307</v>
      </c>
      <c r="BG32" s="61"/>
      <c r="BH32" s="65">
        <v>45030</v>
      </c>
      <c r="BI32" s="62"/>
      <c r="BJ32" s="62" t="s">
        <v>344</v>
      </c>
      <c r="BK32" s="61">
        <v>2023</v>
      </c>
      <c r="BL32" s="62">
        <v>44916</v>
      </c>
      <c r="BM32" s="72">
        <v>44916</v>
      </c>
      <c r="BN32" s="62"/>
      <c r="BO32" s="64" t="s">
        <v>625</v>
      </c>
      <c r="BP32" s="65">
        <v>45973</v>
      </c>
      <c r="BQ32" s="67" t="s">
        <v>292</v>
      </c>
      <c r="BR32" s="62"/>
      <c r="BS32" s="61"/>
      <c r="BT32" s="65">
        <v>45973</v>
      </c>
      <c r="BU32" s="65" t="s">
        <v>292</v>
      </c>
      <c r="BV32" s="65"/>
      <c r="BW32" s="147"/>
      <c r="BX32" s="65">
        <f t="shared" si="28"/>
        <v>0</v>
      </c>
      <c r="BY32" s="61" t="s">
        <v>248</v>
      </c>
      <c r="BZ32" s="61" t="s">
        <v>366</v>
      </c>
      <c r="CA32" s="61"/>
      <c r="CB32" s="61"/>
      <c r="CC32" s="61"/>
      <c r="CD32" s="68" t="s">
        <v>535</v>
      </c>
      <c r="CE32" s="60" t="s">
        <v>260</v>
      </c>
      <c r="CF32" s="61"/>
      <c r="CG32" s="61"/>
      <c r="CH32" s="61"/>
      <c r="CI32" s="62"/>
      <c r="CJ32" s="62"/>
      <c r="CK32" s="61" t="s">
        <v>265</v>
      </c>
      <c r="CL32" s="69">
        <v>44682</v>
      </c>
      <c r="CM32" s="61"/>
      <c r="CN32" s="61" t="s">
        <v>367</v>
      </c>
      <c r="CO32" s="61"/>
      <c r="CP32" s="61"/>
      <c r="CQ32" s="64" t="s">
        <v>624</v>
      </c>
      <c r="CR32" s="60"/>
      <c r="CS32" s="70"/>
      <c r="CT32" s="61"/>
      <c r="CU32" s="61"/>
      <c r="CV32" s="61"/>
      <c r="CW32" s="61"/>
      <c r="CX32" s="61"/>
      <c r="CY32" s="61"/>
      <c r="CZ32" s="61"/>
      <c r="DA32" s="61"/>
      <c r="DB32" s="61"/>
      <c r="DC32" s="61"/>
      <c r="DD32" s="61"/>
      <c r="DE32" s="61"/>
      <c r="DF32" s="61"/>
      <c r="DG32" s="61"/>
      <c r="DH32" s="60"/>
      <c r="DI32" s="61"/>
      <c r="DJ32" s="61"/>
      <c r="DK32" s="61"/>
      <c r="DL32" s="61"/>
      <c r="DM32" s="62"/>
      <c r="DN32" s="62"/>
      <c r="DO32" s="61"/>
      <c r="DP32" s="61"/>
      <c r="DQ32" s="61"/>
      <c r="DR32" s="61"/>
      <c r="DS32" s="61"/>
      <c r="DT32" s="61"/>
      <c r="DU32" s="61"/>
      <c r="DV32" s="61"/>
      <c r="DW32" s="61"/>
      <c r="DX32" s="61"/>
      <c r="DY32" s="61"/>
      <c r="DZ32" s="61"/>
      <c r="EA32" s="61"/>
      <c r="EB32" s="61"/>
      <c r="EC32" s="61"/>
      <c r="ED32" s="61"/>
      <c r="EE32" s="61"/>
      <c r="EF32" s="61"/>
      <c r="EG32" s="61"/>
      <c r="EH32" s="60"/>
      <c r="EI32" s="62"/>
      <c r="EJ32" s="62"/>
      <c r="EK32" s="61"/>
      <c r="EL32" s="70"/>
      <c r="EM32" s="71"/>
      <c r="EN32" s="133">
        <f t="shared" si="55"/>
        <v>1</v>
      </c>
      <c r="EO32" s="61">
        <f t="shared" si="56"/>
        <v>1</v>
      </c>
      <c r="EP32" s="62"/>
      <c r="EQ32" s="62">
        <v>45404</v>
      </c>
      <c r="ER32" s="73"/>
      <c r="ES32" s="62"/>
      <c r="ET32" s="62"/>
      <c r="EU32" s="62"/>
      <c r="EV32" s="62"/>
      <c r="EW32" s="62"/>
      <c r="EX32" s="62"/>
      <c r="EY32" s="61">
        <f t="shared" si="57"/>
        <v>0</v>
      </c>
      <c r="EZ32" s="61"/>
      <c r="FA32" s="61"/>
      <c r="FB32" s="74"/>
      <c r="FC32" s="61"/>
      <c r="FD32" s="61"/>
      <c r="FE32" s="61"/>
      <c r="FF32" s="68" t="str">
        <f t="shared" si="58"/>
        <v>No FP &amp; Demand</v>
      </c>
      <c r="FG32" s="76" t="str">
        <f t="shared" si="64"/>
        <v>-</v>
      </c>
      <c r="FH32" s="65">
        <f t="shared" si="60"/>
        <v>45973</v>
      </c>
      <c r="FI32" s="76">
        <v>46388</v>
      </c>
      <c r="FJ32" s="106">
        <v>46266</v>
      </c>
      <c r="FK32" s="106">
        <f>FJ32+7</f>
        <v>46273</v>
      </c>
      <c r="FL32" s="61"/>
      <c r="FM32" s="61"/>
      <c r="FN32" s="61"/>
      <c r="FO32" s="60"/>
      <c r="FP32" s="110"/>
      <c r="FQ32" s="110"/>
      <c r="FR32" s="61"/>
      <c r="FS32" s="61"/>
      <c r="FT32" s="61"/>
      <c r="FU32" s="61"/>
      <c r="FV32" s="60"/>
      <c r="FW32" s="61"/>
      <c r="FX32" s="61"/>
      <c r="FY32" s="61"/>
      <c r="FZ32" s="61"/>
      <c r="GA32" s="61"/>
      <c r="GB32" s="61"/>
      <c r="GC32" s="61"/>
      <c r="GD32" s="61"/>
      <c r="GE32" s="61"/>
      <c r="GF32" s="61"/>
      <c r="GG32" s="61"/>
      <c r="GH32" s="61"/>
      <c r="GI32" s="60"/>
      <c r="GJ32" s="62"/>
      <c r="GK32" s="62"/>
      <c r="GL32" s="62"/>
      <c r="GM32" s="62"/>
      <c r="GN32" s="63"/>
      <c r="GO32" s="63"/>
      <c r="GP32" s="62"/>
      <c r="GQ32" s="62"/>
      <c r="GR32" s="62"/>
      <c r="GS32" s="62"/>
      <c r="GT32" s="62"/>
      <c r="GU32" s="106"/>
      <c r="GV32" s="62"/>
      <c r="GW32" s="62"/>
      <c r="GX32" s="62"/>
      <c r="GY32" s="62"/>
      <c r="GZ32" s="62"/>
      <c r="HA32" s="67"/>
      <c r="HB32" s="61"/>
      <c r="HC32" s="61"/>
      <c r="HD32" s="61"/>
      <c r="HE32" s="67"/>
      <c r="HF32" s="61"/>
      <c r="HG32" s="65"/>
      <c r="HH32" s="62"/>
      <c r="HI32" s="61"/>
      <c r="HJ32" s="62"/>
      <c r="HK32" s="125"/>
      <c r="HL32" s="107"/>
      <c r="HM32" s="65"/>
      <c r="HN32" s="63"/>
      <c r="HO32" s="62"/>
      <c r="HP32" s="78"/>
      <c r="HQ32" s="60"/>
      <c r="HR32" s="63"/>
      <c r="HS32" s="62"/>
      <c r="HT32" s="63"/>
      <c r="HU32" s="62"/>
      <c r="HV32" s="62"/>
      <c r="HW32" s="62"/>
      <c r="HX32" s="79"/>
      <c r="HY32" s="62"/>
      <c r="HZ32" s="79"/>
      <c r="IA32" s="60"/>
      <c r="IB32" s="67"/>
      <c r="IC32" s="62"/>
      <c r="ID32" s="61"/>
      <c r="IE32" s="61"/>
      <c r="IF32" s="61"/>
      <c r="IG32" s="61"/>
      <c r="IH32" s="61"/>
      <c r="II32" s="61"/>
      <c r="IJ32" s="61"/>
      <c r="IK32" s="61"/>
      <c r="IL32" s="62"/>
      <c r="IM32" s="62"/>
      <c r="IN32" s="62" t="str">
        <f t="shared" si="61"/>
        <v>-</v>
      </c>
      <c r="IO32" s="60"/>
      <c r="IP32" s="67"/>
      <c r="IQ32" s="62"/>
      <c r="IR32" s="62"/>
      <c r="IS32" s="62"/>
      <c r="IT32" s="62"/>
      <c r="IU32" s="62"/>
      <c r="IV32" s="62"/>
      <c r="IW32" s="62"/>
      <c r="IX32" s="62"/>
      <c r="IY32" s="62"/>
      <c r="IZ32" s="62"/>
      <c r="JA32" s="62"/>
      <c r="JB32" s="62"/>
      <c r="JC32" s="62"/>
      <c r="JD32" s="62"/>
      <c r="JE32" s="62"/>
      <c r="JF32" s="62"/>
      <c r="JG32" s="62"/>
      <c r="JH32" s="67">
        <f>FK32+180</f>
        <v>46453</v>
      </c>
      <c r="JI32" s="67" t="str">
        <f t="shared" si="63"/>
        <v>Q1-2027</v>
      </c>
      <c r="JJ32" s="62"/>
      <c r="JK32" s="60"/>
      <c r="JL32" s="61"/>
      <c r="JM32" s="64"/>
      <c r="JN32" s="62"/>
      <c r="JO32" s="62"/>
      <c r="JP32" s="78"/>
      <c r="JQ32" s="61"/>
      <c r="JR32" s="60"/>
      <c r="JS32" s="62"/>
      <c r="JT32" s="62"/>
      <c r="JU32" s="62"/>
      <c r="JV32" s="62"/>
      <c r="JW32" s="62"/>
      <c r="JX32" s="62"/>
      <c r="JY32" s="60"/>
      <c r="JZ32" s="61"/>
      <c r="KA32" s="61"/>
      <c r="KB32" s="61"/>
      <c r="KC32" s="61"/>
      <c r="KD32" s="61"/>
      <c r="KE32" s="61"/>
      <c r="KF32" s="60"/>
      <c r="KG32" s="86"/>
      <c r="KH32" s="60"/>
      <c r="KI32" s="81" t="str">
        <f t="shared" si="29"/>
        <v>TLKxxxx</v>
      </c>
      <c r="KJ32" s="61" t="str">
        <f t="shared" si="30"/>
        <v>Live</v>
      </c>
      <c r="KK32" s="61" t="str">
        <f t="shared" si="31"/>
        <v>TLKxxxx</v>
      </c>
      <c r="KL32" s="62">
        <f t="shared" si="32"/>
        <v>46453</v>
      </c>
      <c r="KM32" s="62" t="str">
        <f t="shared" si="33"/>
        <v/>
      </c>
      <c r="KN32" s="61" t="str">
        <f t="shared" si="34"/>
        <v>Monopole</v>
      </c>
      <c r="KO32" s="61">
        <f t="shared" si="35"/>
        <v>108</v>
      </c>
      <c r="KP32" s="131">
        <f t="shared" si="36"/>
        <v>46388</v>
      </c>
      <c r="KQ32" s="131" t="str">
        <f t="shared" si="37"/>
        <v>Q1-2027</v>
      </c>
      <c r="KR32" s="61" t="str">
        <f t="shared" si="38"/>
        <v xml:space="preserve">46388  Live  UTS  108  Q1-2027  </v>
      </c>
      <c r="KS32" s="61">
        <f t="shared" si="39"/>
        <v>0</v>
      </c>
      <c r="KT32" s="61" t="str">
        <f t="shared" si="40"/>
        <v>Site name</v>
      </c>
      <c r="KU32" s="61" t="str">
        <f t="shared" si="41"/>
        <v>Wooden Pole</v>
      </c>
      <c r="KV32" s="61">
        <f t="shared" si="42"/>
        <v>12</v>
      </c>
      <c r="KW32" s="61" t="str">
        <f t="shared" si="43"/>
        <v>Monopole</v>
      </c>
      <c r="KX32" s="61">
        <f t="shared" si="44"/>
        <v>21</v>
      </c>
      <c r="KY32" s="60"/>
      <c r="KZ32" s="60"/>
      <c r="LA32" s="62">
        <v>45376</v>
      </c>
      <c r="LB32" s="61" t="s">
        <v>536</v>
      </c>
      <c r="LC32" s="62">
        <v>45573</v>
      </c>
      <c r="LD32" s="61" t="s">
        <v>613</v>
      </c>
      <c r="LE32" s="68">
        <f t="shared" si="45"/>
        <v>197</v>
      </c>
      <c r="LF32" s="150">
        <f t="shared" si="46"/>
        <v>6.5666666666666664</v>
      </c>
      <c r="LG32" s="60"/>
      <c r="LH32" s="60"/>
      <c r="LI32" s="68">
        <f t="shared" si="47"/>
        <v>76</v>
      </c>
      <c r="LJ32" s="150">
        <f t="shared" si="48"/>
        <v>2.5333333333333332</v>
      </c>
      <c r="LK32" s="60"/>
      <c r="LL32" s="68" t="str">
        <f t="shared" si="49"/>
        <v>-</v>
      </c>
      <c r="LM32" s="150" t="str">
        <f t="shared" si="50"/>
        <v>-</v>
      </c>
      <c r="LN32" s="60"/>
      <c r="LO32" s="98">
        <f t="shared" si="51"/>
        <v>44916</v>
      </c>
      <c r="LP32" s="68" t="str">
        <f t="shared" si="52"/>
        <v>-</v>
      </c>
      <c r="LQ32" s="150" t="str">
        <f t="shared" si="53"/>
        <v>-</v>
      </c>
      <c r="LR32" s="60"/>
      <c r="LS32" s="98" t="str">
        <f t="shared" si="54"/>
        <v>-</v>
      </c>
      <c r="LT32" s="60"/>
      <c r="LU32" s="60"/>
      <c r="LV32" s="60"/>
      <c r="LW32" s="60"/>
      <c r="LX32" s="60"/>
      <c r="LY32" s="60"/>
      <c r="LZ32" s="60"/>
      <c r="MA32" s="60"/>
      <c r="MB32" s="60"/>
      <c r="MC32" s="60"/>
      <c r="MD32" s="60"/>
      <c r="ME32" s="60"/>
      <c r="MF32" s="60"/>
      <c r="MG32" s="60"/>
      <c r="MH32" s="60"/>
      <c r="MI32" s="60"/>
      <c r="MJ32" s="60"/>
      <c r="MK32" s="60"/>
      <c r="ML32" s="60"/>
      <c r="MM32" s="60"/>
      <c r="MN32" s="60"/>
      <c r="MO32" s="60"/>
    </row>
    <row r="33" spans="2:353" ht="21" customHeight="1" x14ac:dyDescent="0.25">
      <c r="B33" s="84" t="s">
        <v>648</v>
      </c>
      <c r="C33" s="58" t="s">
        <v>633</v>
      </c>
      <c r="D33" s="159" t="s">
        <v>322</v>
      </c>
      <c r="E33" s="159">
        <v>108</v>
      </c>
      <c r="F33" s="159" t="s">
        <v>479</v>
      </c>
      <c r="G33" s="159"/>
      <c r="H33" s="59"/>
      <c r="I33" s="159" t="s">
        <v>636</v>
      </c>
      <c r="J33" s="159" t="s">
        <v>636</v>
      </c>
      <c r="K33" s="159" t="s">
        <v>636</v>
      </c>
      <c r="L33" s="159" t="s">
        <v>637</v>
      </c>
      <c r="M33" s="159" t="s">
        <v>278</v>
      </c>
      <c r="N33" s="159">
        <v>10</v>
      </c>
      <c r="O33" s="159" t="s">
        <v>255</v>
      </c>
      <c r="P33" s="159">
        <v>20</v>
      </c>
      <c r="Q33" s="159" t="s">
        <v>356</v>
      </c>
      <c r="R33" s="160">
        <v>20</v>
      </c>
      <c r="S33" s="159"/>
      <c r="T33" s="159"/>
      <c r="U33" s="61" t="s">
        <v>323</v>
      </c>
      <c r="V33" s="61">
        <v>2</v>
      </c>
      <c r="W33" s="65"/>
      <c r="X33" s="72">
        <v>44074</v>
      </c>
      <c r="Y33" s="61" t="s">
        <v>305</v>
      </c>
      <c r="Z33" s="61" t="s">
        <v>270</v>
      </c>
      <c r="AA33" s="61">
        <v>2500</v>
      </c>
      <c r="AB33" s="72">
        <v>44074</v>
      </c>
      <c r="AC33" s="72">
        <v>44096</v>
      </c>
      <c r="AD33" s="72" t="s">
        <v>257</v>
      </c>
      <c r="AE33" s="63"/>
      <c r="AF33" s="72">
        <v>44260</v>
      </c>
      <c r="AG33" s="62"/>
      <c r="AH33" s="72"/>
      <c r="AI33" s="97" t="s">
        <v>257</v>
      </c>
      <c r="AJ33" s="61" t="s">
        <v>247</v>
      </c>
      <c r="AK33" s="72" t="s">
        <v>257</v>
      </c>
      <c r="AL33" s="62"/>
      <c r="AM33" s="62"/>
      <c r="AN33" s="64"/>
      <c r="AO33" s="61" t="s">
        <v>246</v>
      </c>
      <c r="AP33" s="61" t="s">
        <v>247</v>
      </c>
      <c r="AQ33" s="61" t="s">
        <v>248</v>
      </c>
      <c r="AR33" s="65">
        <v>44274</v>
      </c>
      <c r="AS33" s="72">
        <v>44274</v>
      </c>
      <c r="AT33" s="72" t="s">
        <v>257</v>
      </c>
      <c r="AU33" s="61">
        <v>21140</v>
      </c>
      <c r="AV33" s="61" t="s">
        <v>269</v>
      </c>
      <c r="AW33" s="61" t="s">
        <v>243</v>
      </c>
      <c r="AX33" s="62">
        <v>44329</v>
      </c>
      <c r="AY33" s="62">
        <v>44613</v>
      </c>
      <c r="AZ33" s="72">
        <v>44608</v>
      </c>
      <c r="BA33" s="61" t="s">
        <v>243</v>
      </c>
      <c r="BB33" s="61" t="s">
        <v>243</v>
      </c>
      <c r="BC33" s="61" t="s">
        <v>243</v>
      </c>
      <c r="BD33" s="65">
        <v>44655</v>
      </c>
      <c r="BE33" s="72">
        <v>44652</v>
      </c>
      <c r="BF33" s="75" t="s">
        <v>307</v>
      </c>
      <c r="BG33" s="61">
        <v>13</v>
      </c>
      <c r="BH33" s="65">
        <v>44690</v>
      </c>
      <c r="BI33" s="62"/>
      <c r="BJ33" s="62" t="s">
        <v>344</v>
      </c>
      <c r="BK33" s="61">
        <v>2023</v>
      </c>
      <c r="BL33" s="62">
        <v>44679</v>
      </c>
      <c r="BM33" s="72">
        <v>44678</v>
      </c>
      <c r="BN33" s="62"/>
      <c r="BO33" s="61">
        <v>313434</v>
      </c>
      <c r="BP33" s="65">
        <v>45229</v>
      </c>
      <c r="BQ33" s="67"/>
      <c r="BR33" s="72">
        <v>45152</v>
      </c>
      <c r="BS33" s="88" t="s">
        <v>272</v>
      </c>
      <c r="BT33" s="65">
        <v>45229</v>
      </c>
      <c r="BU33" s="65" t="s">
        <v>292</v>
      </c>
      <c r="BV33" s="65">
        <v>45152</v>
      </c>
      <c r="BW33" s="147" t="s">
        <v>272</v>
      </c>
      <c r="BX33" s="65">
        <f t="shared" si="28"/>
        <v>46977</v>
      </c>
      <c r="BY33" s="61" t="s">
        <v>273</v>
      </c>
      <c r="BZ33" s="61" t="s">
        <v>336</v>
      </c>
      <c r="CA33" s="61"/>
      <c r="CB33" s="72" t="s">
        <v>244</v>
      </c>
      <c r="CC33" s="61"/>
      <c r="CD33" s="68" t="s">
        <v>536</v>
      </c>
      <c r="CE33" s="60" t="s">
        <v>274</v>
      </c>
      <c r="CF33" s="61"/>
      <c r="CG33" s="61"/>
      <c r="CH33" s="61"/>
      <c r="CI33" s="62"/>
      <c r="CJ33" s="62"/>
      <c r="CK33" s="61" t="s">
        <v>265</v>
      </c>
      <c r="CL33" s="69">
        <v>44593</v>
      </c>
      <c r="CM33" s="61"/>
      <c r="CN33" s="61"/>
      <c r="CO33" s="61"/>
      <c r="CP33" s="61"/>
      <c r="CQ33" s="64"/>
      <c r="CR33" s="60"/>
      <c r="CS33" s="70" t="s">
        <v>560</v>
      </c>
      <c r="CT33" s="61" t="s">
        <v>269</v>
      </c>
      <c r="CU33" s="61" t="s">
        <v>269</v>
      </c>
      <c r="CV33" s="82" t="s">
        <v>275</v>
      </c>
      <c r="CW33" s="82" t="s">
        <v>275</v>
      </c>
      <c r="CX33" s="61" t="s">
        <v>269</v>
      </c>
      <c r="CY33" s="61" t="s">
        <v>269</v>
      </c>
      <c r="CZ33" s="61" t="s">
        <v>269</v>
      </c>
      <c r="DA33" s="61"/>
      <c r="DB33" s="61"/>
      <c r="DC33" s="61"/>
      <c r="DD33" s="61"/>
      <c r="DE33" s="61"/>
      <c r="DF33" s="61" t="s">
        <v>269</v>
      </c>
      <c r="DG33" s="64" t="s">
        <v>552</v>
      </c>
      <c r="DH33" s="60"/>
      <c r="DI33" s="62"/>
      <c r="DJ33" s="62"/>
      <c r="DK33" s="62" t="s">
        <v>276</v>
      </c>
      <c r="DL33" s="62" t="s">
        <v>276</v>
      </c>
      <c r="DM33" s="72">
        <v>45181</v>
      </c>
      <c r="DN33" s="72">
        <v>45222</v>
      </c>
      <c r="DO33" s="72">
        <v>45181</v>
      </c>
      <c r="DP33" s="72">
        <v>45222</v>
      </c>
      <c r="DQ33" s="62"/>
      <c r="DR33" s="62"/>
      <c r="DS33" s="62"/>
      <c r="DT33" s="62"/>
      <c r="DU33" s="62"/>
      <c r="DV33" s="62"/>
      <c r="DW33" s="62"/>
      <c r="DX33" s="62"/>
      <c r="DY33" s="62"/>
      <c r="DZ33" s="62"/>
      <c r="EA33" s="62"/>
      <c r="EB33" s="62"/>
      <c r="EC33" s="62"/>
      <c r="ED33" s="62"/>
      <c r="EE33" s="62"/>
      <c r="EF33" s="62"/>
      <c r="EG33" s="62"/>
      <c r="EH33" s="60"/>
      <c r="EI33" s="72">
        <v>45181</v>
      </c>
      <c r="EJ33" s="72">
        <v>45222</v>
      </c>
      <c r="EK33" s="61">
        <v>2</v>
      </c>
      <c r="EL33" s="70"/>
      <c r="EM33" s="71"/>
      <c r="EN33" s="133">
        <f t="shared" si="55"/>
        <v>2</v>
      </c>
      <c r="EO33" s="61">
        <f t="shared" si="56"/>
        <v>1</v>
      </c>
      <c r="EP33" s="62"/>
      <c r="EQ33" s="62">
        <v>44448</v>
      </c>
      <c r="ER33" s="73"/>
      <c r="ES33" s="62"/>
      <c r="ET33" s="62"/>
      <c r="EU33" s="62"/>
      <c r="EV33" s="62"/>
      <c r="EW33" s="62"/>
      <c r="EX33" s="62"/>
      <c r="EY33" s="61">
        <f t="shared" si="57"/>
        <v>1</v>
      </c>
      <c r="EZ33" s="62">
        <v>46753</v>
      </c>
      <c r="FA33" s="61"/>
      <c r="FB33" s="74"/>
      <c r="FC33" s="61"/>
      <c r="FD33" s="61"/>
      <c r="FE33" s="61"/>
      <c r="FF33" s="68" t="str">
        <f t="shared" si="58"/>
        <v>FP &amp; Demand</v>
      </c>
      <c r="FG33" s="76">
        <f t="shared" si="64"/>
        <v>46753</v>
      </c>
      <c r="FH33" s="65">
        <f t="shared" si="60"/>
        <v>45229</v>
      </c>
      <c r="FI33" s="76"/>
      <c r="FJ33" s="118">
        <f>FH33+7</f>
        <v>45236</v>
      </c>
      <c r="FK33" s="118">
        <v>45163</v>
      </c>
      <c r="FL33" s="61" t="s">
        <v>299</v>
      </c>
      <c r="FM33" s="61">
        <v>101</v>
      </c>
      <c r="FN33" s="61" t="s">
        <v>286</v>
      </c>
      <c r="FO33" s="60"/>
      <c r="FP33" s="110" t="s">
        <v>337</v>
      </c>
      <c r="FQ33" s="110"/>
      <c r="FR33" s="61" t="s">
        <v>424</v>
      </c>
      <c r="FS33" s="83" t="s">
        <v>257</v>
      </c>
      <c r="FT33" s="110" t="s">
        <v>301</v>
      </c>
      <c r="FU33" s="78"/>
      <c r="FV33" s="60"/>
      <c r="FW33" s="82" t="s">
        <v>257</v>
      </c>
      <c r="FX33" s="61"/>
      <c r="FY33" s="61"/>
      <c r="FZ33" s="61"/>
      <c r="GA33" s="61"/>
      <c r="GB33" s="61"/>
      <c r="GC33" s="61"/>
      <c r="GD33" s="61"/>
      <c r="GE33" s="61"/>
      <c r="GF33" s="61"/>
      <c r="GG33" s="61"/>
      <c r="GH33" s="61"/>
      <c r="GI33" s="60"/>
      <c r="GJ33" s="62"/>
      <c r="GK33" s="62"/>
      <c r="GL33" s="62"/>
      <c r="GM33" s="62"/>
      <c r="GN33" s="63"/>
      <c r="GO33" s="63"/>
      <c r="GP33" s="62"/>
      <c r="GQ33" s="62"/>
      <c r="GR33" s="62"/>
      <c r="GS33" s="62"/>
      <c r="GT33" s="62"/>
      <c r="GU33" s="106"/>
      <c r="GV33" s="62"/>
      <c r="GW33" s="62" t="s">
        <v>257</v>
      </c>
      <c r="GX33" s="83">
        <v>45173</v>
      </c>
      <c r="GY33" s="83">
        <v>45173</v>
      </c>
      <c r="GZ33" s="78" t="s">
        <v>302</v>
      </c>
      <c r="HA33" s="65" t="s">
        <v>243</v>
      </c>
      <c r="HB33" s="78" t="s">
        <v>243</v>
      </c>
      <c r="HC33" s="78" t="s">
        <v>243</v>
      </c>
      <c r="HD33" s="62"/>
      <c r="HE33" s="65" t="s">
        <v>243</v>
      </c>
      <c r="HF33" s="78"/>
      <c r="HG33" s="65">
        <f>HM33-30</f>
        <v>45168</v>
      </c>
      <c r="HH33" s="83">
        <v>45167</v>
      </c>
      <c r="HI33" s="61" t="s">
        <v>289</v>
      </c>
      <c r="HJ33" s="72">
        <v>45169</v>
      </c>
      <c r="HK33" s="119">
        <v>45196</v>
      </c>
      <c r="HL33" s="119">
        <v>45197</v>
      </c>
      <c r="HM33" s="65">
        <v>45198</v>
      </c>
      <c r="HN33" s="79">
        <v>4</v>
      </c>
      <c r="HO33" s="99">
        <v>45198</v>
      </c>
      <c r="HP33" s="101" t="s">
        <v>580</v>
      </c>
      <c r="HQ33" s="60"/>
      <c r="HR33" s="63"/>
      <c r="HS33" s="99">
        <v>45198</v>
      </c>
      <c r="HT33" s="63"/>
      <c r="HU33" s="99">
        <v>45198</v>
      </c>
      <c r="HV33" s="62" t="s">
        <v>276</v>
      </c>
      <c r="HW33" s="99">
        <v>45198</v>
      </c>
      <c r="HX33" s="79"/>
      <c r="HY33" s="83">
        <v>45455</v>
      </c>
      <c r="HZ33" s="79"/>
      <c r="IA33" s="60"/>
      <c r="IB33" s="65">
        <f t="shared" ref="IB33:IB38" si="65">HM33+10</f>
        <v>45208</v>
      </c>
      <c r="IC33" s="83">
        <v>45455</v>
      </c>
      <c r="ID33" s="61"/>
      <c r="IE33" s="101" t="s">
        <v>571</v>
      </c>
      <c r="IF33" s="94" t="s">
        <v>243</v>
      </c>
      <c r="IG33" s="94" t="s">
        <v>243</v>
      </c>
      <c r="IH33" s="94" t="s">
        <v>243</v>
      </c>
      <c r="II33" s="94" t="s">
        <v>243</v>
      </c>
      <c r="IJ33" s="92" t="s">
        <v>338</v>
      </c>
      <c r="IK33" s="78" t="s">
        <v>243</v>
      </c>
      <c r="IL33" s="78"/>
      <c r="IM33" s="78"/>
      <c r="IN33" s="72">
        <f t="shared" si="61"/>
        <v>45222</v>
      </c>
      <c r="IO33" s="60"/>
      <c r="IP33" s="65">
        <f t="shared" ref="IP33:IP38" si="66">IB33+30</f>
        <v>45238</v>
      </c>
      <c r="IQ33" s="72">
        <f t="shared" ref="IQ33:IQ38" si="67">MIN(IR33,IT33,IV33,IX33,IZ33)</f>
        <v>45495</v>
      </c>
      <c r="IR33" s="72">
        <v>45495</v>
      </c>
      <c r="IS33" s="72">
        <v>45527</v>
      </c>
      <c r="IT33" s="83">
        <v>45572</v>
      </c>
      <c r="IU33" s="72">
        <v>45576</v>
      </c>
      <c r="IV33" s="78"/>
      <c r="IW33" s="62"/>
      <c r="IX33" s="64"/>
      <c r="IY33" s="64"/>
      <c r="IZ33" s="83">
        <v>45572</v>
      </c>
      <c r="JA33" s="72">
        <v>45576</v>
      </c>
      <c r="JB33" s="83">
        <v>45631</v>
      </c>
      <c r="JC33" s="83">
        <v>45631</v>
      </c>
      <c r="JD33" s="83">
        <v>45631</v>
      </c>
      <c r="JE33" s="83">
        <v>45631</v>
      </c>
      <c r="JF33" s="83">
        <v>45631</v>
      </c>
      <c r="JG33" s="83">
        <v>45635</v>
      </c>
      <c r="JH33" s="65">
        <v>45636</v>
      </c>
      <c r="JI33" s="67" t="str">
        <f t="shared" si="63"/>
        <v>Q4-2024</v>
      </c>
      <c r="JJ33" s="83">
        <v>45635</v>
      </c>
      <c r="JK33" s="60"/>
      <c r="JL33" s="61"/>
      <c r="JM33" s="64"/>
      <c r="JN33" s="62"/>
      <c r="JO33" s="62" t="s">
        <v>257</v>
      </c>
      <c r="JP33" s="78" t="s">
        <v>628</v>
      </c>
      <c r="JQ33" s="61"/>
      <c r="JR33" s="60"/>
      <c r="JS33" s="62"/>
      <c r="JT33" s="62"/>
      <c r="JU33" s="62"/>
      <c r="JV33" s="62"/>
      <c r="JW33" s="62"/>
      <c r="JX33" s="62"/>
      <c r="JY33" s="60"/>
      <c r="JZ33" s="61"/>
      <c r="KA33" s="61"/>
      <c r="KB33" s="61"/>
      <c r="KC33" s="61"/>
      <c r="KD33" s="61"/>
      <c r="KE33" s="61"/>
      <c r="KF33" s="60"/>
      <c r="KG33" s="86"/>
      <c r="KH33" s="60"/>
      <c r="KI33" s="81" t="str">
        <f t="shared" si="29"/>
        <v>TLMxxxx</v>
      </c>
      <c r="KJ33" s="61" t="str">
        <f t="shared" si="30"/>
        <v>Live</v>
      </c>
      <c r="KK33" s="61" t="str">
        <f t="shared" si="31"/>
        <v>TLMxxxx</v>
      </c>
      <c r="KL33" s="62">
        <f t="shared" si="32"/>
        <v>45636</v>
      </c>
      <c r="KM33" s="62">
        <f t="shared" si="33"/>
        <v>45635</v>
      </c>
      <c r="KN33" s="61" t="str">
        <f t="shared" si="34"/>
        <v>Lattice</v>
      </c>
      <c r="KO33" s="61">
        <f t="shared" si="35"/>
        <v>108</v>
      </c>
      <c r="KP33" s="131">
        <f t="shared" si="36"/>
        <v>0</v>
      </c>
      <c r="KQ33" s="131" t="str">
        <f t="shared" si="37"/>
        <v>Q4-2024</v>
      </c>
      <c r="KR33" s="61" t="str">
        <f t="shared" si="38"/>
        <v xml:space="preserve">0  Live  UTS  108  Q4-2024  </v>
      </c>
      <c r="KS33" s="61" t="str">
        <f t="shared" si="39"/>
        <v>RFI</v>
      </c>
      <c r="KT33" s="61" t="str">
        <f t="shared" si="40"/>
        <v>Site name</v>
      </c>
      <c r="KU33" s="61" t="str">
        <f t="shared" si="41"/>
        <v>Wooden Pole</v>
      </c>
      <c r="KV33" s="61">
        <f t="shared" si="42"/>
        <v>10</v>
      </c>
      <c r="KW33" s="61" t="str">
        <f t="shared" si="43"/>
        <v>Lattice</v>
      </c>
      <c r="KX33" s="61">
        <f t="shared" si="44"/>
        <v>20</v>
      </c>
      <c r="KY33" s="60"/>
      <c r="KZ33" s="60"/>
      <c r="LA33" s="62"/>
      <c r="LB33" s="61"/>
      <c r="LC33" s="62"/>
      <c r="LD33" s="61"/>
      <c r="LE33" s="68" t="str">
        <f t="shared" si="45"/>
        <v>-</v>
      </c>
      <c r="LF33" s="150" t="str">
        <f t="shared" si="46"/>
        <v>-</v>
      </c>
      <c r="LG33" s="60"/>
      <c r="LH33" s="60"/>
      <c r="LI33" s="68">
        <f t="shared" si="47"/>
        <v>378</v>
      </c>
      <c r="LJ33" s="150">
        <f t="shared" si="48"/>
        <v>12.6</v>
      </c>
      <c r="LK33" s="60"/>
      <c r="LL33" s="68">
        <f t="shared" si="49"/>
        <v>878</v>
      </c>
      <c r="LM33" s="150">
        <f t="shared" si="50"/>
        <v>29.266666666666666</v>
      </c>
      <c r="LN33" s="60"/>
      <c r="LO33" s="98">
        <f t="shared" si="51"/>
        <v>44678</v>
      </c>
      <c r="LP33" s="68">
        <f t="shared" si="52"/>
        <v>474</v>
      </c>
      <c r="LQ33" s="150">
        <f t="shared" si="53"/>
        <v>15.8</v>
      </c>
      <c r="LR33" s="60"/>
      <c r="LS33" s="98">
        <f t="shared" si="54"/>
        <v>45152</v>
      </c>
      <c r="LT33" s="60"/>
      <c r="LU33" s="60"/>
      <c r="LV33" s="60"/>
      <c r="LW33" s="60"/>
      <c r="LX33" s="60"/>
      <c r="LY33" s="60"/>
      <c r="LZ33" s="60"/>
      <c r="MA33" s="60"/>
      <c r="MB33" s="60"/>
      <c r="MC33" s="60"/>
      <c r="MD33" s="60"/>
      <c r="ME33" s="60"/>
      <c r="MF33" s="60"/>
      <c r="MG33" s="60"/>
      <c r="MH33" s="60"/>
      <c r="MI33" s="60"/>
      <c r="MJ33" s="60"/>
      <c r="MK33" s="60"/>
      <c r="ML33" s="60"/>
      <c r="MM33" s="60"/>
      <c r="MN33" s="60"/>
      <c r="MO33" s="60"/>
    </row>
    <row r="34" spans="2:353" ht="21" customHeight="1" x14ac:dyDescent="0.25">
      <c r="B34" s="84" t="s">
        <v>649</v>
      </c>
      <c r="C34" s="58" t="s">
        <v>633</v>
      </c>
      <c r="D34" s="159" t="s">
        <v>252</v>
      </c>
      <c r="E34" s="159">
        <v>108</v>
      </c>
      <c r="F34" s="159" t="s">
        <v>487</v>
      </c>
      <c r="G34" s="159"/>
      <c r="H34" s="59"/>
      <c r="I34" s="159" t="s">
        <v>636</v>
      </c>
      <c r="J34" s="159" t="s">
        <v>636</v>
      </c>
      <c r="K34" s="159" t="s">
        <v>636</v>
      </c>
      <c r="L34" s="159" t="s">
        <v>637</v>
      </c>
      <c r="M34" s="159" t="s">
        <v>240</v>
      </c>
      <c r="N34" s="159">
        <v>20</v>
      </c>
      <c r="O34" s="159" t="s">
        <v>240</v>
      </c>
      <c r="P34" s="159">
        <v>24</v>
      </c>
      <c r="Q34" s="159"/>
      <c r="R34" s="160"/>
      <c r="S34" s="159"/>
      <c r="T34" s="159"/>
      <c r="U34" s="61" t="s">
        <v>256</v>
      </c>
      <c r="V34" s="61">
        <v>2</v>
      </c>
      <c r="W34" s="65">
        <v>46509</v>
      </c>
      <c r="X34" s="72"/>
      <c r="Y34" s="61" t="s">
        <v>241</v>
      </c>
      <c r="Z34" s="61" t="s">
        <v>242</v>
      </c>
      <c r="AA34" s="61">
        <v>2500</v>
      </c>
      <c r="AB34" s="62">
        <f>AR34-60</f>
        <v>46509</v>
      </c>
      <c r="AC34" s="62"/>
      <c r="AD34" s="62"/>
      <c r="AE34" s="63"/>
      <c r="AF34" s="62"/>
      <c r="AG34" s="62"/>
      <c r="AH34" s="72"/>
      <c r="AI34" s="61"/>
      <c r="AJ34" s="61"/>
      <c r="AK34" s="62"/>
      <c r="AL34" s="62"/>
      <c r="AM34" s="62"/>
      <c r="AN34" s="64"/>
      <c r="AO34" s="61" t="s">
        <v>271</v>
      </c>
      <c r="AP34" s="61"/>
      <c r="AQ34" s="61"/>
      <c r="AR34" s="65">
        <v>46569</v>
      </c>
      <c r="AS34" s="62"/>
      <c r="AT34" s="62"/>
      <c r="AU34" s="61"/>
      <c r="AV34" s="61"/>
      <c r="AW34" s="61"/>
      <c r="AX34" s="62"/>
      <c r="AY34" s="62"/>
      <c r="AZ34" s="62"/>
      <c r="BA34" s="62"/>
      <c r="BB34" s="61"/>
      <c r="BC34" s="61"/>
      <c r="BD34" s="65">
        <f>AR34+60</f>
        <v>46629</v>
      </c>
      <c r="BE34" s="62"/>
      <c r="BF34" s="62"/>
      <c r="BG34" s="61"/>
      <c r="BH34" s="65">
        <f>BD34+35</f>
        <v>46664</v>
      </c>
      <c r="BI34" s="62"/>
      <c r="BJ34" s="62"/>
      <c r="BK34" s="61">
        <v>2028</v>
      </c>
      <c r="BL34" s="62"/>
      <c r="BM34" s="62"/>
      <c r="BN34" s="62"/>
      <c r="BO34" s="61"/>
      <c r="BP34" s="65">
        <f>BD34+274</f>
        <v>46903</v>
      </c>
      <c r="BQ34" s="67" t="s">
        <v>292</v>
      </c>
      <c r="BR34" s="62"/>
      <c r="BS34" s="61"/>
      <c r="BT34" s="65">
        <f>BP34</f>
        <v>46903</v>
      </c>
      <c r="BU34" s="65" t="s">
        <v>292</v>
      </c>
      <c r="BV34" s="65"/>
      <c r="BW34" s="147"/>
      <c r="BX34" s="65">
        <f t="shared" si="28"/>
        <v>0</v>
      </c>
      <c r="BY34" s="61"/>
      <c r="BZ34" s="61" t="s">
        <v>281</v>
      </c>
      <c r="CA34" s="61"/>
      <c r="CB34" s="62"/>
      <c r="CC34" s="61"/>
      <c r="CD34" s="68" t="s">
        <v>537</v>
      </c>
      <c r="CE34" s="60" t="s">
        <v>260</v>
      </c>
      <c r="CF34" s="61" t="s">
        <v>261</v>
      </c>
      <c r="CG34" s="61"/>
      <c r="CH34" s="61" t="s">
        <v>263</v>
      </c>
      <c r="CI34" s="78" t="s">
        <v>339</v>
      </c>
      <c r="CJ34" s="62"/>
      <c r="CK34" s="61"/>
      <c r="CL34" s="69"/>
      <c r="CM34" s="61"/>
      <c r="CN34" s="61"/>
      <c r="CO34" s="61"/>
      <c r="CP34" s="61"/>
      <c r="CQ34" s="64"/>
      <c r="CR34" s="60"/>
      <c r="CS34" s="70"/>
      <c r="CT34" s="61"/>
      <c r="CU34" s="61"/>
      <c r="CV34" s="61"/>
      <c r="CW34" s="61"/>
      <c r="CX34" s="61"/>
      <c r="CY34" s="61"/>
      <c r="CZ34" s="61"/>
      <c r="DA34" s="61"/>
      <c r="DB34" s="61"/>
      <c r="DC34" s="61"/>
      <c r="DD34" s="61"/>
      <c r="DE34" s="61"/>
      <c r="DF34" s="61"/>
      <c r="DG34" s="64"/>
      <c r="DH34" s="60"/>
      <c r="DI34" s="62"/>
      <c r="DJ34" s="62"/>
      <c r="DK34" s="62"/>
      <c r="DL34" s="62"/>
      <c r="DM34" s="62"/>
      <c r="DN34" s="62"/>
      <c r="DO34" s="62"/>
      <c r="DP34" s="62"/>
      <c r="DQ34" s="62"/>
      <c r="DR34" s="62"/>
      <c r="DS34" s="62"/>
      <c r="DT34" s="62"/>
      <c r="DU34" s="62"/>
      <c r="DV34" s="62"/>
      <c r="DW34" s="62"/>
      <c r="DX34" s="62"/>
      <c r="DY34" s="62"/>
      <c r="DZ34" s="62"/>
      <c r="EA34" s="62"/>
      <c r="EB34" s="62"/>
      <c r="EC34" s="62"/>
      <c r="ED34" s="62"/>
      <c r="EE34" s="62"/>
      <c r="EF34" s="62"/>
      <c r="EG34" s="62"/>
      <c r="EH34" s="60"/>
      <c r="EI34" s="62"/>
      <c r="EJ34" s="62"/>
      <c r="EK34" s="61"/>
      <c r="EL34" s="95"/>
      <c r="EM34" s="71"/>
      <c r="EN34" s="133">
        <f t="shared" si="55"/>
        <v>1</v>
      </c>
      <c r="EO34" s="61">
        <f t="shared" si="56"/>
        <v>0</v>
      </c>
      <c r="EP34" s="72" t="s">
        <v>340</v>
      </c>
      <c r="EQ34" s="72" t="s">
        <v>340</v>
      </c>
      <c r="ER34" s="73"/>
      <c r="ES34" s="62"/>
      <c r="ET34" s="62"/>
      <c r="EU34" s="62"/>
      <c r="EV34" s="62"/>
      <c r="EW34" s="62"/>
      <c r="EX34" s="62"/>
      <c r="EY34" s="61">
        <f t="shared" si="57"/>
        <v>1</v>
      </c>
      <c r="EZ34" s="62"/>
      <c r="FA34" s="62"/>
      <c r="FB34" s="73"/>
      <c r="FC34" s="62">
        <v>47484</v>
      </c>
      <c r="FD34" s="61"/>
      <c r="FE34" s="61"/>
      <c r="FF34" s="68" t="str">
        <f t="shared" si="58"/>
        <v>No FP / No Demand</v>
      </c>
      <c r="FG34" s="76">
        <f t="shared" si="64"/>
        <v>47484</v>
      </c>
      <c r="FH34" s="65">
        <f t="shared" si="60"/>
        <v>46903</v>
      </c>
      <c r="FI34" s="76" t="s">
        <v>569</v>
      </c>
      <c r="FJ34" s="62"/>
      <c r="FK34" s="62"/>
      <c r="FL34" s="61"/>
      <c r="FM34" s="61"/>
      <c r="FN34" s="61"/>
      <c r="FO34" s="60"/>
      <c r="FP34" s="64"/>
      <c r="FQ34" s="64"/>
      <c r="FR34" s="61"/>
      <c r="FS34" s="61"/>
      <c r="FT34" s="61"/>
      <c r="FU34" s="61"/>
      <c r="FV34" s="60"/>
      <c r="FW34" s="61"/>
      <c r="FX34" s="61"/>
      <c r="FY34" s="61"/>
      <c r="FZ34" s="61"/>
      <c r="GA34" s="61"/>
      <c r="GB34" s="61"/>
      <c r="GC34" s="61"/>
      <c r="GD34" s="61"/>
      <c r="GE34" s="61"/>
      <c r="GF34" s="61"/>
      <c r="GG34" s="61"/>
      <c r="GH34" s="61"/>
      <c r="GI34" s="60"/>
      <c r="GJ34" s="62"/>
      <c r="GK34" s="62"/>
      <c r="GL34" s="62"/>
      <c r="GM34" s="62"/>
      <c r="GN34" s="63"/>
      <c r="GO34" s="63"/>
      <c r="GP34" s="62"/>
      <c r="GQ34" s="62"/>
      <c r="GR34" s="62"/>
      <c r="GS34" s="62"/>
      <c r="GT34" s="62"/>
      <c r="GU34" s="62"/>
      <c r="GV34" s="78"/>
      <c r="GW34" s="62"/>
      <c r="GX34" s="62"/>
      <c r="GY34" s="62"/>
      <c r="GZ34" s="62"/>
      <c r="HA34" s="67"/>
      <c r="HB34" s="62"/>
      <c r="HC34" s="62"/>
      <c r="HD34" s="62"/>
      <c r="HE34" s="65"/>
      <c r="HF34" s="62"/>
      <c r="HG34" s="65">
        <f>FJ34+10</f>
        <v>10</v>
      </c>
      <c r="HH34" s="107"/>
      <c r="HI34" s="61"/>
      <c r="HJ34" s="62"/>
      <c r="HK34" s="62"/>
      <c r="HL34" s="62"/>
      <c r="HM34" s="65">
        <f>IF(GW34="Yes",HE34,HG34+50)</f>
        <v>60</v>
      </c>
      <c r="HN34" s="63"/>
      <c r="HO34" s="62"/>
      <c r="HP34" s="78"/>
      <c r="HQ34" s="60"/>
      <c r="HR34" s="63"/>
      <c r="HS34" s="62"/>
      <c r="HT34" s="63"/>
      <c r="HU34" s="62"/>
      <c r="HV34" s="62"/>
      <c r="HW34" s="62"/>
      <c r="HX34" s="79"/>
      <c r="HY34" s="62"/>
      <c r="HZ34" s="79"/>
      <c r="IA34" s="60"/>
      <c r="IB34" s="65">
        <f t="shared" si="65"/>
        <v>70</v>
      </c>
      <c r="IC34" s="62"/>
      <c r="ID34" s="61"/>
      <c r="IE34" s="61"/>
      <c r="IF34" s="61"/>
      <c r="IG34" s="61"/>
      <c r="IH34" s="61"/>
      <c r="II34" s="61"/>
      <c r="IJ34" s="61"/>
      <c r="IK34" s="61"/>
      <c r="IL34" s="62"/>
      <c r="IM34" s="62"/>
      <c r="IN34" s="62" t="str">
        <f t="shared" si="61"/>
        <v>-</v>
      </c>
      <c r="IO34" s="60"/>
      <c r="IP34" s="65">
        <f t="shared" si="66"/>
        <v>100</v>
      </c>
      <c r="IQ34" s="62">
        <f t="shared" si="67"/>
        <v>0</v>
      </c>
      <c r="IR34" s="62"/>
      <c r="IS34" s="62"/>
      <c r="IT34" s="62"/>
      <c r="IU34" s="62"/>
      <c r="IV34" s="62"/>
      <c r="IW34" s="62"/>
      <c r="IX34" s="62"/>
      <c r="IY34" s="62"/>
      <c r="IZ34" s="62"/>
      <c r="JA34" s="62"/>
      <c r="JB34" s="62"/>
      <c r="JC34" s="62"/>
      <c r="JD34" s="62"/>
      <c r="JE34" s="62"/>
      <c r="JF34" s="62"/>
      <c r="JG34" s="62"/>
      <c r="JH34" s="65">
        <f>IP34+60</f>
        <v>160</v>
      </c>
      <c r="JI34" s="67" t="str">
        <f t="shared" si="63"/>
        <v>Q2-1900</v>
      </c>
      <c r="JJ34" s="62"/>
      <c r="JK34" s="60"/>
      <c r="JL34" s="61"/>
      <c r="JM34" s="64"/>
      <c r="JN34" s="62"/>
      <c r="JO34" s="62"/>
      <c r="JP34" s="78"/>
      <c r="JQ34" s="61"/>
      <c r="JR34" s="60"/>
      <c r="JS34" s="62"/>
      <c r="JT34" s="62"/>
      <c r="JU34" s="62"/>
      <c r="JV34" s="62"/>
      <c r="JW34" s="62"/>
      <c r="JX34" s="62"/>
      <c r="JY34" s="60"/>
      <c r="JZ34" s="61"/>
      <c r="KA34" s="61"/>
      <c r="KB34" s="61"/>
      <c r="KC34" s="61"/>
      <c r="KD34" s="61"/>
      <c r="KE34" s="61"/>
      <c r="KF34" s="60"/>
      <c r="KG34" s="86"/>
      <c r="KH34" s="60"/>
      <c r="KI34" s="81" t="str">
        <f t="shared" si="29"/>
        <v/>
      </c>
      <c r="KJ34" s="61" t="str">
        <f t="shared" si="30"/>
        <v>Not Gated</v>
      </c>
      <c r="KK34" s="61" t="str">
        <f t="shared" si="31"/>
        <v/>
      </c>
      <c r="KL34" s="62" t="str">
        <f t="shared" si="32"/>
        <v/>
      </c>
      <c r="KM34" s="62" t="str">
        <f t="shared" si="33"/>
        <v/>
      </c>
      <c r="KN34" s="61" t="str">
        <f t="shared" si="34"/>
        <v>Monopole</v>
      </c>
      <c r="KO34" s="61">
        <f t="shared" si="35"/>
        <v>108</v>
      </c>
      <c r="KP34" s="131" t="str">
        <f t="shared" si="36"/>
        <v>OPW TBC</v>
      </c>
      <c r="KQ34" s="131" t="str">
        <f t="shared" si="37"/>
        <v>No Forcast Date</v>
      </c>
      <c r="KR34" s="61" t="str">
        <f t="shared" si="38"/>
        <v xml:space="preserve">OPW TBC  Not Gated  UTS  108  No Forcast Date  </v>
      </c>
      <c r="KS34" s="61">
        <f t="shared" si="39"/>
        <v>0</v>
      </c>
      <c r="KT34" s="61" t="str">
        <f t="shared" si="40"/>
        <v/>
      </c>
      <c r="KU34" s="61" t="str">
        <f t="shared" si="41"/>
        <v>Monopole</v>
      </c>
      <c r="KV34" s="61">
        <f t="shared" si="42"/>
        <v>20</v>
      </c>
      <c r="KW34" s="61" t="str">
        <f t="shared" si="43"/>
        <v>Monopole</v>
      </c>
      <c r="KX34" s="61">
        <f t="shared" si="44"/>
        <v>24</v>
      </c>
      <c r="KY34" s="60"/>
      <c r="KZ34" s="60"/>
      <c r="LA34" s="62"/>
      <c r="LB34" s="61"/>
      <c r="LC34" s="62"/>
      <c r="LD34" s="61"/>
      <c r="LE34" s="68" t="str">
        <f t="shared" si="45"/>
        <v>-</v>
      </c>
      <c r="LF34" s="150" t="str">
        <f t="shared" si="46"/>
        <v>-</v>
      </c>
      <c r="LG34" s="60"/>
      <c r="LH34" s="60"/>
      <c r="LI34" s="68" t="str">
        <f t="shared" si="47"/>
        <v>-</v>
      </c>
      <c r="LJ34" s="150" t="str">
        <f t="shared" si="48"/>
        <v>-</v>
      </c>
      <c r="LK34" s="60"/>
      <c r="LL34" s="68" t="str">
        <f t="shared" si="49"/>
        <v>-</v>
      </c>
      <c r="LM34" s="150" t="str">
        <f t="shared" si="50"/>
        <v>-</v>
      </c>
      <c r="LN34" s="60"/>
      <c r="LO34" s="98" t="str">
        <f t="shared" si="51"/>
        <v>-</v>
      </c>
      <c r="LP34" s="68" t="str">
        <f t="shared" si="52"/>
        <v>-</v>
      </c>
      <c r="LQ34" s="150" t="str">
        <f t="shared" si="53"/>
        <v>-</v>
      </c>
      <c r="LR34" s="60"/>
      <c r="LS34" s="98" t="str">
        <f t="shared" si="54"/>
        <v>-</v>
      </c>
      <c r="LT34" s="60"/>
      <c r="LU34" s="60"/>
      <c r="LV34" s="60"/>
      <c r="LW34" s="60"/>
      <c r="LX34" s="60"/>
      <c r="LY34" s="60"/>
      <c r="LZ34" s="60"/>
      <c r="MA34" s="60"/>
      <c r="MB34" s="60"/>
      <c r="MC34" s="60"/>
      <c r="MD34" s="60"/>
      <c r="ME34" s="60"/>
      <c r="MF34" s="60"/>
      <c r="MG34" s="60"/>
      <c r="MH34" s="60"/>
      <c r="MI34" s="60"/>
      <c r="MJ34" s="60"/>
      <c r="MK34" s="60"/>
      <c r="ML34" s="60"/>
      <c r="MM34" s="60"/>
      <c r="MN34" s="60"/>
      <c r="MO34" s="60"/>
    </row>
    <row r="35" spans="2:353" ht="21" customHeight="1" x14ac:dyDescent="0.25">
      <c r="B35" s="115" t="s">
        <v>648</v>
      </c>
      <c r="C35" s="58" t="s">
        <v>633</v>
      </c>
      <c r="D35" s="159" t="s">
        <v>325</v>
      </c>
      <c r="E35" s="159">
        <v>108</v>
      </c>
      <c r="F35" s="159" t="s">
        <v>483</v>
      </c>
      <c r="G35" s="159"/>
      <c r="H35" s="59"/>
      <c r="I35" s="159" t="s">
        <v>636</v>
      </c>
      <c r="J35" s="159" t="s">
        <v>636</v>
      </c>
      <c r="K35" s="159" t="s">
        <v>636</v>
      </c>
      <c r="L35" s="159" t="s">
        <v>637</v>
      </c>
      <c r="M35" s="159" t="s">
        <v>240</v>
      </c>
      <c r="N35" s="159">
        <v>25</v>
      </c>
      <c r="O35" s="159" t="s">
        <v>255</v>
      </c>
      <c r="P35" s="159">
        <v>30</v>
      </c>
      <c r="Q35" s="159"/>
      <c r="R35" s="160"/>
      <c r="S35" s="159"/>
      <c r="T35" s="159" t="s">
        <v>405</v>
      </c>
      <c r="U35" s="61" t="s">
        <v>326</v>
      </c>
      <c r="V35" s="61">
        <v>1</v>
      </c>
      <c r="W35" s="65"/>
      <c r="X35" s="72">
        <v>44519</v>
      </c>
      <c r="Y35" s="61" t="s">
        <v>305</v>
      </c>
      <c r="Z35" s="61" t="s">
        <v>306</v>
      </c>
      <c r="AA35" s="61" t="s">
        <v>243</v>
      </c>
      <c r="AB35" s="72">
        <v>44519</v>
      </c>
      <c r="AC35" s="72">
        <v>44532</v>
      </c>
      <c r="AD35" s="72" t="s">
        <v>257</v>
      </c>
      <c r="AE35" s="63"/>
      <c r="AF35" s="72">
        <v>44538</v>
      </c>
      <c r="AG35" s="62"/>
      <c r="AH35" s="72"/>
      <c r="AI35" s="61"/>
      <c r="AJ35" s="61"/>
      <c r="AK35" s="62"/>
      <c r="AL35" s="62"/>
      <c r="AM35" s="62"/>
      <c r="AN35" s="64"/>
      <c r="AO35" s="61" t="s">
        <v>246</v>
      </c>
      <c r="AP35" s="61"/>
      <c r="AQ35" s="61"/>
      <c r="AR35" s="65">
        <v>44543</v>
      </c>
      <c r="AS35" s="72">
        <v>44543</v>
      </c>
      <c r="AT35" s="72" t="s">
        <v>257</v>
      </c>
      <c r="AU35" s="61">
        <v>217340</v>
      </c>
      <c r="AV35" s="61" t="s">
        <v>269</v>
      </c>
      <c r="AW35" s="61" t="s">
        <v>243</v>
      </c>
      <c r="AX35" s="62">
        <v>44607</v>
      </c>
      <c r="AY35" s="62">
        <v>44787</v>
      </c>
      <c r="AZ35" s="72">
        <v>44771</v>
      </c>
      <c r="BA35" s="62" t="s">
        <v>243</v>
      </c>
      <c r="BB35" s="62" t="s">
        <v>243</v>
      </c>
      <c r="BC35" s="62" t="s">
        <v>243</v>
      </c>
      <c r="BD35" s="65">
        <v>44815</v>
      </c>
      <c r="BE35" s="72">
        <v>44802</v>
      </c>
      <c r="BF35" s="62" t="s">
        <v>272</v>
      </c>
      <c r="BG35" s="61"/>
      <c r="BH35" s="65">
        <v>44848</v>
      </c>
      <c r="BI35" s="72">
        <v>44848</v>
      </c>
      <c r="BJ35" s="87" t="s">
        <v>272</v>
      </c>
      <c r="BK35" s="61">
        <v>2022</v>
      </c>
      <c r="BL35" s="62">
        <v>44829</v>
      </c>
      <c r="BM35" s="62"/>
      <c r="BN35" s="62"/>
      <c r="BO35" s="61"/>
      <c r="BP35" s="65"/>
      <c r="BQ35" s="67"/>
      <c r="BR35" s="62"/>
      <c r="BS35" s="61"/>
      <c r="BT35" s="65">
        <v>44848</v>
      </c>
      <c r="BU35" s="65" t="s">
        <v>249</v>
      </c>
      <c r="BV35" s="65">
        <v>44848</v>
      </c>
      <c r="BW35" s="147" t="s">
        <v>272</v>
      </c>
      <c r="BX35" s="65">
        <f t="shared" si="28"/>
        <v>46673</v>
      </c>
      <c r="BY35" s="61" t="s">
        <v>273</v>
      </c>
      <c r="BZ35" s="61" t="s">
        <v>250</v>
      </c>
      <c r="CA35" s="61"/>
      <c r="CB35" s="62"/>
      <c r="CC35" s="61"/>
      <c r="CD35" s="68" t="s">
        <v>536</v>
      </c>
      <c r="CE35" s="60" t="s">
        <v>274</v>
      </c>
      <c r="CF35" s="61"/>
      <c r="CG35" s="61"/>
      <c r="CH35" s="64"/>
      <c r="CI35" s="64"/>
      <c r="CJ35" s="64"/>
      <c r="CK35" s="64" t="s">
        <v>265</v>
      </c>
      <c r="CL35" s="138">
        <v>44378</v>
      </c>
      <c r="CM35" s="64"/>
      <c r="CN35" s="64"/>
      <c r="CO35" s="70"/>
      <c r="CP35" s="64"/>
      <c r="CQ35" s="64"/>
      <c r="CR35" s="60"/>
      <c r="CS35" s="70"/>
      <c r="CT35" s="61" t="s">
        <v>341</v>
      </c>
      <c r="CU35" s="61" t="s">
        <v>341</v>
      </c>
      <c r="CV35" s="61" t="s">
        <v>341</v>
      </c>
      <c r="CW35" s="61" t="s">
        <v>341</v>
      </c>
      <c r="CX35" s="61" t="s">
        <v>341</v>
      </c>
      <c r="CY35" s="82" t="s">
        <v>275</v>
      </c>
      <c r="CZ35" s="61" t="s">
        <v>341</v>
      </c>
      <c r="DA35" s="61"/>
      <c r="DB35" s="61"/>
      <c r="DC35" s="61"/>
      <c r="DD35" s="61"/>
      <c r="DE35" s="61"/>
      <c r="DF35" s="61" t="s">
        <v>341</v>
      </c>
      <c r="DG35" s="64" t="s">
        <v>550</v>
      </c>
      <c r="DH35" s="60"/>
      <c r="DI35" s="84"/>
      <c r="DJ35" s="84"/>
      <c r="DK35" s="84"/>
      <c r="DL35" s="84"/>
      <c r="DM35" s="84"/>
      <c r="DN35" s="84"/>
      <c r="DO35" s="84"/>
      <c r="DP35" s="84"/>
      <c r="DQ35" s="84"/>
      <c r="DR35" s="84"/>
      <c r="DS35" s="84"/>
      <c r="DT35" s="84"/>
      <c r="DU35" s="84"/>
      <c r="DV35" s="84"/>
      <c r="DW35" s="84"/>
      <c r="DX35" s="84"/>
      <c r="DY35" s="84"/>
      <c r="DZ35" s="84"/>
      <c r="EA35" s="84"/>
      <c r="EB35" s="84"/>
      <c r="EC35" s="84"/>
      <c r="ED35" s="84"/>
      <c r="EE35" s="84"/>
      <c r="EF35" s="84"/>
      <c r="EG35" s="84"/>
      <c r="EH35" s="60"/>
      <c r="EI35" s="61"/>
      <c r="EJ35" s="61"/>
      <c r="EK35" s="61" t="s">
        <v>243</v>
      </c>
      <c r="EL35" s="70"/>
      <c r="EM35" s="71"/>
      <c r="EN35" s="133">
        <f t="shared" si="55"/>
        <v>1</v>
      </c>
      <c r="EO35" s="61">
        <f t="shared" si="56"/>
        <v>0</v>
      </c>
      <c r="EP35" s="62"/>
      <c r="EQ35" s="72" t="s">
        <v>340</v>
      </c>
      <c r="ER35" s="73"/>
      <c r="ES35" s="62"/>
      <c r="ET35" s="62"/>
      <c r="EU35" s="62"/>
      <c r="EV35" s="62"/>
      <c r="EW35" s="62"/>
      <c r="EX35" s="62"/>
      <c r="EY35" s="61">
        <f t="shared" si="57"/>
        <v>1</v>
      </c>
      <c r="EZ35" s="61"/>
      <c r="FA35" s="62"/>
      <c r="FB35" s="73"/>
      <c r="FC35" s="61"/>
      <c r="FD35" s="62">
        <v>47119</v>
      </c>
      <c r="FE35" s="61"/>
      <c r="FF35" s="68" t="str">
        <f t="shared" si="58"/>
        <v>FP / No Demand</v>
      </c>
      <c r="FG35" s="76">
        <f t="shared" si="64"/>
        <v>47119</v>
      </c>
      <c r="FH35" s="65">
        <f t="shared" si="60"/>
        <v>44848</v>
      </c>
      <c r="FI35" s="76" t="s">
        <v>570</v>
      </c>
      <c r="FJ35" s="62"/>
      <c r="FK35" s="62"/>
      <c r="FL35" s="61"/>
      <c r="FM35" s="61"/>
      <c r="FN35" s="61"/>
      <c r="FO35" s="60"/>
      <c r="FP35" s="64"/>
      <c r="FQ35" s="64"/>
      <c r="FR35" s="61"/>
      <c r="FS35" s="61"/>
      <c r="FT35" s="61"/>
      <c r="FU35" s="61"/>
      <c r="FV35" s="60"/>
      <c r="FW35" s="61"/>
      <c r="FX35" s="61"/>
      <c r="FY35" s="61"/>
      <c r="FZ35" s="61"/>
      <c r="GA35" s="61"/>
      <c r="GB35" s="61"/>
      <c r="GC35" s="61"/>
      <c r="GD35" s="61"/>
      <c r="GE35" s="61"/>
      <c r="GF35" s="61"/>
      <c r="GG35" s="61"/>
      <c r="GH35" s="61"/>
      <c r="GI35" s="60"/>
      <c r="GJ35" s="62"/>
      <c r="GK35" s="62"/>
      <c r="GL35" s="62"/>
      <c r="GM35" s="62"/>
      <c r="GN35" s="63"/>
      <c r="GO35" s="63"/>
      <c r="GP35" s="62"/>
      <c r="GQ35" s="62"/>
      <c r="GR35" s="62"/>
      <c r="GS35" s="62"/>
      <c r="GT35" s="62"/>
      <c r="GU35" s="62"/>
      <c r="GV35" s="62"/>
      <c r="GW35" s="62"/>
      <c r="GX35" s="62"/>
      <c r="GY35" s="62"/>
      <c r="GZ35" s="62"/>
      <c r="HA35" s="65"/>
      <c r="HB35" s="62"/>
      <c r="HC35" s="62"/>
      <c r="HD35" s="62"/>
      <c r="HE35" s="65"/>
      <c r="HF35" s="62"/>
      <c r="HG35" s="65">
        <f>FJ35+10</f>
        <v>10</v>
      </c>
      <c r="HH35" s="62"/>
      <c r="HI35" s="61"/>
      <c r="HJ35" s="62"/>
      <c r="HK35" s="62"/>
      <c r="HL35" s="62"/>
      <c r="HM35" s="65">
        <f>IF(GW35="Yes",HE35,HG35+50)</f>
        <v>60</v>
      </c>
      <c r="HN35" s="63"/>
      <c r="HO35" s="62"/>
      <c r="HP35" s="78"/>
      <c r="HQ35" s="60"/>
      <c r="HR35" s="63"/>
      <c r="HS35" s="62"/>
      <c r="HT35" s="63"/>
      <c r="HU35" s="62"/>
      <c r="HV35" s="62"/>
      <c r="HW35" s="62"/>
      <c r="HX35" s="79"/>
      <c r="HY35" s="62"/>
      <c r="HZ35" s="79"/>
      <c r="IA35" s="60"/>
      <c r="IB35" s="65">
        <f t="shared" si="65"/>
        <v>70</v>
      </c>
      <c r="IC35" s="62"/>
      <c r="ID35" s="61"/>
      <c r="IE35" s="61"/>
      <c r="IF35" s="61"/>
      <c r="IG35" s="61"/>
      <c r="IH35" s="61"/>
      <c r="II35" s="61"/>
      <c r="IJ35" s="61"/>
      <c r="IK35" s="61"/>
      <c r="IL35" s="62"/>
      <c r="IM35" s="62"/>
      <c r="IN35" s="62" t="str">
        <f t="shared" si="61"/>
        <v>-</v>
      </c>
      <c r="IO35" s="60"/>
      <c r="IP35" s="65">
        <f t="shared" si="66"/>
        <v>100</v>
      </c>
      <c r="IQ35" s="62">
        <f t="shared" si="67"/>
        <v>0</v>
      </c>
      <c r="IR35" s="62"/>
      <c r="IS35" s="62"/>
      <c r="IT35" s="62"/>
      <c r="IU35" s="62"/>
      <c r="IV35" s="62"/>
      <c r="IW35" s="62"/>
      <c r="IX35" s="62"/>
      <c r="IY35" s="62"/>
      <c r="IZ35" s="62"/>
      <c r="JA35" s="62"/>
      <c r="JB35" s="62"/>
      <c r="JC35" s="62"/>
      <c r="JD35" s="62"/>
      <c r="JE35" s="62"/>
      <c r="JF35" s="62"/>
      <c r="JG35" s="62"/>
      <c r="JH35" s="65">
        <f>IP35+60</f>
        <v>160</v>
      </c>
      <c r="JI35" s="67" t="str">
        <f t="shared" si="63"/>
        <v>Q2-1900</v>
      </c>
      <c r="JJ35" s="62"/>
      <c r="JK35" s="60"/>
      <c r="JL35" s="61"/>
      <c r="JM35" s="64"/>
      <c r="JN35" s="62"/>
      <c r="JO35" s="62"/>
      <c r="JP35" s="78"/>
      <c r="JQ35" s="61"/>
      <c r="JR35" s="60"/>
      <c r="JS35" s="62"/>
      <c r="JT35" s="62"/>
      <c r="JU35" s="62"/>
      <c r="JV35" s="62"/>
      <c r="JW35" s="62"/>
      <c r="JX35" s="62"/>
      <c r="JY35" s="60"/>
      <c r="JZ35" s="61"/>
      <c r="KA35" s="61"/>
      <c r="KB35" s="61"/>
      <c r="KC35" s="61"/>
      <c r="KD35" s="61"/>
      <c r="KE35" s="61"/>
      <c r="KF35" s="60"/>
      <c r="KG35" s="86"/>
      <c r="KH35" s="60"/>
      <c r="KI35" s="81" t="str">
        <f t="shared" si="29"/>
        <v/>
      </c>
      <c r="KJ35" s="61" t="str">
        <f t="shared" si="30"/>
        <v>Not Gated</v>
      </c>
      <c r="KK35" s="61" t="str">
        <f t="shared" si="31"/>
        <v/>
      </c>
      <c r="KL35" s="62" t="str">
        <f t="shared" si="32"/>
        <v/>
      </c>
      <c r="KM35" s="62" t="str">
        <f t="shared" si="33"/>
        <v/>
      </c>
      <c r="KN35" s="61" t="str">
        <f t="shared" si="34"/>
        <v>Lattice</v>
      </c>
      <c r="KO35" s="61">
        <f t="shared" si="35"/>
        <v>108</v>
      </c>
      <c r="KP35" s="131" t="str">
        <f t="shared" si="36"/>
        <v>On Hold - ROI</v>
      </c>
      <c r="KQ35" s="131" t="str">
        <f t="shared" si="37"/>
        <v>No Forcast Date</v>
      </c>
      <c r="KR35" s="61" t="str">
        <f t="shared" si="38"/>
        <v xml:space="preserve">On Hold - ROI  Not Gated  UTS  108  No Forcast Date  </v>
      </c>
      <c r="KS35" s="61">
        <f t="shared" si="39"/>
        <v>0</v>
      </c>
      <c r="KT35" s="61" t="str">
        <f t="shared" si="40"/>
        <v/>
      </c>
      <c r="KU35" s="61" t="str">
        <f t="shared" si="41"/>
        <v>Monopole</v>
      </c>
      <c r="KV35" s="61">
        <f t="shared" si="42"/>
        <v>25</v>
      </c>
      <c r="KW35" s="61" t="str">
        <f t="shared" si="43"/>
        <v>Lattice</v>
      </c>
      <c r="KX35" s="61">
        <f t="shared" si="44"/>
        <v>30</v>
      </c>
      <c r="KY35" s="60"/>
      <c r="KZ35" s="60"/>
      <c r="LA35" s="62"/>
      <c r="LB35" s="61"/>
      <c r="LC35" s="62"/>
      <c r="LD35" s="61"/>
      <c r="LE35" s="68" t="str">
        <f t="shared" si="45"/>
        <v>-</v>
      </c>
      <c r="LF35" s="150" t="str">
        <f t="shared" si="46"/>
        <v>-</v>
      </c>
      <c r="LG35" s="60"/>
      <c r="LH35" s="60"/>
      <c r="LI35" s="68">
        <f t="shared" si="47"/>
        <v>259</v>
      </c>
      <c r="LJ35" s="150">
        <f t="shared" si="48"/>
        <v>8.6333333333333329</v>
      </c>
      <c r="LK35" s="60"/>
      <c r="LL35" s="68">
        <f t="shared" si="49"/>
        <v>305</v>
      </c>
      <c r="LM35" s="150">
        <f t="shared" si="50"/>
        <v>10.166666666666666</v>
      </c>
      <c r="LN35" s="60"/>
      <c r="LO35" s="98" t="str">
        <f t="shared" si="51"/>
        <v>-</v>
      </c>
      <c r="LP35" s="68" t="str">
        <f t="shared" si="52"/>
        <v>-</v>
      </c>
      <c r="LQ35" s="150" t="str">
        <f t="shared" si="53"/>
        <v>-</v>
      </c>
      <c r="LR35" s="60"/>
      <c r="LS35" s="98" t="str">
        <f t="shared" si="54"/>
        <v>-</v>
      </c>
      <c r="LT35" s="60"/>
      <c r="LU35" s="60"/>
      <c r="LV35" s="60"/>
      <c r="LW35" s="60"/>
      <c r="LX35" s="60"/>
      <c r="LY35" s="60"/>
      <c r="LZ35" s="60"/>
      <c r="MA35" s="60"/>
      <c r="MB35" s="60"/>
      <c r="MC35" s="60"/>
      <c r="MD35" s="60"/>
      <c r="ME35" s="60"/>
      <c r="MF35" s="60"/>
      <c r="MG35" s="60"/>
      <c r="MH35" s="60"/>
      <c r="MI35" s="60"/>
      <c r="MJ35" s="60"/>
      <c r="MK35" s="60"/>
      <c r="ML35" s="60"/>
      <c r="MM35" s="60"/>
      <c r="MN35" s="60"/>
      <c r="MO35" s="60"/>
    </row>
    <row r="36" spans="2:353" ht="21" customHeight="1" x14ac:dyDescent="0.25">
      <c r="B36" s="58" t="s">
        <v>638</v>
      </c>
      <c r="C36" s="58" t="s">
        <v>633</v>
      </c>
      <c r="D36" s="159" t="s">
        <v>334</v>
      </c>
      <c r="E36" s="159" t="s">
        <v>253</v>
      </c>
      <c r="F36" s="159" t="s">
        <v>462</v>
      </c>
      <c r="G36" s="159"/>
      <c r="H36" s="59"/>
      <c r="I36" s="159" t="s">
        <v>636</v>
      </c>
      <c r="J36" s="159" t="s">
        <v>636</v>
      </c>
      <c r="K36" s="159" t="s">
        <v>636</v>
      </c>
      <c r="L36" s="159" t="s">
        <v>637</v>
      </c>
      <c r="M36" s="159" t="s">
        <v>278</v>
      </c>
      <c r="N36" s="159">
        <v>12</v>
      </c>
      <c r="O36" s="159" t="s">
        <v>240</v>
      </c>
      <c r="P36" s="159">
        <v>18</v>
      </c>
      <c r="Q36" s="159"/>
      <c r="R36" s="160"/>
      <c r="S36" s="159" t="s">
        <v>629</v>
      </c>
      <c r="T36" s="159"/>
      <c r="U36" s="61" t="s">
        <v>335</v>
      </c>
      <c r="V36" s="61">
        <v>3</v>
      </c>
      <c r="W36" s="65"/>
      <c r="X36" s="72" t="s">
        <v>257</v>
      </c>
      <c r="Y36" s="61" t="s">
        <v>305</v>
      </c>
      <c r="Z36" s="61" t="s">
        <v>270</v>
      </c>
      <c r="AA36" s="61">
        <v>2500</v>
      </c>
      <c r="AB36" s="62">
        <f>AR36-60</f>
        <v>44228</v>
      </c>
      <c r="AC36" s="72">
        <v>44123</v>
      </c>
      <c r="AD36" s="72"/>
      <c r="AE36" s="63"/>
      <c r="AF36" s="72">
        <v>44274</v>
      </c>
      <c r="AG36" s="62"/>
      <c r="AH36" s="72"/>
      <c r="AI36" s="61" t="s">
        <v>257</v>
      </c>
      <c r="AJ36" s="61" t="s">
        <v>247</v>
      </c>
      <c r="AK36" s="62" t="s">
        <v>269</v>
      </c>
      <c r="AL36" s="62"/>
      <c r="AM36" s="62"/>
      <c r="AN36" s="64"/>
      <c r="AO36" s="61" t="s">
        <v>296</v>
      </c>
      <c r="AP36" s="61"/>
      <c r="AQ36" s="61" t="s">
        <v>248</v>
      </c>
      <c r="AR36" s="65">
        <v>44288</v>
      </c>
      <c r="AS36" s="72">
        <v>44288</v>
      </c>
      <c r="AT36" s="72" t="s">
        <v>257</v>
      </c>
      <c r="AU36" s="61">
        <v>21206</v>
      </c>
      <c r="AV36" s="61"/>
      <c r="AW36" s="61"/>
      <c r="AX36" s="62"/>
      <c r="AY36" s="62"/>
      <c r="AZ36" s="62"/>
      <c r="BA36" s="61"/>
      <c r="BB36" s="61"/>
      <c r="BC36" s="61"/>
      <c r="BD36" s="65">
        <v>44358</v>
      </c>
      <c r="BE36" s="140">
        <v>44349</v>
      </c>
      <c r="BF36" s="62" t="s">
        <v>307</v>
      </c>
      <c r="BG36" s="61">
        <v>0</v>
      </c>
      <c r="BH36" s="65">
        <v>44393</v>
      </c>
      <c r="BI36" s="62"/>
      <c r="BJ36" s="62" t="s">
        <v>344</v>
      </c>
      <c r="BK36" s="61">
        <v>2021</v>
      </c>
      <c r="BL36" s="62">
        <v>44376</v>
      </c>
      <c r="BM36" s="72">
        <v>44372</v>
      </c>
      <c r="BN36" s="62"/>
      <c r="BO36" s="61">
        <v>310641</v>
      </c>
      <c r="BP36" s="65">
        <v>44497</v>
      </c>
      <c r="BQ36" s="67"/>
      <c r="BR36" s="72">
        <v>44550</v>
      </c>
      <c r="BS36" s="61" t="s">
        <v>272</v>
      </c>
      <c r="BT36" s="65">
        <v>44550</v>
      </c>
      <c r="BU36" s="65" t="s">
        <v>292</v>
      </c>
      <c r="BV36" s="65">
        <v>44550</v>
      </c>
      <c r="BW36" s="147" t="s">
        <v>272</v>
      </c>
      <c r="BX36" s="65">
        <f t="shared" si="28"/>
        <v>46375</v>
      </c>
      <c r="BY36" s="61" t="s">
        <v>273</v>
      </c>
      <c r="BZ36" s="61" t="s">
        <v>433</v>
      </c>
      <c r="CA36" s="61"/>
      <c r="CB36" s="72" t="s">
        <v>244</v>
      </c>
      <c r="CC36" s="61"/>
      <c r="CD36" s="68" t="s">
        <v>536</v>
      </c>
      <c r="CE36" s="60" t="s">
        <v>274</v>
      </c>
      <c r="CF36" s="61"/>
      <c r="CG36" s="61"/>
      <c r="CH36" s="61"/>
      <c r="CI36" s="62"/>
      <c r="CJ36" s="62"/>
      <c r="CK36" s="61"/>
      <c r="CL36" s="69"/>
      <c r="CM36" s="61"/>
      <c r="CN36" s="61"/>
      <c r="CO36" s="61"/>
      <c r="CP36" s="61"/>
      <c r="CQ36" s="64"/>
      <c r="CR36" s="60"/>
      <c r="CS36" s="70" t="s">
        <v>600</v>
      </c>
      <c r="CT36" s="82" t="s">
        <v>275</v>
      </c>
      <c r="CU36" s="61" t="s">
        <v>341</v>
      </c>
      <c r="CV36" s="82" t="s">
        <v>275</v>
      </c>
      <c r="CW36" s="82" t="s">
        <v>275</v>
      </c>
      <c r="CX36" s="61" t="s">
        <v>341</v>
      </c>
      <c r="CY36" s="82" t="s">
        <v>275</v>
      </c>
      <c r="CZ36" s="61" t="s">
        <v>341</v>
      </c>
      <c r="DA36" s="61"/>
      <c r="DB36" s="61"/>
      <c r="DC36" s="61"/>
      <c r="DD36" s="61"/>
      <c r="DE36" s="61"/>
      <c r="DF36" s="61" t="s">
        <v>269</v>
      </c>
      <c r="DG36" s="64" t="s">
        <v>601</v>
      </c>
      <c r="DH36" s="60"/>
      <c r="DI36" s="62"/>
      <c r="DJ36" s="62"/>
      <c r="DK36" s="72"/>
      <c r="DL36" s="72"/>
      <c r="DM36" s="72"/>
      <c r="DN36" s="72"/>
      <c r="DO36" s="72">
        <v>44761</v>
      </c>
      <c r="DP36" s="62">
        <v>44817</v>
      </c>
      <c r="DQ36" s="62"/>
      <c r="DR36" s="62"/>
      <c r="DS36" s="62"/>
      <c r="DT36" s="62"/>
      <c r="DU36" s="62"/>
      <c r="DV36" s="62"/>
      <c r="DW36" s="62"/>
      <c r="DX36" s="62"/>
      <c r="DY36" s="62"/>
      <c r="DZ36" s="62"/>
      <c r="EA36" s="62"/>
      <c r="EB36" s="62"/>
      <c r="EC36" s="62"/>
      <c r="ED36" s="62"/>
      <c r="EE36" s="62"/>
      <c r="EF36" s="62"/>
      <c r="EG36" s="62"/>
      <c r="EH36" s="60"/>
      <c r="EI36" s="72">
        <v>44690</v>
      </c>
      <c r="EJ36" s="62" t="s">
        <v>602</v>
      </c>
      <c r="EK36" s="61">
        <v>5</v>
      </c>
      <c r="EL36" s="70"/>
      <c r="EM36" s="71"/>
      <c r="EN36" s="133">
        <f t="shared" si="55"/>
        <v>3</v>
      </c>
      <c r="EO36" s="61">
        <f t="shared" si="56"/>
        <v>2</v>
      </c>
      <c r="EP36" s="72">
        <v>44927</v>
      </c>
      <c r="EQ36" s="72">
        <v>44907</v>
      </c>
      <c r="ER36" s="73"/>
      <c r="ES36" s="62"/>
      <c r="ET36" s="62"/>
      <c r="EU36" s="62"/>
      <c r="EV36" s="62"/>
      <c r="EW36" s="62"/>
      <c r="EX36" s="62"/>
      <c r="EY36" s="61">
        <f t="shared" si="57"/>
        <v>1</v>
      </c>
      <c r="EZ36" s="61"/>
      <c r="FA36" s="61"/>
      <c r="FB36" s="74"/>
      <c r="FC36" s="62">
        <v>47484</v>
      </c>
      <c r="FD36" s="61"/>
      <c r="FE36" s="61"/>
      <c r="FF36" s="68" t="str">
        <f t="shared" si="58"/>
        <v>FP &amp; Demand</v>
      </c>
      <c r="FG36" s="76">
        <f t="shared" si="64"/>
        <v>47484</v>
      </c>
      <c r="FH36" s="65">
        <f t="shared" si="60"/>
        <v>44550</v>
      </c>
      <c r="FI36" s="76"/>
      <c r="FJ36" s="62">
        <f>FH36+7</f>
        <v>44557</v>
      </c>
      <c r="FK36" s="62">
        <v>44608</v>
      </c>
      <c r="FL36" s="61" t="s">
        <v>299</v>
      </c>
      <c r="FM36" s="61"/>
      <c r="FN36" s="61"/>
      <c r="FO36" s="60"/>
      <c r="FP36" s="64"/>
      <c r="FQ36" s="64"/>
      <c r="FR36" s="61"/>
      <c r="FS36" s="120" t="s">
        <v>257</v>
      </c>
      <c r="FT36" s="61"/>
      <c r="FU36" s="61"/>
      <c r="FV36" s="60"/>
      <c r="FW36" s="61"/>
      <c r="FX36" s="61"/>
      <c r="FY36" s="61"/>
      <c r="FZ36" s="61"/>
      <c r="GA36" s="61"/>
      <c r="GB36" s="61"/>
      <c r="GC36" s="61"/>
      <c r="GD36" s="61"/>
      <c r="GE36" s="61"/>
      <c r="GF36" s="61"/>
      <c r="GG36" s="61"/>
      <c r="GH36" s="61"/>
      <c r="GI36" s="60"/>
      <c r="GJ36" s="62"/>
      <c r="GK36" s="62"/>
      <c r="GL36" s="62"/>
      <c r="GM36" s="62"/>
      <c r="GN36" s="63"/>
      <c r="GO36" s="63"/>
      <c r="GP36" s="62"/>
      <c r="GQ36" s="62"/>
      <c r="GR36" s="62"/>
      <c r="GS36" s="62"/>
      <c r="GT36" s="62"/>
      <c r="GU36" s="62"/>
      <c r="GV36" s="78"/>
      <c r="GW36" s="62"/>
      <c r="GX36" s="62"/>
      <c r="GY36" s="62"/>
      <c r="GZ36" s="62"/>
      <c r="HA36" s="67"/>
      <c r="HB36" s="62"/>
      <c r="HC36" s="62"/>
      <c r="HD36" s="62"/>
      <c r="HE36" s="65"/>
      <c r="HF36" s="62"/>
      <c r="HG36" s="65">
        <f>FJ36+10</f>
        <v>44567</v>
      </c>
      <c r="HH36" s="62"/>
      <c r="HI36" s="61"/>
      <c r="HJ36" s="62"/>
      <c r="HK36" s="62"/>
      <c r="HL36" s="62"/>
      <c r="HM36" s="65">
        <f>IF(GW36="Yes",HE36,HG36+50)</f>
        <v>44617</v>
      </c>
      <c r="HN36" s="63"/>
      <c r="HO36" s="62"/>
      <c r="HP36" s="78"/>
      <c r="HQ36" s="60"/>
      <c r="HR36" s="63"/>
      <c r="HS36" s="62"/>
      <c r="HT36" s="63"/>
      <c r="HU36" s="98"/>
      <c r="HV36" s="62"/>
      <c r="HW36" s="62"/>
      <c r="HX36" s="79"/>
      <c r="HY36" s="62"/>
      <c r="HZ36" s="79"/>
      <c r="IA36" s="60"/>
      <c r="IB36" s="65">
        <f t="shared" si="65"/>
        <v>44627</v>
      </c>
      <c r="IC36" s="62"/>
      <c r="ID36" s="61"/>
      <c r="IE36" s="61"/>
      <c r="IF36" s="61"/>
      <c r="IG36" s="61"/>
      <c r="IH36" s="61"/>
      <c r="II36" s="61"/>
      <c r="IJ36" s="61"/>
      <c r="IK36" s="61"/>
      <c r="IL36" s="62"/>
      <c r="IM36" s="62"/>
      <c r="IN36" s="62" t="str">
        <f t="shared" si="61"/>
        <v>Bond wording only</v>
      </c>
      <c r="IO36" s="60"/>
      <c r="IP36" s="65">
        <f t="shared" si="66"/>
        <v>44657</v>
      </c>
      <c r="IQ36" s="62">
        <f t="shared" si="67"/>
        <v>0</v>
      </c>
      <c r="IR36" s="62"/>
      <c r="IS36" s="62"/>
      <c r="IT36" s="62"/>
      <c r="IU36" s="62"/>
      <c r="IV36" s="62"/>
      <c r="IW36" s="62"/>
      <c r="IX36" s="62"/>
      <c r="IY36" s="62"/>
      <c r="IZ36" s="62"/>
      <c r="JA36" s="62"/>
      <c r="JB36" s="62"/>
      <c r="JC36" s="62"/>
      <c r="JD36" s="62"/>
      <c r="JE36" s="62"/>
      <c r="JF36" s="62"/>
      <c r="JG36" s="62"/>
      <c r="JH36" s="65">
        <v>44907</v>
      </c>
      <c r="JI36" s="67" t="str">
        <f t="shared" si="63"/>
        <v>Q4-2022</v>
      </c>
      <c r="JJ36" s="80">
        <v>44907</v>
      </c>
      <c r="JK36" s="60"/>
      <c r="JL36" s="61"/>
      <c r="JM36" s="64"/>
      <c r="JN36" s="62"/>
      <c r="JO36" s="62" t="s">
        <v>257</v>
      </c>
      <c r="JP36" s="78" t="s">
        <v>278</v>
      </c>
      <c r="JQ36" s="72">
        <v>45216</v>
      </c>
      <c r="JR36" s="60"/>
      <c r="JS36" s="62"/>
      <c r="JT36" s="62"/>
      <c r="JU36" s="62"/>
      <c r="JV36" s="62"/>
      <c r="JW36" s="62"/>
      <c r="JX36" s="62"/>
      <c r="JY36" s="60"/>
      <c r="JZ36" s="61"/>
      <c r="KA36" s="61"/>
      <c r="KB36" s="61"/>
      <c r="KC36" s="61"/>
      <c r="KD36" s="61"/>
      <c r="KE36" s="61"/>
      <c r="KF36" s="60"/>
      <c r="KG36" s="61"/>
      <c r="KH36" s="60"/>
      <c r="KI36" s="81" t="str">
        <f t="shared" si="29"/>
        <v>TLKxxx</v>
      </c>
      <c r="KJ36" s="61" t="str">
        <f t="shared" si="30"/>
        <v>Live</v>
      </c>
      <c r="KK36" s="61" t="str">
        <f t="shared" si="31"/>
        <v>TLKxxx</v>
      </c>
      <c r="KL36" s="62">
        <f t="shared" si="32"/>
        <v>44907</v>
      </c>
      <c r="KM36" s="62">
        <f t="shared" si="33"/>
        <v>44907</v>
      </c>
      <c r="KN36" s="61" t="str">
        <f t="shared" si="34"/>
        <v>Monopole</v>
      </c>
      <c r="KO36" s="61" t="str">
        <f t="shared" si="35"/>
        <v>EED</v>
      </c>
      <c r="KP36" s="131">
        <f t="shared" si="36"/>
        <v>0</v>
      </c>
      <c r="KQ36" s="131" t="str">
        <f t="shared" si="37"/>
        <v>Q4-2022</v>
      </c>
      <c r="KR36" s="61" t="str">
        <f t="shared" si="38"/>
        <v xml:space="preserve">0  Live  UTS  EED  Q4-2022  </v>
      </c>
      <c r="KS36" s="61" t="str">
        <f t="shared" si="39"/>
        <v>RFI</v>
      </c>
      <c r="KT36" s="61" t="str">
        <f t="shared" si="40"/>
        <v>Site name</v>
      </c>
      <c r="KU36" s="61" t="str">
        <f t="shared" si="41"/>
        <v>Wooden Pole</v>
      </c>
      <c r="KV36" s="61">
        <f t="shared" si="42"/>
        <v>12</v>
      </c>
      <c r="KW36" s="61" t="str">
        <f t="shared" si="43"/>
        <v>Monopole</v>
      </c>
      <c r="KX36" s="61">
        <f t="shared" si="44"/>
        <v>18</v>
      </c>
      <c r="KY36" s="60"/>
      <c r="KZ36" s="60"/>
      <c r="LA36" s="62"/>
      <c r="LB36" s="61"/>
      <c r="LC36" s="62"/>
      <c r="LD36" s="61"/>
      <c r="LE36" s="68" t="str">
        <f t="shared" si="45"/>
        <v>-</v>
      </c>
      <c r="LF36" s="150" t="str">
        <f t="shared" si="46"/>
        <v>-</v>
      </c>
      <c r="LG36" s="60"/>
      <c r="LH36" s="60"/>
      <c r="LI36" s="68">
        <f t="shared" si="47"/>
        <v>61</v>
      </c>
      <c r="LJ36" s="150">
        <f t="shared" si="48"/>
        <v>2.0333333333333332</v>
      </c>
      <c r="LK36" s="60"/>
      <c r="LL36" s="68">
        <f t="shared" si="49"/>
        <v>262</v>
      </c>
      <c r="LM36" s="150">
        <f t="shared" si="50"/>
        <v>8.7333333333333325</v>
      </c>
      <c r="LN36" s="60"/>
      <c r="LO36" s="98">
        <f t="shared" si="51"/>
        <v>44372</v>
      </c>
      <c r="LP36" s="68">
        <f t="shared" si="52"/>
        <v>178</v>
      </c>
      <c r="LQ36" s="150">
        <f t="shared" si="53"/>
        <v>5.9333333333333336</v>
      </c>
      <c r="LR36" s="60"/>
      <c r="LS36" s="98">
        <f t="shared" si="54"/>
        <v>44550</v>
      </c>
      <c r="LT36" s="60"/>
      <c r="LU36" s="60"/>
      <c r="LV36" s="60"/>
      <c r="LW36" s="60"/>
      <c r="LX36" s="60"/>
      <c r="LY36" s="60"/>
      <c r="LZ36" s="60"/>
      <c r="MA36" s="60"/>
      <c r="MB36" s="60"/>
      <c r="MC36" s="60"/>
      <c r="MD36" s="60"/>
      <c r="ME36" s="60"/>
      <c r="MF36" s="60"/>
      <c r="MG36" s="60"/>
      <c r="MH36" s="60"/>
      <c r="MI36" s="60"/>
      <c r="MJ36" s="60"/>
      <c r="MK36" s="60"/>
      <c r="ML36" s="60"/>
      <c r="MM36" s="60"/>
      <c r="MN36" s="60"/>
      <c r="MO36" s="60"/>
    </row>
    <row r="37" spans="2:353" ht="21" customHeight="1" x14ac:dyDescent="0.25">
      <c r="B37" s="58" t="s">
        <v>639</v>
      </c>
      <c r="C37" s="58" t="s">
        <v>633</v>
      </c>
      <c r="D37" s="159" t="s">
        <v>442</v>
      </c>
      <c r="E37" s="159" t="s">
        <v>253</v>
      </c>
      <c r="F37" s="159" t="s">
        <v>486</v>
      </c>
      <c r="G37" s="159"/>
      <c r="H37" s="59"/>
      <c r="I37" s="159" t="s">
        <v>636</v>
      </c>
      <c r="J37" s="159" t="s">
        <v>636</v>
      </c>
      <c r="K37" s="159" t="s">
        <v>636</v>
      </c>
      <c r="L37" s="159" t="s">
        <v>637</v>
      </c>
      <c r="M37" s="159" t="s">
        <v>254</v>
      </c>
      <c r="N37" s="159">
        <v>15</v>
      </c>
      <c r="O37" s="159" t="s">
        <v>255</v>
      </c>
      <c r="P37" s="159">
        <v>20</v>
      </c>
      <c r="Q37" s="159"/>
      <c r="R37" s="160"/>
      <c r="S37" s="159"/>
      <c r="T37" s="159"/>
      <c r="U37" s="61" t="s">
        <v>315</v>
      </c>
      <c r="V37" s="61">
        <v>3</v>
      </c>
      <c r="W37" s="65"/>
      <c r="X37" s="72">
        <v>44769</v>
      </c>
      <c r="Y37" s="61" t="s">
        <v>305</v>
      </c>
      <c r="Z37" s="61" t="s">
        <v>316</v>
      </c>
      <c r="AA37" s="61" t="s">
        <v>243</v>
      </c>
      <c r="AB37" s="72">
        <v>44769</v>
      </c>
      <c r="AC37" s="72">
        <v>44791</v>
      </c>
      <c r="AD37" s="97"/>
      <c r="AE37" s="63"/>
      <c r="AF37" s="72">
        <v>44829</v>
      </c>
      <c r="AG37" s="72"/>
      <c r="AH37" s="72"/>
      <c r="AI37" s="61"/>
      <c r="AJ37" s="61"/>
      <c r="AK37" s="62"/>
      <c r="AL37" s="62"/>
      <c r="AM37" s="62"/>
      <c r="AN37" s="64"/>
      <c r="AO37" s="61" t="s">
        <v>246</v>
      </c>
      <c r="AP37" s="61"/>
      <c r="AQ37" s="61"/>
      <c r="AR37" s="65">
        <v>44833</v>
      </c>
      <c r="AS37" s="72">
        <v>44833</v>
      </c>
      <c r="AT37" s="72">
        <v>44837</v>
      </c>
      <c r="AU37" s="61">
        <v>22858</v>
      </c>
      <c r="AV37" s="61" t="s">
        <v>269</v>
      </c>
      <c r="AW37" s="61" t="s">
        <v>243</v>
      </c>
      <c r="AX37" s="62" t="s">
        <v>243</v>
      </c>
      <c r="AY37" s="62" t="s">
        <v>243</v>
      </c>
      <c r="AZ37" s="62" t="s">
        <v>243</v>
      </c>
      <c r="BA37" s="61" t="s">
        <v>243</v>
      </c>
      <c r="BB37" s="61" t="s">
        <v>243</v>
      </c>
      <c r="BC37" s="61" t="s">
        <v>243</v>
      </c>
      <c r="BD37" s="65">
        <v>44896</v>
      </c>
      <c r="BE37" s="72">
        <v>44888</v>
      </c>
      <c r="BF37" s="62" t="s">
        <v>272</v>
      </c>
      <c r="BG37" s="61">
        <v>0</v>
      </c>
      <c r="BH37" s="65">
        <v>44919</v>
      </c>
      <c r="BI37" s="72">
        <v>44919</v>
      </c>
      <c r="BJ37" s="62" t="s">
        <v>272</v>
      </c>
      <c r="BK37" s="61">
        <v>2023</v>
      </c>
      <c r="BL37" s="62">
        <v>44915</v>
      </c>
      <c r="BM37" s="62"/>
      <c r="BN37" s="62"/>
      <c r="BO37" s="61"/>
      <c r="BP37" s="65"/>
      <c r="BQ37" s="67"/>
      <c r="BR37" s="62"/>
      <c r="BS37" s="61"/>
      <c r="BT37" s="65">
        <v>44919</v>
      </c>
      <c r="BU37" s="65" t="s">
        <v>292</v>
      </c>
      <c r="BV37" s="65">
        <v>44919</v>
      </c>
      <c r="BW37" s="147" t="s">
        <v>272</v>
      </c>
      <c r="BX37" s="65">
        <f t="shared" si="28"/>
        <v>46744</v>
      </c>
      <c r="BY37" s="61" t="s">
        <v>273</v>
      </c>
      <c r="BZ37" s="61" t="s">
        <v>342</v>
      </c>
      <c r="CA37" s="61"/>
      <c r="CB37" s="62"/>
      <c r="CC37" s="61"/>
      <c r="CD37" s="68" t="s">
        <v>536</v>
      </c>
      <c r="CE37" s="60" t="s">
        <v>274</v>
      </c>
      <c r="CF37" s="61"/>
      <c r="CG37" s="61"/>
      <c r="CH37" s="61"/>
      <c r="CI37" s="62"/>
      <c r="CJ37" s="62"/>
      <c r="CK37" s="61"/>
      <c r="CL37" s="69"/>
      <c r="CM37" s="61"/>
      <c r="CN37" s="61"/>
      <c r="CO37" s="61"/>
      <c r="CP37" s="61"/>
      <c r="CQ37" s="64"/>
      <c r="CR37" s="60"/>
      <c r="CS37" s="70"/>
      <c r="CT37" s="61" t="s">
        <v>269</v>
      </c>
      <c r="CU37" s="61" t="s">
        <v>269</v>
      </c>
      <c r="CV37" s="61" t="s">
        <v>269</v>
      </c>
      <c r="CW37" s="61" t="s">
        <v>269</v>
      </c>
      <c r="CX37" s="61" t="s">
        <v>269</v>
      </c>
      <c r="CY37" s="61" t="s">
        <v>269</v>
      </c>
      <c r="CZ37" s="61" t="s">
        <v>269</v>
      </c>
      <c r="DA37" s="61"/>
      <c r="DB37" s="61"/>
      <c r="DC37" s="61"/>
      <c r="DD37" s="61"/>
      <c r="DE37" s="61"/>
      <c r="DF37" s="61" t="s">
        <v>269</v>
      </c>
      <c r="DG37" s="64" t="s">
        <v>550</v>
      </c>
      <c r="DH37" s="60"/>
      <c r="DI37" s="62"/>
      <c r="DJ37" s="62"/>
      <c r="DK37" s="62"/>
      <c r="DL37" s="62"/>
      <c r="DM37" s="62"/>
      <c r="DN37" s="62"/>
      <c r="DO37" s="62"/>
      <c r="DP37" s="62"/>
      <c r="DQ37" s="62"/>
      <c r="DR37" s="62"/>
      <c r="DS37" s="62"/>
      <c r="DT37" s="62"/>
      <c r="DU37" s="62"/>
      <c r="DV37" s="62"/>
      <c r="DW37" s="62"/>
      <c r="DX37" s="62"/>
      <c r="DY37" s="62"/>
      <c r="DZ37" s="62"/>
      <c r="EA37" s="62"/>
      <c r="EB37" s="62"/>
      <c r="EC37" s="62"/>
      <c r="ED37" s="62"/>
      <c r="EE37" s="62"/>
      <c r="EF37" s="62"/>
      <c r="EG37" s="62"/>
      <c r="EH37" s="60"/>
      <c r="EI37" s="62"/>
      <c r="EJ37" s="62"/>
      <c r="EK37" s="61"/>
      <c r="EL37" s="70"/>
      <c r="EM37" s="71"/>
      <c r="EN37" s="133">
        <f t="shared" si="55"/>
        <v>3</v>
      </c>
      <c r="EO37" s="61">
        <f t="shared" si="56"/>
        <v>0</v>
      </c>
      <c r="EP37" s="62"/>
      <c r="EQ37" s="62"/>
      <c r="ER37" s="73"/>
      <c r="ES37" s="62"/>
      <c r="ET37" s="62"/>
      <c r="EU37" s="62"/>
      <c r="EV37" s="62"/>
      <c r="EW37" s="62"/>
      <c r="EX37" s="62"/>
      <c r="EY37" s="61">
        <f t="shared" si="57"/>
        <v>3</v>
      </c>
      <c r="EZ37" s="117">
        <v>46388</v>
      </c>
      <c r="FA37" s="61"/>
      <c r="FB37" s="74"/>
      <c r="FC37" s="62">
        <v>46753</v>
      </c>
      <c r="FD37" s="62">
        <v>47849</v>
      </c>
      <c r="FE37" s="61"/>
      <c r="FF37" s="68" t="str">
        <f t="shared" si="58"/>
        <v>FP / No Demand</v>
      </c>
      <c r="FG37" s="76">
        <f t="shared" si="64"/>
        <v>46388</v>
      </c>
      <c r="FH37" s="65">
        <f t="shared" si="60"/>
        <v>44919</v>
      </c>
      <c r="FI37" s="76"/>
      <c r="FJ37" s="62"/>
      <c r="FK37" s="62"/>
      <c r="FL37" s="61"/>
      <c r="FM37" s="61"/>
      <c r="FN37" s="61"/>
      <c r="FO37" s="60"/>
      <c r="FP37" s="64"/>
      <c r="FQ37" s="64"/>
      <c r="FR37" s="61"/>
      <c r="FS37" s="61"/>
      <c r="FT37" s="61"/>
      <c r="FU37" s="61"/>
      <c r="FV37" s="60"/>
      <c r="FW37" s="61"/>
      <c r="FX37" s="61"/>
      <c r="FY37" s="61"/>
      <c r="FZ37" s="61"/>
      <c r="GA37" s="61"/>
      <c r="GB37" s="61"/>
      <c r="GC37" s="61"/>
      <c r="GD37" s="61"/>
      <c r="GE37" s="61"/>
      <c r="GF37" s="61"/>
      <c r="GG37" s="61"/>
      <c r="GH37" s="61"/>
      <c r="GI37" s="60"/>
      <c r="GJ37" s="62"/>
      <c r="GK37" s="62"/>
      <c r="GL37" s="62"/>
      <c r="GM37" s="62"/>
      <c r="GN37" s="63"/>
      <c r="GO37" s="63"/>
      <c r="GP37" s="62"/>
      <c r="GQ37" s="62"/>
      <c r="GR37" s="62"/>
      <c r="GS37" s="62"/>
      <c r="GT37" s="62"/>
      <c r="GU37" s="62"/>
      <c r="GV37" s="78"/>
      <c r="GW37" s="62" t="s">
        <v>257</v>
      </c>
      <c r="GX37" s="62"/>
      <c r="GY37" s="62"/>
      <c r="GZ37" s="62"/>
      <c r="HA37" s="65"/>
      <c r="HB37" s="62"/>
      <c r="HC37" s="62"/>
      <c r="HD37" s="62"/>
      <c r="HE37" s="65"/>
      <c r="HF37" s="62"/>
      <c r="HG37" s="65">
        <f>FJ37+10</f>
        <v>10</v>
      </c>
      <c r="HH37" s="62"/>
      <c r="HI37" s="61"/>
      <c r="HJ37" s="62"/>
      <c r="HK37" s="62"/>
      <c r="HL37" s="62"/>
      <c r="HM37" s="65">
        <f>IF(GW37="Yes",HG37+50)</f>
        <v>60</v>
      </c>
      <c r="HN37" s="63"/>
      <c r="HO37" s="62"/>
      <c r="HP37" s="78"/>
      <c r="HQ37" s="60"/>
      <c r="HR37" s="63"/>
      <c r="HS37" s="62"/>
      <c r="HT37" s="63"/>
      <c r="HU37" s="62"/>
      <c r="HV37" s="62"/>
      <c r="HW37" s="62"/>
      <c r="HX37" s="79"/>
      <c r="HY37" s="62"/>
      <c r="HZ37" s="79"/>
      <c r="IA37" s="60"/>
      <c r="IB37" s="65">
        <f t="shared" si="65"/>
        <v>70</v>
      </c>
      <c r="IC37" s="62"/>
      <c r="ID37" s="61"/>
      <c r="IE37" s="61"/>
      <c r="IF37" s="61"/>
      <c r="IG37" s="61"/>
      <c r="IH37" s="61"/>
      <c r="II37" s="61"/>
      <c r="IJ37" s="61"/>
      <c r="IK37" s="61"/>
      <c r="IL37" s="62"/>
      <c r="IM37" s="62"/>
      <c r="IN37" s="62" t="str">
        <f t="shared" si="61"/>
        <v>-</v>
      </c>
      <c r="IO37" s="60"/>
      <c r="IP37" s="65">
        <f t="shared" si="66"/>
        <v>100</v>
      </c>
      <c r="IQ37" s="62">
        <f t="shared" si="67"/>
        <v>0</v>
      </c>
      <c r="IR37" s="62"/>
      <c r="IS37" s="62"/>
      <c r="IT37" s="62"/>
      <c r="IU37" s="62"/>
      <c r="IV37" s="62"/>
      <c r="IW37" s="62"/>
      <c r="IX37" s="62"/>
      <c r="IY37" s="62"/>
      <c r="IZ37" s="62"/>
      <c r="JA37" s="62"/>
      <c r="JB37" s="62"/>
      <c r="JC37" s="62"/>
      <c r="JD37" s="62"/>
      <c r="JE37" s="62"/>
      <c r="JF37" s="62"/>
      <c r="JG37" s="62"/>
      <c r="JH37" s="65">
        <f>IP37+60</f>
        <v>160</v>
      </c>
      <c r="JI37" s="67" t="str">
        <f t="shared" si="63"/>
        <v>Q2-1900</v>
      </c>
      <c r="JJ37" s="62"/>
      <c r="JK37" s="60"/>
      <c r="JL37" s="61"/>
      <c r="JM37" s="64"/>
      <c r="JN37" s="62"/>
      <c r="JO37" s="62"/>
      <c r="JP37" s="78"/>
      <c r="JQ37" s="61"/>
      <c r="JR37" s="60"/>
      <c r="JS37" s="62"/>
      <c r="JT37" s="62"/>
      <c r="JU37" s="62"/>
      <c r="JV37" s="62"/>
      <c r="JW37" s="62"/>
      <c r="JX37" s="62"/>
      <c r="JY37" s="60"/>
      <c r="JZ37" s="61"/>
      <c r="KA37" s="61"/>
      <c r="KB37" s="61"/>
      <c r="KC37" s="61"/>
      <c r="KD37" s="61"/>
      <c r="KE37" s="61"/>
      <c r="KF37" s="60"/>
      <c r="KG37" s="86"/>
      <c r="KH37" s="60"/>
      <c r="KI37" s="81" t="str">
        <f t="shared" si="29"/>
        <v/>
      </c>
      <c r="KJ37" s="61" t="str">
        <f t="shared" si="30"/>
        <v>Not Gated</v>
      </c>
      <c r="KK37" s="61" t="str">
        <f t="shared" si="31"/>
        <v/>
      </c>
      <c r="KL37" s="62" t="str">
        <f t="shared" si="32"/>
        <v/>
      </c>
      <c r="KM37" s="62" t="str">
        <f t="shared" si="33"/>
        <v/>
      </c>
      <c r="KN37" s="61" t="str">
        <f t="shared" si="34"/>
        <v>Lattice</v>
      </c>
      <c r="KO37" s="61" t="str">
        <f t="shared" si="35"/>
        <v>EED</v>
      </c>
      <c r="KP37" s="131">
        <f t="shared" si="36"/>
        <v>0</v>
      </c>
      <c r="KQ37" s="131" t="str">
        <f t="shared" si="37"/>
        <v>No Forcast Date</v>
      </c>
      <c r="KR37" s="61" t="str">
        <f t="shared" si="38"/>
        <v xml:space="preserve">0  Not Gated  UTS  EED  No Forcast Date  </v>
      </c>
      <c r="KS37" s="61">
        <f t="shared" si="39"/>
        <v>0</v>
      </c>
      <c r="KT37" s="61" t="str">
        <f t="shared" si="40"/>
        <v/>
      </c>
      <c r="KU37" s="61" t="str">
        <f t="shared" si="41"/>
        <v>Lattice Mast</v>
      </c>
      <c r="KV37" s="61">
        <f t="shared" si="42"/>
        <v>15</v>
      </c>
      <c r="KW37" s="61" t="str">
        <f t="shared" si="43"/>
        <v>Lattice</v>
      </c>
      <c r="KX37" s="61">
        <f t="shared" si="44"/>
        <v>20</v>
      </c>
      <c r="KY37" s="60"/>
      <c r="KZ37" s="60"/>
      <c r="LA37" s="62"/>
      <c r="LB37" s="61"/>
      <c r="LC37" s="62"/>
      <c r="LD37" s="61"/>
      <c r="LE37" s="68" t="str">
        <f t="shared" si="45"/>
        <v>-</v>
      </c>
      <c r="LF37" s="150" t="str">
        <f t="shared" si="46"/>
        <v>-</v>
      </c>
      <c r="LG37" s="60"/>
      <c r="LH37" s="60"/>
      <c r="LI37" s="68">
        <f t="shared" si="47"/>
        <v>55</v>
      </c>
      <c r="LJ37" s="150">
        <f t="shared" si="48"/>
        <v>1.8333333333333333</v>
      </c>
      <c r="LK37" s="60"/>
      <c r="LL37" s="68">
        <f t="shared" si="49"/>
        <v>86</v>
      </c>
      <c r="LM37" s="150">
        <f t="shared" si="50"/>
        <v>2.8666666666666667</v>
      </c>
      <c r="LN37" s="60"/>
      <c r="LO37" s="98" t="str">
        <f t="shared" si="51"/>
        <v>-</v>
      </c>
      <c r="LP37" s="68" t="str">
        <f t="shared" si="52"/>
        <v>-</v>
      </c>
      <c r="LQ37" s="150" t="str">
        <f t="shared" si="53"/>
        <v>-</v>
      </c>
      <c r="LR37" s="60"/>
      <c r="LS37" s="98" t="str">
        <f t="shared" si="54"/>
        <v>-</v>
      </c>
      <c r="LT37" s="60"/>
      <c r="LU37" s="60"/>
      <c r="LV37" s="60"/>
      <c r="LW37" s="60"/>
      <c r="LX37" s="60"/>
      <c r="LY37" s="60"/>
      <c r="LZ37" s="60"/>
      <c r="MA37" s="60"/>
      <c r="MB37" s="60"/>
      <c r="MC37" s="60"/>
      <c r="MD37" s="60"/>
      <c r="ME37" s="60"/>
      <c r="MF37" s="60"/>
      <c r="MG37" s="60"/>
      <c r="MH37" s="60"/>
      <c r="MI37" s="60"/>
      <c r="MJ37" s="60"/>
      <c r="MK37" s="60"/>
      <c r="ML37" s="60"/>
      <c r="MM37" s="60"/>
      <c r="MN37" s="60"/>
      <c r="MO37" s="60"/>
    </row>
    <row r="38" spans="2:353" ht="21" customHeight="1" x14ac:dyDescent="0.25">
      <c r="B38" s="84" t="s">
        <v>640</v>
      </c>
      <c r="C38" s="58" t="s">
        <v>633</v>
      </c>
      <c r="D38" s="159" t="s">
        <v>442</v>
      </c>
      <c r="E38" s="159" t="s">
        <v>253</v>
      </c>
      <c r="F38" s="159" t="s">
        <v>473</v>
      </c>
      <c r="G38" s="159"/>
      <c r="H38" s="59"/>
      <c r="I38" s="159" t="s">
        <v>636</v>
      </c>
      <c r="J38" s="159" t="s">
        <v>636</v>
      </c>
      <c r="K38" s="159" t="s">
        <v>636</v>
      </c>
      <c r="L38" s="159" t="s">
        <v>637</v>
      </c>
      <c r="M38" s="159" t="s">
        <v>254</v>
      </c>
      <c r="N38" s="159">
        <v>15</v>
      </c>
      <c r="O38" s="159" t="s">
        <v>240</v>
      </c>
      <c r="P38" s="159">
        <v>24</v>
      </c>
      <c r="Q38" s="159"/>
      <c r="R38" s="160"/>
      <c r="S38" s="159"/>
      <c r="T38" s="159"/>
      <c r="U38" s="61" t="s">
        <v>315</v>
      </c>
      <c r="V38" s="61">
        <v>3</v>
      </c>
      <c r="W38" s="65">
        <f>AR38-60</f>
        <v>45607</v>
      </c>
      <c r="X38" s="72">
        <v>45553</v>
      </c>
      <c r="Y38" s="61" t="s">
        <v>305</v>
      </c>
      <c r="Z38" s="61" t="s">
        <v>352</v>
      </c>
      <c r="AA38" s="61"/>
      <c r="AB38" s="72">
        <v>45553</v>
      </c>
      <c r="AC38" s="72">
        <v>45572</v>
      </c>
      <c r="AD38" s="72" t="s">
        <v>257</v>
      </c>
      <c r="AE38" s="63">
        <v>1</v>
      </c>
      <c r="AF38" s="72">
        <v>45600</v>
      </c>
      <c r="AG38" s="72">
        <v>45468</v>
      </c>
      <c r="AH38" s="72">
        <v>45498</v>
      </c>
      <c r="AI38" s="61" t="s">
        <v>257</v>
      </c>
      <c r="AJ38" s="61" t="s">
        <v>245</v>
      </c>
      <c r="AK38" s="72">
        <v>45642</v>
      </c>
      <c r="AL38" s="62"/>
      <c r="AM38" s="62"/>
      <c r="AN38" s="64"/>
      <c r="AO38" s="61" t="s">
        <v>246</v>
      </c>
      <c r="AP38" s="61"/>
      <c r="AQ38" s="61" t="s">
        <v>248</v>
      </c>
      <c r="AR38" s="65">
        <v>45667</v>
      </c>
      <c r="AS38" s="62"/>
      <c r="AT38" s="62"/>
      <c r="AU38" s="61"/>
      <c r="AV38" s="61"/>
      <c r="AW38" s="61"/>
      <c r="AX38" s="62"/>
      <c r="AY38" s="62"/>
      <c r="AZ38" s="62"/>
      <c r="BA38" s="61"/>
      <c r="BB38" s="61"/>
      <c r="BC38" s="61"/>
      <c r="BD38" s="65">
        <f>AR38+60</f>
        <v>45727</v>
      </c>
      <c r="BE38" s="62"/>
      <c r="BF38" s="62"/>
      <c r="BG38" s="61"/>
      <c r="BH38" s="65">
        <f>BD38+35</f>
        <v>45762</v>
      </c>
      <c r="BI38" s="62"/>
      <c r="BJ38" s="62"/>
      <c r="BK38" s="63">
        <v>2026</v>
      </c>
      <c r="BL38" s="62"/>
      <c r="BM38" s="62"/>
      <c r="BN38" s="62"/>
      <c r="BO38" s="61"/>
      <c r="BP38" s="65">
        <f>BH38+360</f>
        <v>46122</v>
      </c>
      <c r="BQ38" s="67" t="s">
        <v>292</v>
      </c>
      <c r="BR38" s="62"/>
      <c r="BS38" s="61"/>
      <c r="BT38" s="65">
        <f>BP38</f>
        <v>46122</v>
      </c>
      <c r="BU38" s="65" t="s">
        <v>292</v>
      </c>
      <c r="BV38" s="65"/>
      <c r="BW38" s="147"/>
      <c r="BX38" s="65">
        <f t="shared" si="28"/>
        <v>0</v>
      </c>
      <c r="BY38" s="61"/>
      <c r="BZ38" s="61" t="s">
        <v>342</v>
      </c>
      <c r="CA38" s="61"/>
      <c r="CB38" s="62"/>
      <c r="CC38" s="61"/>
      <c r="CD38" s="121" t="s">
        <v>537</v>
      </c>
      <c r="CE38" s="122" t="s">
        <v>314</v>
      </c>
      <c r="CF38" s="61"/>
      <c r="CG38" s="61"/>
      <c r="CH38" s="61"/>
      <c r="CI38" s="62"/>
      <c r="CJ38" s="62"/>
      <c r="CK38" s="61"/>
      <c r="CL38" s="69"/>
      <c r="CM38" s="61"/>
      <c r="CN38" s="61"/>
      <c r="CO38" s="61"/>
      <c r="CP38" s="61"/>
      <c r="CQ38" s="64"/>
      <c r="CR38" s="60"/>
      <c r="CS38" s="70"/>
      <c r="CT38" s="61"/>
      <c r="CU38" s="61"/>
      <c r="CV38" s="61"/>
      <c r="CW38" s="61"/>
      <c r="CX38" s="61"/>
      <c r="CY38" s="61"/>
      <c r="CZ38" s="61"/>
      <c r="DA38" s="61"/>
      <c r="DB38" s="61"/>
      <c r="DC38" s="61"/>
      <c r="DD38" s="61"/>
      <c r="DE38" s="61"/>
      <c r="DF38" s="61"/>
      <c r="DG38" s="64"/>
      <c r="DH38" s="60"/>
      <c r="DI38" s="62"/>
      <c r="DJ38" s="62"/>
      <c r="DK38" s="62"/>
      <c r="DL38" s="62"/>
      <c r="DM38" s="62"/>
      <c r="DN38" s="62"/>
      <c r="DO38" s="62"/>
      <c r="DP38" s="62"/>
      <c r="DQ38" s="62"/>
      <c r="DR38" s="62"/>
      <c r="DS38" s="62"/>
      <c r="DT38" s="62"/>
      <c r="DU38" s="62"/>
      <c r="DV38" s="62"/>
      <c r="DW38" s="62"/>
      <c r="DX38" s="62"/>
      <c r="DY38" s="62"/>
      <c r="DZ38" s="62"/>
      <c r="EA38" s="62"/>
      <c r="EB38" s="62"/>
      <c r="EC38" s="62"/>
      <c r="ED38" s="62"/>
      <c r="EE38" s="62"/>
      <c r="EF38" s="62"/>
      <c r="EG38" s="62"/>
      <c r="EH38" s="60"/>
      <c r="EI38" s="62"/>
      <c r="EJ38" s="62"/>
      <c r="EK38" s="61"/>
      <c r="EL38" s="70"/>
      <c r="EM38" s="71"/>
      <c r="EN38" s="133">
        <f t="shared" si="55"/>
        <v>4</v>
      </c>
      <c r="EO38" s="61">
        <f t="shared" si="56"/>
        <v>0</v>
      </c>
      <c r="EP38" s="62"/>
      <c r="EQ38" s="62"/>
      <c r="ER38" s="73"/>
      <c r="ES38" s="62"/>
      <c r="ET38" s="62"/>
      <c r="EU38" s="62"/>
      <c r="EV38" s="62"/>
      <c r="EW38" s="62"/>
      <c r="EX38" s="62"/>
      <c r="EY38" s="61">
        <f t="shared" si="57"/>
        <v>4</v>
      </c>
      <c r="EZ38" s="117">
        <v>46388</v>
      </c>
      <c r="FA38" s="62">
        <v>46023</v>
      </c>
      <c r="FB38" s="73"/>
      <c r="FC38" s="62">
        <v>46753</v>
      </c>
      <c r="FD38" s="62">
        <v>47849</v>
      </c>
      <c r="FE38" s="61"/>
      <c r="FF38" s="68" t="str">
        <f t="shared" si="58"/>
        <v>No FP / No Demand</v>
      </c>
      <c r="FG38" s="76">
        <f t="shared" si="64"/>
        <v>46023</v>
      </c>
      <c r="FH38" s="65">
        <f t="shared" si="60"/>
        <v>46122</v>
      </c>
      <c r="FI38" s="76"/>
      <c r="FJ38" s="62"/>
      <c r="FK38" s="62"/>
      <c r="FL38" s="61"/>
      <c r="FM38" s="61"/>
      <c r="FN38" s="61"/>
      <c r="FO38" s="60"/>
      <c r="FP38" s="64"/>
      <c r="FQ38" s="64"/>
      <c r="FR38" s="61"/>
      <c r="FS38" s="61"/>
      <c r="FT38" s="61"/>
      <c r="FU38" s="61"/>
      <c r="FV38" s="60"/>
      <c r="FW38" s="61"/>
      <c r="FX38" s="61"/>
      <c r="FY38" s="61"/>
      <c r="FZ38" s="61"/>
      <c r="GA38" s="61"/>
      <c r="GB38" s="61"/>
      <c r="GC38" s="61"/>
      <c r="GD38" s="61"/>
      <c r="GE38" s="61"/>
      <c r="GF38" s="61"/>
      <c r="GG38" s="61"/>
      <c r="GH38" s="61"/>
      <c r="GI38" s="60"/>
      <c r="GJ38" s="62"/>
      <c r="GK38" s="62"/>
      <c r="GL38" s="62"/>
      <c r="GM38" s="62"/>
      <c r="GN38" s="63"/>
      <c r="GO38" s="63"/>
      <c r="GP38" s="62"/>
      <c r="GQ38" s="62"/>
      <c r="GR38" s="62"/>
      <c r="GS38" s="62"/>
      <c r="GT38" s="62"/>
      <c r="GU38" s="62"/>
      <c r="GV38" s="78"/>
      <c r="GW38" s="62"/>
      <c r="GX38" s="62"/>
      <c r="GY38" s="62"/>
      <c r="GZ38" s="62"/>
      <c r="HA38" s="65"/>
      <c r="HB38" s="62"/>
      <c r="HC38" s="62"/>
      <c r="HD38" s="62"/>
      <c r="HE38" s="65"/>
      <c r="HF38" s="62"/>
      <c r="HG38" s="65">
        <f>FJ38+10</f>
        <v>10</v>
      </c>
      <c r="HH38" s="62"/>
      <c r="HI38" s="61"/>
      <c r="HJ38" s="62"/>
      <c r="HK38" s="62"/>
      <c r="HL38" s="62"/>
      <c r="HM38" s="65">
        <f>IF(GW38="Yes",HE38,HG38+50)</f>
        <v>60</v>
      </c>
      <c r="HN38" s="63"/>
      <c r="HO38" s="62"/>
      <c r="HP38" s="78"/>
      <c r="HQ38" s="60"/>
      <c r="HR38" s="63"/>
      <c r="HS38" s="62"/>
      <c r="HT38" s="63"/>
      <c r="HU38" s="62"/>
      <c r="HV38" s="62"/>
      <c r="HW38" s="62"/>
      <c r="HX38" s="79"/>
      <c r="HY38" s="62"/>
      <c r="HZ38" s="79"/>
      <c r="IA38" s="60"/>
      <c r="IB38" s="65">
        <f t="shared" si="65"/>
        <v>70</v>
      </c>
      <c r="IC38" s="62"/>
      <c r="ID38" s="61"/>
      <c r="IE38" s="61"/>
      <c r="IF38" s="61"/>
      <c r="IG38" s="61"/>
      <c r="IH38" s="61"/>
      <c r="II38" s="61"/>
      <c r="IJ38" s="61"/>
      <c r="IK38" s="61"/>
      <c r="IL38" s="62"/>
      <c r="IM38" s="62"/>
      <c r="IN38" s="62" t="str">
        <f t="shared" si="61"/>
        <v>-</v>
      </c>
      <c r="IO38" s="60"/>
      <c r="IP38" s="65">
        <f t="shared" si="66"/>
        <v>100</v>
      </c>
      <c r="IQ38" s="62">
        <f t="shared" si="67"/>
        <v>0</v>
      </c>
      <c r="IR38" s="62"/>
      <c r="IS38" s="62"/>
      <c r="IT38" s="62"/>
      <c r="IU38" s="62"/>
      <c r="IV38" s="62"/>
      <c r="IW38" s="62"/>
      <c r="IX38" s="62"/>
      <c r="IY38" s="62"/>
      <c r="IZ38" s="62"/>
      <c r="JA38" s="62"/>
      <c r="JB38" s="62"/>
      <c r="JC38" s="62"/>
      <c r="JD38" s="62"/>
      <c r="JE38" s="62"/>
      <c r="JF38" s="62"/>
      <c r="JG38" s="62"/>
      <c r="JH38" s="65">
        <f>IP38+60</f>
        <v>160</v>
      </c>
      <c r="JI38" s="67" t="str">
        <f t="shared" si="63"/>
        <v>Q2-1900</v>
      </c>
      <c r="JJ38" s="62"/>
      <c r="JK38" s="60"/>
      <c r="JL38" s="61"/>
      <c r="JM38" s="64"/>
      <c r="JN38" s="62"/>
      <c r="JO38" s="62"/>
      <c r="JP38" s="78"/>
      <c r="JQ38" s="61"/>
      <c r="JR38" s="60"/>
      <c r="JS38" s="62"/>
      <c r="JT38" s="62"/>
      <c r="JU38" s="62"/>
      <c r="JV38" s="62"/>
      <c r="JW38" s="62"/>
      <c r="JX38" s="62"/>
      <c r="JY38" s="60"/>
      <c r="JZ38" s="61"/>
      <c r="KA38" s="61"/>
      <c r="KB38" s="61"/>
      <c r="KC38" s="61"/>
      <c r="KD38" s="61"/>
      <c r="KE38" s="61"/>
      <c r="KF38" s="60"/>
      <c r="KG38" s="86"/>
      <c r="KH38" s="60"/>
      <c r="KI38" s="81" t="str">
        <f t="shared" si="29"/>
        <v/>
      </c>
      <c r="KJ38" s="61" t="str">
        <f t="shared" si="30"/>
        <v>Not Gated</v>
      </c>
      <c r="KK38" s="61" t="str">
        <f t="shared" si="31"/>
        <v/>
      </c>
      <c r="KL38" s="62" t="str">
        <f t="shared" si="32"/>
        <v/>
      </c>
      <c r="KM38" s="62" t="str">
        <f t="shared" si="33"/>
        <v/>
      </c>
      <c r="KN38" s="61" t="str">
        <f t="shared" si="34"/>
        <v>Monopole</v>
      </c>
      <c r="KO38" s="61" t="str">
        <f t="shared" si="35"/>
        <v>EED</v>
      </c>
      <c r="KP38" s="131">
        <f t="shared" si="36"/>
        <v>0</v>
      </c>
      <c r="KQ38" s="131" t="str">
        <f t="shared" si="37"/>
        <v>No Forcast Date</v>
      </c>
      <c r="KR38" s="61" t="str">
        <f t="shared" si="38"/>
        <v xml:space="preserve">0  Not Gated  UTS  EED  No Forcast Date  </v>
      </c>
      <c r="KS38" s="61">
        <f t="shared" si="39"/>
        <v>0</v>
      </c>
      <c r="KT38" s="61" t="str">
        <f t="shared" si="40"/>
        <v/>
      </c>
      <c r="KU38" s="61" t="str">
        <f t="shared" si="41"/>
        <v>Lattice Mast</v>
      </c>
      <c r="KV38" s="61">
        <f t="shared" si="42"/>
        <v>15</v>
      </c>
      <c r="KW38" s="61" t="str">
        <f t="shared" si="43"/>
        <v>Monopole</v>
      </c>
      <c r="KX38" s="61">
        <f t="shared" si="44"/>
        <v>24</v>
      </c>
      <c r="KY38" s="60"/>
      <c r="KZ38" s="60"/>
      <c r="LA38" s="62"/>
      <c r="LB38" s="61"/>
      <c r="LC38" s="62"/>
      <c r="LD38" s="61"/>
      <c r="LE38" s="68" t="str">
        <f t="shared" si="45"/>
        <v>-</v>
      </c>
      <c r="LF38" s="150" t="str">
        <f t="shared" si="46"/>
        <v>-</v>
      </c>
      <c r="LG38" s="60"/>
      <c r="LH38" s="60"/>
      <c r="LI38" s="68" t="str">
        <f t="shared" si="47"/>
        <v>-</v>
      </c>
      <c r="LJ38" s="150" t="str">
        <f t="shared" si="48"/>
        <v>-</v>
      </c>
      <c r="LK38" s="60"/>
      <c r="LL38" s="68" t="str">
        <f t="shared" si="49"/>
        <v>-</v>
      </c>
      <c r="LM38" s="150" t="str">
        <f t="shared" si="50"/>
        <v>-</v>
      </c>
      <c r="LN38" s="60"/>
      <c r="LO38" s="98" t="str">
        <f t="shared" si="51"/>
        <v>-</v>
      </c>
      <c r="LP38" s="68" t="str">
        <f t="shared" si="52"/>
        <v>-</v>
      </c>
      <c r="LQ38" s="150" t="str">
        <f t="shared" si="53"/>
        <v>-</v>
      </c>
      <c r="LR38" s="60"/>
      <c r="LS38" s="98" t="str">
        <f t="shared" si="54"/>
        <v>-</v>
      </c>
      <c r="LT38" s="60"/>
      <c r="LU38" s="60"/>
      <c r="LV38" s="60"/>
      <c r="LW38" s="60"/>
      <c r="LX38" s="60"/>
      <c r="LY38" s="60"/>
      <c r="LZ38" s="60"/>
      <c r="MA38" s="60"/>
      <c r="MB38" s="60"/>
      <c r="MC38" s="60"/>
      <c r="MD38" s="60"/>
      <c r="ME38" s="60"/>
      <c r="MF38" s="60"/>
      <c r="MG38" s="60"/>
      <c r="MH38" s="60"/>
      <c r="MI38" s="60"/>
      <c r="MJ38" s="60"/>
      <c r="MK38" s="60"/>
      <c r="ML38" s="60"/>
      <c r="MM38" s="60"/>
      <c r="MN38" s="60"/>
      <c r="MO38" s="60"/>
    </row>
    <row r="39" spans="2:353" ht="21" customHeight="1" x14ac:dyDescent="0.25">
      <c r="B39" s="58" t="s">
        <v>641</v>
      </c>
      <c r="C39" s="58" t="s">
        <v>633</v>
      </c>
      <c r="D39" s="159" t="s">
        <v>369</v>
      </c>
      <c r="E39" s="159" t="s">
        <v>253</v>
      </c>
      <c r="F39" s="159" t="s">
        <v>608</v>
      </c>
      <c r="G39" s="159"/>
      <c r="H39" s="68"/>
      <c r="I39" s="159" t="s">
        <v>636</v>
      </c>
      <c r="J39" s="159" t="s">
        <v>636</v>
      </c>
      <c r="K39" s="159" t="s">
        <v>636</v>
      </c>
      <c r="L39" s="159" t="s">
        <v>637</v>
      </c>
      <c r="M39" s="159" t="s">
        <v>370</v>
      </c>
      <c r="N39" s="159">
        <v>3.5</v>
      </c>
      <c r="O39" s="159" t="s">
        <v>255</v>
      </c>
      <c r="P39" s="159">
        <v>20</v>
      </c>
      <c r="Q39" s="159"/>
      <c r="R39" s="160"/>
      <c r="S39" s="159"/>
      <c r="T39" s="159"/>
      <c r="U39" s="61" t="s">
        <v>371</v>
      </c>
      <c r="V39" s="61">
        <v>1</v>
      </c>
      <c r="W39" s="65"/>
      <c r="X39" s="72">
        <v>43892</v>
      </c>
      <c r="Y39" s="61" t="s">
        <v>305</v>
      </c>
      <c r="Z39" s="61" t="s">
        <v>242</v>
      </c>
      <c r="AA39" s="61">
        <v>2500</v>
      </c>
      <c r="AB39" s="72"/>
      <c r="AC39" s="72">
        <v>44159</v>
      </c>
      <c r="AD39" s="72"/>
      <c r="AE39" s="62"/>
      <c r="AF39" s="72">
        <v>44272</v>
      </c>
      <c r="AG39" s="61"/>
      <c r="AH39" s="61"/>
      <c r="AI39" s="61" t="s">
        <v>257</v>
      </c>
      <c r="AJ39" s="61" t="s">
        <v>247</v>
      </c>
      <c r="AK39" s="62"/>
      <c r="AL39" s="61"/>
      <c r="AM39" s="61"/>
      <c r="AN39" s="61"/>
      <c r="AO39" s="61" t="s">
        <v>296</v>
      </c>
      <c r="AP39" s="61" t="s">
        <v>247</v>
      </c>
      <c r="AQ39" s="61" t="s">
        <v>248</v>
      </c>
      <c r="AR39" s="65">
        <v>44286</v>
      </c>
      <c r="AS39" s="72">
        <v>44286</v>
      </c>
      <c r="AT39" s="72">
        <v>44294</v>
      </c>
      <c r="AU39" s="61">
        <v>2195</v>
      </c>
      <c r="AV39" s="61"/>
      <c r="AW39" s="61"/>
      <c r="AX39" s="72">
        <v>44342</v>
      </c>
      <c r="AY39" s="62">
        <v>44525</v>
      </c>
      <c r="AZ39" s="72">
        <v>44525</v>
      </c>
      <c r="BA39" s="61"/>
      <c r="BB39" s="61"/>
      <c r="BC39" s="61"/>
      <c r="BD39" s="65">
        <v>44560</v>
      </c>
      <c r="BE39" s="72">
        <v>44546</v>
      </c>
      <c r="BF39" s="62" t="s">
        <v>363</v>
      </c>
      <c r="BG39" s="61"/>
      <c r="BH39" s="65">
        <v>44595</v>
      </c>
      <c r="BI39" s="62"/>
      <c r="BJ39" s="62" t="s">
        <v>344</v>
      </c>
      <c r="BK39" s="61">
        <v>2023</v>
      </c>
      <c r="BL39" s="62">
        <v>44573</v>
      </c>
      <c r="BM39" s="72">
        <v>44215</v>
      </c>
      <c r="BN39" s="62"/>
      <c r="BO39" s="61">
        <v>312528</v>
      </c>
      <c r="BP39" s="65">
        <v>44705</v>
      </c>
      <c r="BQ39" s="67"/>
      <c r="BR39" s="72">
        <v>45005</v>
      </c>
      <c r="BS39" s="61" t="s">
        <v>307</v>
      </c>
      <c r="BT39" s="65">
        <v>45005</v>
      </c>
      <c r="BU39" s="65" t="s">
        <v>292</v>
      </c>
      <c r="BV39" s="65">
        <v>45005</v>
      </c>
      <c r="BW39" s="147" t="s">
        <v>307</v>
      </c>
      <c r="BX39" s="65">
        <f t="shared" si="28"/>
        <v>0</v>
      </c>
      <c r="BY39" s="61" t="s">
        <v>363</v>
      </c>
      <c r="BZ39" s="61" t="s">
        <v>395</v>
      </c>
      <c r="CA39" s="61"/>
      <c r="CB39" s="61"/>
      <c r="CC39" s="62"/>
      <c r="CD39" s="68" t="s">
        <v>575</v>
      </c>
      <c r="CE39" s="60" t="s">
        <v>384</v>
      </c>
      <c r="CF39" s="61"/>
      <c r="CG39" s="61"/>
      <c r="CH39" s="61"/>
      <c r="CI39" s="62"/>
      <c r="CJ39" s="62"/>
      <c r="CK39" s="61"/>
      <c r="CL39" s="69"/>
      <c r="CM39" s="61"/>
      <c r="CN39" s="61" t="s">
        <v>396</v>
      </c>
      <c r="CO39" s="61"/>
      <c r="CP39" s="61"/>
      <c r="CQ39" s="64"/>
      <c r="CR39" s="60"/>
      <c r="CS39" s="70"/>
      <c r="CT39" s="61"/>
      <c r="CU39" s="61"/>
      <c r="CV39" s="61"/>
      <c r="CW39" s="61"/>
      <c r="CX39" s="61"/>
      <c r="CY39" s="61"/>
      <c r="CZ39" s="61"/>
      <c r="DA39" s="61"/>
      <c r="DB39" s="61"/>
      <c r="DC39" s="61"/>
      <c r="DD39" s="61"/>
      <c r="DE39" s="61"/>
      <c r="DF39" s="61"/>
      <c r="DG39" s="61"/>
      <c r="DH39" s="60"/>
      <c r="DI39" s="61"/>
      <c r="DJ39" s="61"/>
      <c r="DK39" s="61"/>
      <c r="DL39" s="61"/>
      <c r="DM39" s="62"/>
      <c r="DN39" s="62"/>
      <c r="DO39" s="61"/>
      <c r="DP39" s="61"/>
      <c r="DQ39" s="61"/>
      <c r="DR39" s="61"/>
      <c r="DS39" s="61"/>
      <c r="DT39" s="61"/>
      <c r="DU39" s="61"/>
      <c r="DV39" s="61"/>
      <c r="DW39" s="61"/>
      <c r="DX39" s="61"/>
      <c r="DY39" s="61"/>
      <c r="DZ39" s="61"/>
      <c r="EA39" s="61"/>
      <c r="EB39" s="61"/>
      <c r="EC39" s="61"/>
      <c r="ED39" s="61"/>
      <c r="EE39" s="61"/>
      <c r="EF39" s="61"/>
      <c r="EG39" s="61"/>
      <c r="EH39" s="60"/>
      <c r="EI39" s="62"/>
      <c r="EJ39" s="62"/>
      <c r="EK39" s="61"/>
      <c r="EL39" s="84"/>
      <c r="EM39" s="60"/>
      <c r="EN39" s="84"/>
      <c r="EO39" s="84"/>
      <c r="EP39" s="84"/>
      <c r="EQ39" s="84"/>
      <c r="ER39" s="84"/>
      <c r="ES39" s="84"/>
      <c r="ET39" s="84"/>
      <c r="EU39" s="84"/>
      <c r="EV39" s="84"/>
      <c r="EW39" s="84"/>
      <c r="EX39" s="84"/>
      <c r="EY39" s="84"/>
      <c r="EZ39" s="84"/>
      <c r="FA39" s="84"/>
      <c r="FB39" s="84"/>
      <c r="FC39" s="84"/>
      <c r="FD39" s="84"/>
      <c r="FE39" s="84"/>
      <c r="FF39" s="60"/>
      <c r="FG39" s="81">
        <v>46388</v>
      </c>
      <c r="FH39" s="84"/>
      <c r="FI39" s="81"/>
      <c r="FJ39" s="127">
        <v>46266</v>
      </c>
      <c r="FK39" s="127">
        <f>FJ39+7</f>
        <v>46273</v>
      </c>
      <c r="FL39" s="84"/>
      <c r="FM39" s="84"/>
      <c r="FN39" s="84"/>
      <c r="FO39" s="60"/>
      <c r="FP39" s="84"/>
      <c r="FQ39" s="84"/>
      <c r="FR39" s="84"/>
      <c r="FS39" s="84"/>
      <c r="FT39" s="84"/>
      <c r="FU39" s="84"/>
      <c r="FV39" s="60"/>
      <c r="FW39" s="84"/>
      <c r="FX39" s="84"/>
      <c r="FY39" s="84"/>
      <c r="FZ39" s="84"/>
      <c r="GA39" s="84"/>
      <c r="GB39" s="84"/>
      <c r="GC39" s="84"/>
      <c r="GD39" s="84"/>
      <c r="GE39" s="84"/>
      <c r="GF39" s="84"/>
      <c r="GG39" s="84"/>
      <c r="GH39" s="84"/>
      <c r="GI39" s="60"/>
      <c r="GJ39" s="84"/>
      <c r="GK39" s="84"/>
      <c r="GL39" s="84"/>
      <c r="GM39" s="84"/>
      <c r="GN39" s="84"/>
      <c r="GO39" s="84"/>
      <c r="GP39" s="84"/>
      <c r="GQ39" s="84"/>
      <c r="GR39" s="84"/>
      <c r="GS39" s="84"/>
      <c r="GT39" s="84"/>
      <c r="GU39" s="84"/>
      <c r="GV39" s="84"/>
      <c r="GW39" s="84"/>
      <c r="GX39" s="84"/>
      <c r="GY39" s="84"/>
      <c r="GZ39" s="84"/>
      <c r="HA39" s="84"/>
      <c r="HB39" s="84"/>
      <c r="HC39" s="84"/>
      <c r="HD39" s="84"/>
      <c r="HE39" s="84"/>
      <c r="HF39" s="84"/>
      <c r="HG39" s="84"/>
      <c r="HH39" s="84"/>
      <c r="HI39" s="84"/>
      <c r="HJ39" s="84"/>
      <c r="HK39" s="84"/>
      <c r="HL39" s="84"/>
      <c r="HM39" s="84"/>
      <c r="HN39" s="84"/>
      <c r="HO39" s="84"/>
      <c r="HP39" s="84"/>
      <c r="HQ39" s="60"/>
      <c r="HR39" s="84"/>
      <c r="HS39" s="84"/>
      <c r="HT39" s="84"/>
      <c r="HU39" s="84"/>
      <c r="HV39" s="84"/>
      <c r="HW39" s="84"/>
      <c r="HX39" s="84"/>
      <c r="HY39" s="84"/>
      <c r="HZ39" s="84"/>
      <c r="IA39" s="60"/>
      <c r="IB39" s="84"/>
      <c r="IC39" s="84"/>
      <c r="ID39" s="84"/>
      <c r="IE39" s="84"/>
      <c r="IF39" s="84"/>
      <c r="IG39" s="84"/>
      <c r="IH39" s="84"/>
      <c r="II39" s="84"/>
      <c r="IJ39" s="84"/>
      <c r="IK39" s="84"/>
      <c r="IL39" s="84"/>
      <c r="IM39" s="84"/>
      <c r="IN39" s="84"/>
      <c r="IO39" s="60"/>
      <c r="IP39" s="84"/>
      <c r="IQ39" s="84"/>
      <c r="IR39" s="84"/>
      <c r="IS39" s="84"/>
      <c r="IT39" s="84"/>
      <c r="IU39" s="84"/>
      <c r="IV39" s="84"/>
      <c r="IW39" s="84"/>
      <c r="IX39" s="84"/>
      <c r="IY39" s="84"/>
      <c r="IZ39" s="84"/>
      <c r="JA39" s="84"/>
      <c r="JB39" s="84"/>
      <c r="JC39" s="84"/>
      <c r="JD39" s="84"/>
      <c r="JE39" s="84"/>
      <c r="JF39" s="84"/>
      <c r="JG39" s="84"/>
      <c r="JH39" s="84">
        <f>FK39+180</f>
        <v>46453</v>
      </c>
      <c r="JI39" s="84"/>
      <c r="JJ39" s="84"/>
      <c r="JK39" s="60"/>
      <c r="JL39" s="84"/>
      <c r="JM39" s="84"/>
      <c r="JN39" s="84"/>
      <c r="JO39" s="84"/>
      <c r="JP39" s="84"/>
      <c r="JQ39" s="84"/>
      <c r="JR39" s="60"/>
      <c r="JS39" s="84"/>
      <c r="JT39" s="84"/>
      <c r="JU39" s="84"/>
      <c r="JV39" s="84"/>
      <c r="JW39" s="84"/>
      <c r="JX39" s="84"/>
      <c r="JY39" s="60"/>
      <c r="JZ39" s="84"/>
      <c r="KA39" s="84"/>
      <c r="KB39" s="84"/>
      <c r="KC39" s="84"/>
      <c r="KD39" s="84"/>
      <c r="KE39" s="84"/>
      <c r="KF39" s="60"/>
      <c r="KG39" s="84"/>
      <c r="KH39" s="60"/>
      <c r="KI39" s="81" t="str">
        <f t="shared" si="29"/>
        <v>TKKxxxx</v>
      </c>
      <c r="KJ39" s="61" t="str">
        <f t="shared" si="30"/>
        <v>Live</v>
      </c>
      <c r="KK39" s="61" t="str">
        <f t="shared" si="31"/>
        <v>TKKxxxx</v>
      </c>
      <c r="KL39" s="62">
        <f t="shared" si="32"/>
        <v>46453</v>
      </c>
      <c r="KM39" s="62" t="str">
        <f t="shared" si="33"/>
        <v/>
      </c>
      <c r="KN39" s="61" t="str">
        <f t="shared" si="34"/>
        <v>Lattice</v>
      </c>
      <c r="KO39" s="61" t="str">
        <f t="shared" si="35"/>
        <v>EED</v>
      </c>
      <c r="KP39" s="131">
        <f t="shared" si="36"/>
        <v>0</v>
      </c>
      <c r="KQ39" s="131">
        <f t="shared" si="37"/>
        <v>0</v>
      </c>
      <c r="KR39" s="61" t="str">
        <f t="shared" si="38"/>
        <v xml:space="preserve">0  Live  UTS  EED  0  </v>
      </c>
      <c r="KS39" s="61">
        <f t="shared" si="39"/>
        <v>0</v>
      </c>
      <c r="KT39" s="61" t="str">
        <f t="shared" si="40"/>
        <v>Site name</v>
      </c>
      <c r="KU39" s="61" t="str">
        <f t="shared" si="41"/>
        <v>Rooftop Guy Pole</v>
      </c>
      <c r="KV39" s="61">
        <f t="shared" si="42"/>
        <v>3.5</v>
      </c>
      <c r="KW39" s="61" t="str">
        <f t="shared" si="43"/>
        <v>Lattice</v>
      </c>
      <c r="KX39" s="61">
        <f t="shared" si="44"/>
        <v>20</v>
      </c>
      <c r="KY39" s="60"/>
      <c r="KZ39" s="60"/>
      <c r="LA39" s="62"/>
      <c r="LB39" s="61"/>
      <c r="LC39" s="62"/>
      <c r="LD39" s="61"/>
      <c r="LE39" s="68" t="str">
        <f t="shared" si="45"/>
        <v>-</v>
      </c>
      <c r="LF39" s="150" t="str">
        <f t="shared" si="46"/>
        <v>-</v>
      </c>
      <c r="LG39" s="60"/>
      <c r="LH39" s="60"/>
      <c r="LI39" s="68">
        <f t="shared" si="47"/>
        <v>260</v>
      </c>
      <c r="LJ39" s="150">
        <f t="shared" si="48"/>
        <v>8.6666666666666661</v>
      </c>
      <c r="LK39" s="60"/>
      <c r="LL39" s="68">
        <f t="shared" si="49"/>
        <v>719</v>
      </c>
      <c r="LM39" s="150">
        <f t="shared" si="50"/>
        <v>23.966666666666665</v>
      </c>
      <c r="LN39" s="60"/>
      <c r="LO39" s="98">
        <f t="shared" si="51"/>
        <v>44215</v>
      </c>
      <c r="LP39" s="68">
        <f t="shared" si="52"/>
        <v>790</v>
      </c>
      <c r="LQ39" s="150">
        <f t="shared" si="53"/>
        <v>26.333333333333332</v>
      </c>
      <c r="LR39" s="60"/>
      <c r="LS39" s="98">
        <f t="shared" si="54"/>
        <v>45005</v>
      </c>
      <c r="LT39" s="60"/>
      <c r="LU39" s="60"/>
      <c r="LV39" s="60"/>
      <c r="LW39" s="60"/>
      <c r="LX39" s="60"/>
      <c r="LY39" s="60"/>
      <c r="LZ39" s="60"/>
      <c r="MA39" s="60"/>
      <c r="MB39" s="60"/>
      <c r="MC39" s="60"/>
      <c r="MD39" s="60"/>
      <c r="ME39" s="60"/>
      <c r="MF39" s="60"/>
      <c r="MG39" s="60"/>
      <c r="MH39" s="60"/>
      <c r="MI39" s="60"/>
      <c r="MJ39" s="60"/>
      <c r="MK39" s="60"/>
      <c r="ML39" s="60"/>
      <c r="MM39" s="60"/>
      <c r="MN39" s="60"/>
      <c r="MO39" s="60"/>
    </row>
    <row r="40" spans="2:353" ht="21" customHeight="1" x14ac:dyDescent="0.25">
      <c r="B40" s="84" t="s">
        <v>642</v>
      </c>
      <c r="C40" s="58" t="s">
        <v>633</v>
      </c>
      <c r="D40" s="159" t="s">
        <v>325</v>
      </c>
      <c r="E40" s="159" t="s">
        <v>253</v>
      </c>
      <c r="F40" s="159" t="s">
        <v>489</v>
      </c>
      <c r="G40" s="159"/>
      <c r="H40" s="59"/>
      <c r="I40" s="159" t="s">
        <v>636</v>
      </c>
      <c r="J40" s="159" t="s">
        <v>636</v>
      </c>
      <c r="K40" s="159" t="s">
        <v>636</v>
      </c>
      <c r="L40" s="159" t="s">
        <v>637</v>
      </c>
      <c r="M40" s="159" t="s">
        <v>254</v>
      </c>
      <c r="N40" s="159">
        <v>12</v>
      </c>
      <c r="O40" s="159" t="s">
        <v>240</v>
      </c>
      <c r="P40" s="159">
        <v>15</v>
      </c>
      <c r="Q40" s="159"/>
      <c r="R40" s="160"/>
      <c r="S40" s="159"/>
      <c r="T40" s="159"/>
      <c r="U40" s="61" t="s">
        <v>326</v>
      </c>
      <c r="V40" s="61">
        <v>1</v>
      </c>
      <c r="W40" s="65"/>
      <c r="X40" s="72">
        <v>44518</v>
      </c>
      <c r="Y40" s="61" t="s">
        <v>305</v>
      </c>
      <c r="Z40" s="61" t="s">
        <v>316</v>
      </c>
      <c r="AA40" s="61" t="s">
        <v>243</v>
      </c>
      <c r="AB40" s="72">
        <v>44518</v>
      </c>
      <c r="AC40" s="72">
        <v>44523</v>
      </c>
      <c r="AD40" s="72" t="s">
        <v>257</v>
      </c>
      <c r="AE40" s="63"/>
      <c r="AF40" s="72">
        <v>44531</v>
      </c>
      <c r="AG40" s="62"/>
      <c r="AH40" s="72"/>
      <c r="AI40" s="61"/>
      <c r="AJ40" s="61"/>
      <c r="AK40" s="62"/>
      <c r="AL40" s="62"/>
      <c r="AM40" s="62"/>
      <c r="AN40" s="64"/>
      <c r="AO40" s="61" t="s">
        <v>246</v>
      </c>
      <c r="AP40" s="61" t="s">
        <v>247</v>
      </c>
      <c r="AQ40" s="61"/>
      <c r="AR40" s="65">
        <v>44543</v>
      </c>
      <c r="AS40" s="72">
        <v>44543</v>
      </c>
      <c r="AT40" s="72" t="s">
        <v>257</v>
      </c>
      <c r="AU40" s="61">
        <v>217341</v>
      </c>
      <c r="AV40" s="61" t="s">
        <v>269</v>
      </c>
      <c r="AW40" s="61" t="s">
        <v>243</v>
      </c>
      <c r="AX40" s="62">
        <v>44606</v>
      </c>
      <c r="AY40" s="62">
        <v>44908</v>
      </c>
      <c r="AZ40" s="72">
        <v>44855</v>
      </c>
      <c r="BA40" s="62" t="s">
        <v>243</v>
      </c>
      <c r="BB40" s="62" t="s">
        <v>243</v>
      </c>
      <c r="BC40" s="62" t="s">
        <v>243</v>
      </c>
      <c r="BD40" s="65">
        <v>44890</v>
      </c>
      <c r="BE40" s="72">
        <v>44886</v>
      </c>
      <c r="BF40" s="62" t="s">
        <v>272</v>
      </c>
      <c r="BG40" s="61">
        <v>0</v>
      </c>
      <c r="BH40" s="65">
        <v>44930</v>
      </c>
      <c r="BI40" s="72">
        <v>44930</v>
      </c>
      <c r="BJ40" s="87" t="s">
        <v>272</v>
      </c>
      <c r="BK40" s="61">
        <v>2023</v>
      </c>
      <c r="BL40" s="62">
        <v>44913</v>
      </c>
      <c r="BM40" s="62"/>
      <c r="BN40" s="62"/>
      <c r="BO40" s="61"/>
      <c r="BP40" s="65"/>
      <c r="BQ40" s="67"/>
      <c r="BR40" s="62"/>
      <c r="BS40" s="61"/>
      <c r="BT40" s="65">
        <v>44930</v>
      </c>
      <c r="BU40" s="65" t="s">
        <v>249</v>
      </c>
      <c r="BV40" s="65">
        <v>44930</v>
      </c>
      <c r="BW40" s="147" t="s">
        <v>272</v>
      </c>
      <c r="BX40" s="65">
        <f t="shared" ref="BX40:BX50" si="68">IF(BW40="Grant",BV40+1825,0)</f>
        <v>46755</v>
      </c>
      <c r="BY40" s="61" t="s">
        <v>273</v>
      </c>
      <c r="BZ40" s="61" t="s">
        <v>250</v>
      </c>
      <c r="CA40" s="61"/>
      <c r="CB40" s="62" t="s">
        <v>327</v>
      </c>
      <c r="CC40" s="61"/>
      <c r="CD40" s="68" t="s">
        <v>536</v>
      </c>
      <c r="CE40" s="60" t="s">
        <v>274</v>
      </c>
      <c r="CF40" s="61"/>
      <c r="CG40" s="61"/>
      <c r="CH40" s="64"/>
      <c r="CI40" s="64"/>
      <c r="CJ40" s="64"/>
      <c r="CK40" s="64" t="s">
        <v>265</v>
      </c>
      <c r="CL40" s="138" t="s">
        <v>328</v>
      </c>
      <c r="CM40" s="64"/>
      <c r="CN40" s="64"/>
      <c r="CO40" s="70"/>
      <c r="CP40" s="64"/>
      <c r="CQ40" s="64"/>
      <c r="CR40" s="60"/>
      <c r="CS40" s="70"/>
      <c r="CT40" s="61" t="s">
        <v>269</v>
      </c>
      <c r="CU40" s="61" t="s">
        <v>269</v>
      </c>
      <c r="CV40" s="61" t="s">
        <v>269</v>
      </c>
      <c r="CW40" s="61" t="s">
        <v>269</v>
      </c>
      <c r="CX40" s="61" t="s">
        <v>269</v>
      </c>
      <c r="CY40" s="61" t="s">
        <v>269</v>
      </c>
      <c r="CZ40" s="61" t="s">
        <v>269</v>
      </c>
      <c r="DA40" s="61"/>
      <c r="DB40" s="61"/>
      <c r="DC40" s="61"/>
      <c r="DD40" s="61"/>
      <c r="DE40" s="61"/>
      <c r="DF40" s="61" t="s">
        <v>269</v>
      </c>
      <c r="DG40" s="64" t="s">
        <v>550</v>
      </c>
      <c r="DH40" s="60"/>
      <c r="DI40" s="84"/>
      <c r="DJ40" s="84"/>
      <c r="DK40" s="84"/>
      <c r="DL40" s="84"/>
      <c r="DM40" s="84"/>
      <c r="DN40" s="84"/>
      <c r="DO40" s="84"/>
      <c r="DP40" s="84"/>
      <c r="DQ40" s="84"/>
      <c r="DR40" s="84"/>
      <c r="DS40" s="84"/>
      <c r="DT40" s="84"/>
      <c r="DU40" s="84"/>
      <c r="DV40" s="84"/>
      <c r="DW40" s="84"/>
      <c r="DX40" s="84"/>
      <c r="DY40" s="84"/>
      <c r="DZ40" s="84"/>
      <c r="EA40" s="84"/>
      <c r="EB40" s="84"/>
      <c r="EC40" s="84"/>
      <c r="ED40" s="84"/>
      <c r="EE40" s="84"/>
      <c r="EF40" s="84"/>
      <c r="EG40" s="84"/>
      <c r="EH40" s="60"/>
      <c r="EI40" s="62"/>
      <c r="EJ40" s="61"/>
      <c r="EK40" s="61"/>
      <c r="EL40" s="70"/>
      <c r="EM40" s="71"/>
      <c r="EN40" s="133">
        <f t="shared" ref="EN40:EN50" si="69">EO40+EY40</f>
        <v>3</v>
      </c>
      <c r="EO40" s="61">
        <f t="shared" ref="EO40:EO50" si="70">COUNT(ES40:ET40)+COUNT(EP40:EQ40)</f>
        <v>0</v>
      </c>
      <c r="EP40" s="62"/>
      <c r="EQ40" s="62"/>
      <c r="ER40" s="73"/>
      <c r="ES40" s="62"/>
      <c r="ET40" s="62"/>
      <c r="EU40" s="62"/>
      <c r="EV40" s="62"/>
      <c r="EW40" s="62"/>
      <c r="EX40" s="62"/>
      <c r="EY40" s="61">
        <f t="shared" ref="EY40:EY50" si="71">COUNT(FC40:FD40)+COUNT(EZ40:FA40)</f>
        <v>3</v>
      </c>
      <c r="EZ40" s="117">
        <v>47849</v>
      </c>
      <c r="FA40" s="117">
        <v>46753</v>
      </c>
      <c r="FB40" s="73"/>
      <c r="FC40" s="62">
        <v>47119</v>
      </c>
      <c r="FD40" s="61"/>
      <c r="FE40" s="61"/>
      <c r="FF40" s="68" t="str">
        <f t="shared" ref="FF40:FF50" si="72">IF(BY40="Final Grant",IF(EO40&gt;0,"FP &amp; Demand","FP / No Demand"),IF(EO40&gt;0,"No FP &amp; Demand","No FP / No Demand"))</f>
        <v>FP / No Demand</v>
      </c>
      <c r="FG40" s="76">
        <f t="shared" ref="FG40:FG50" si="73">IF((MIN(EZ40:FD40))=0,"-",(MIN(EZ40:FD40)))</f>
        <v>46753</v>
      </c>
      <c r="FH40" s="65">
        <f>BT40</f>
        <v>44930</v>
      </c>
      <c r="FI40" s="76"/>
      <c r="FJ40" s="62">
        <v>46791</v>
      </c>
      <c r="FK40" s="62"/>
      <c r="FL40" s="61"/>
      <c r="FM40" s="61"/>
      <c r="FN40" s="61"/>
      <c r="FO40" s="60"/>
      <c r="FP40" s="64"/>
      <c r="FQ40" s="64"/>
      <c r="FR40" s="61"/>
      <c r="FS40" s="61"/>
      <c r="FT40" s="61"/>
      <c r="FU40" s="61"/>
      <c r="FV40" s="60"/>
      <c r="FW40" s="61"/>
      <c r="FX40" s="61"/>
      <c r="FY40" s="61"/>
      <c r="FZ40" s="61"/>
      <c r="GA40" s="61"/>
      <c r="GB40" s="61"/>
      <c r="GC40" s="61"/>
      <c r="GD40" s="61"/>
      <c r="GE40" s="61"/>
      <c r="GF40" s="61"/>
      <c r="GG40" s="61"/>
      <c r="GH40" s="61"/>
      <c r="GI40" s="60"/>
      <c r="GJ40" s="62"/>
      <c r="GK40" s="62"/>
      <c r="GL40" s="62"/>
      <c r="GM40" s="62"/>
      <c r="GN40" s="63"/>
      <c r="GO40" s="63"/>
      <c r="GP40" s="62"/>
      <c r="GQ40" s="62"/>
      <c r="GR40" s="62"/>
      <c r="GS40" s="62"/>
      <c r="GT40" s="62"/>
      <c r="GU40" s="62"/>
      <c r="GV40" s="62"/>
      <c r="GW40" s="62"/>
      <c r="GX40" s="62"/>
      <c r="GY40" s="62"/>
      <c r="GZ40" s="62"/>
      <c r="HA40" s="65"/>
      <c r="HB40" s="62"/>
      <c r="HC40" s="62"/>
      <c r="HD40" s="62"/>
      <c r="HE40" s="65"/>
      <c r="HF40" s="62"/>
      <c r="HG40" s="65">
        <f>FJ40+10</f>
        <v>46801</v>
      </c>
      <c r="HH40" s="62"/>
      <c r="HI40" s="61"/>
      <c r="HJ40" s="62"/>
      <c r="HK40" s="62"/>
      <c r="HL40" s="62"/>
      <c r="HM40" s="65">
        <f>IF(GW40="Yes",HE40,HG40+50)</f>
        <v>46851</v>
      </c>
      <c r="HN40" s="63"/>
      <c r="HO40" s="62"/>
      <c r="HP40" s="78"/>
      <c r="HQ40" s="60"/>
      <c r="HR40" s="63"/>
      <c r="HS40" s="62"/>
      <c r="HT40" s="63"/>
      <c r="HU40" s="62"/>
      <c r="HV40" s="62"/>
      <c r="HW40" s="62"/>
      <c r="HX40" s="79"/>
      <c r="HY40" s="62"/>
      <c r="HZ40" s="79"/>
      <c r="IA40" s="60"/>
      <c r="IB40" s="65">
        <f>HM40+10</f>
        <v>46861</v>
      </c>
      <c r="IC40" s="62"/>
      <c r="ID40" s="61"/>
      <c r="IE40" s="61"/>
      <c r="IF40" s="61"/>
      <c r="IG40" s="61"/>
      <c r="IH40" s="61"/>
      <c r="II40" s="61"/>
      <c r="IJ40" s="61"/>
      <c r="IK40" s="61"/>
      <c r="IL40" s="62"/>
      <c r="IM40" s="62"/>
      <c r="IN40" s="62" t="str">
        <f t="shared" ref="IN40:IN50" si="74">IF(EJ40=0,"-",EJ40)</f>
        <v>-</v>
      </c>
      <c r="IO40" s="60"/>
      <c r="IP40" s="65">
        <f>IB40+30</f>
        <v>46891</v>
      </c>
      <c r="IQ40" s="62">
        <f t="shared" ref="IQ40:IQ50" si="75">MIN(IR40,IT40,IV40,IX40,IZ40)</f>
        <v>0</v>
      </c>
      <c r="IR40" s="62"/>
      <c r="IS40" s="62"/>
      <c r="IT40" s="62"/>
      <c r="IU40" s="62"/>
      <c r="IV40" s="62"/>
      <c r="IW40" s="62"/>
      <c r="IX40" s="62"/>
      <c r="IY40" s="62"/>
      <c r="IZ40" s="62"/>
      <c r="JA40" s="62"/>
      <c r="JB40" s="62"/>
      <c r="JC40" s="62"/>
      <c r="JD40" s="62"/>
      <c r="JE40" s="62"/>
      <c r="JF40" s="62"/>
      <c r="JG40" s="62"/>
      <c r="JH40" s="65">
        <f>IP40+60</f>
        <v>46951</v>
      </c>
      <c r="JI40" s="67" t="str">
        <f t="shared" ref="JI40:JI50" si="76">"Q" &amp;INT((MONTH(JH40)+2)/3) &amp; "-" &amp; YEAR(JH40)</f>
        <v>Q3-2028</v>
      </c>
      <c r="JJ40" s="62"/>
      <c r="JK40" s="60"/>
      <c r="JL40" s="61"/>
      <c r="JM40" s="64"/>
      <c r="JN40" s="62"/>
      <c r="JO40" s="62"/>
      <c r="JP40" s="78"/>
      <c r="JQ40" s="61"/>
      <c r="JR40" s="60"/>
      <c r="JS40" s="62"/>
      <c r="JT40" s="62"/>
      <c r="JU40" s="62"/>
      <c r="JV40" s="62"/>
      <c r="JW40" s="62"/>
      <c r="JX40" s="62"/>
      <c r="JY40" s="60"/>
      <c r="JZ40" s="61"/>
      <c r="KA40" s="61"/>
      <c r="KB40" s="61"/>
      <c r="KC40" s="61"/>
      <c r="KD40" s="61"/>
      <c r="KE40" s="61"/>
      <c r="KF40" s="60"/>
      <c r="KG40" s="84"/>
      <c r="KH40" s="60"/>
      <c r="KI40" s="81" t="str">
        <f t="shared" si="29"/>
        <v/>
      </c>
      <c r="KJ40" s="61" t="str">
        <f t="shared" si="30"/>
        <v>Not Gated</v>
      </c>
      <c r="KK40" s="61" t="str">
        <f t="shared" si="31"/>
        <v/>
      </c>
      <c r="KL40" s="62" t="str">
        <f t="shared" si="32"/>
        <v/>
      </c>
      <c r="KM40" s="62" t="str">
        <f t="shared" si="33"/>
        <v/>
      </c>
      <c r="KN40" s="61" t="str">
        <f t="shared" si="34"/>
        <v>Monopole</v>
      </c>
      <c r="KO40" s="61" t="str">
        <f t="shared" si="35"/>
        <v>EED</v>
      </c>
      <c r="KP40" s="131">
        <f t="shared" si="36"/>
        <v>0</v>
      </c>
      <c r="KQ40" s="131" t="str">
        <f t="shared" si="37"/>
        <v>No Forcast Date</v>
      </c>
      <c r="KR40" s="61" t="str">
        <f t="shared" si="38"/>
        <v xml:space="preserve">0  Not Gated  UTS  EED  No Forcast Date  </v>
      </c>
      <c r="KS40" s="61">
        <f t="shared" si="39"/>
        <v>0</v>
      </c>
      <c r="KT40" s="61" t="str">
        <f t="shared" si="40"/>
        <v/>
      </c>
      <c r="KU40" s="61" t="str">
        <f t="shared" si="41"/>
        <v>Lattice Mast</v>
      </c>
      <c r="KV40" s="61">
        <f t="shared" si="42"/>
        <v>12</v>
      </c>
      <c r="KW40" s="61" t="str">
        <f t="shared" si="43"/>
        <v>Monopole</v>
      </c>
      <c r="KX40" s="61">
        <f t="shared" si="44"/>
        <v>15</v>
      </c>
      <c r="KY40" s="60"/>
      <c r="KZ40" s="60"/>
      <c r="LA40" s="62"/>
      <c r="LB40" s="61"/>
      <c r="LC40" s="62"/>
      <c r="LD40" s="61"/>
      <c r="LE40" s="68" t="str">
        <f t="shared" si="45"/>
        <v>-</v>
      </c>
      <c r="LF40" s="150" t="str">
        <f t="shared" si="46"/>
        <v>-</v>
      </c>
      <c r="LG40" s="60"/>
      <c r="LH40" s="60"/>
      <c r="LI40" s="68">
        <f t="shared" si="47"/>
        <v>343</v>
      </c>
      <c r="LJ40" s="150">
        <f t="shared" si="48"/>
        <v>11.433333333333334</v>
      </c>
      <c r="LK40" s="60"/>
      <c r="LL40" s="68">
        <f t="shared" si="49"/>
        <v>387</v>
      </c>
      <c r="LM40" s="150">
        <f t="shared" si="50"/>
        <v>12.9</v>
      </c>
      <c r="LN40" s="60"/>
      <c r="LO40" s="98" t="str">
        <f t="shared" si="51"/>
        <v>-</v>
      </c>
      <c r="LP40" s="68" t="str">
        <f t="shared" si="52"/>
        <v>-</v>
      </c>
      <c r="LQ40" s="150" t="str">
        <f t="shared" si="53"/>
        <v>-</v>
      </c>
      <c r="LR40" s="60"/>
      <c r="LS40" s="98" t="str">
        <f t="shared" si="54"/>
        <v>-</v>
      </c>
      <c r="LT40" s="60"/>
      <c r="LU40" s="60"/>
      <c r="LV40" s="60"/>
      <c r="LW40" s="60"/>
      <c r="LX40" s="60"/>
      <c r="LY40" s="60"/>
      <c r="LZ40" s="60"/>
      <c r="MA40" s="60"/>
      <c r="MB40" s="60"/>
      <c r="MC40" s="60"/>
      <c r="MD40" s="60"/>
      <c r="ME40" s="60"/>
      <c r="MF40" s="60"/>
      <c r="MG40" s="60"/>
      <c r="MH40" s="60"/>
      <c r="MI40" s="60"/>
      <c r="MJ40" s="60"/>
      <c r="MK40" s="60"/>
      <c r="ML40" s="60"/>
      <c r="MM40" s="60"/>
      <c r="MN40" s="60"/>
      <c r="MO40" s="60"/>
    </row>
    <row r="41" spans="2:353" ht="21" customHeight="1" x14ac:dyDescent="0.25">
      <c r="B41" s="84" t="s">
        <v>642</v>
      </c>
      <c r="C41" s="58" t="s">
        <v>633</v>
      </c>
      <c r="D41" s="159" t="s">
        <v>334</v>
      </c>
      <c r="E41" s="159" t="s">
        <v>253</v>
      </c>
      <c r="F41" s="159" t="s">
        <v>492</v>
      </c>
      <c r="G41" s="159"/>
      <c r="H41" s="59"/>
      <c r="I41" s="159" t="s">
        <v>636</v>
      </c>
      <c r="J41" s="159" t="s">
        <v>636</v>
      </c>
      <c r="K41" s="159" t="s">
        <v>636</v>
      </c>
      <c r="L41" s="159" t="s">
        <v>637</v>
      </c>
      <c r="M41" s="159" t="s">
        <v>343</v>
      </c>
      <c r="N41" s="159">
        <v>10</v>
      </c>
      <c r="O41" s="159" t="s">
        <v>240</v>
      </c>
      <c r="P41" s="159">
        <v>18</v>
      </c>
      <c r="Q41" s="159"/>
      <c r="R41" s="160"/>
      <c r="S41" s="159"/>
      <c r="T41" s="159"/>
      <c r="U41" s="61" t="s">
        <v>335</v>
      </c>
      <c r="V41" s="61">
        <v>3</v>
      </c>
      <c r="W41" s="65"/>
      <c r="X41" s="72">
        <v>45090</v>
      </c>
      <c r="Y41" s="61" t="s">
        <v>241</v>
      </c>
      <c r="Z41" s="61" t="s">
        <v>242</v>
      </c>
      <c r="AA41" s="61">
        <v>1000</v>
      </c>
      <c r="AB41" s="72">
        <v>45090</v>
      </c>
      <c r="AC41" s="72">
        <v>45120</v>
      </c>
      <c r="AD41" s="72" t="s">
        <v>257</v>
      </c>
      <c r="AE41" s="63"/>
      <c r="AF41" s="72">
        <v>45132</v>
      </c>
      <c r="AG41" s="72"/>
      <c r="AH41" s="72"/>
      <c r="AI41" s="61" t="s">
        <v>257</v>
      </c>
      <c r="AJ41" s="61" t="s">
        <v>258</v>
      </c>
      <c r="AK41" s="72">
        <v>45131</v>
      </c>
      <c r="AL41" s="72">
        <v>45139</v>
      </c>
      <c r="AM41" s="62"/>
      <c r="AN41" s="64"/>
      <c r="AO41" s="61" t="s">
        <v>246</v>
      </c>
      <c r="AP41" s="61"/>
      <c r="AQ41" s="61" t="s">
        <v>248</v>
      </c>
      <c r="AR41" s="65">
        <v>45138</v>
      </c>
      <c r="AS41" s="72">
        <v>45142</v>
      </c>
      <c r="AT41" s="72"/>
      <c r="AU41" s="61">
        <v>2360127</v>
      </c>
      <c r="AV41" s="61"/>
      <c r="AW41" s="61"/>
      <c r="AX41" s="62"/>
      <c r="AY41" s="62"/>
      <c r="AZ41" s="62"/>
      <c r="BA41" s="62"/>
      <c r="BB41" s="61"/>
      <c r="BC41" s="61"/>
      <c r="BD41" s="65">
        <v>45258</v>
      </c>
      <c r="BE41" s="72">
        <v>45189</v>
      </c>
      <c r="BF41" s="62" t="s">
        <v>307</v>
      </c>
      <c r="BG41" s="61">
        <v>74</v>
      </c>
      <c r="BH41" s="65">
        <v>45303</v>
      </c>
      <c r="BI41" s="62"/>
      <c r="BJ41" s="62" t="s">
        <v>344</v>
      </c>
      <c r="BK41" s="61">
        <v>2024</v>
      </c>
      <c r="BL41" s="62">
        <v>45216</v>
      </c>
      <c r="BM41" s="72">
        <v>45216</v>
      </c>
      <c r="BN41" s="62"/>
      <c r="BO41" s="61">
        <v>318262</v>
      </c>
      <c r="BP41" s="65">
        <v>45576</v>
      </c>
      <c r="BQ41" s="67" t="s">
        <v>249</v>
      </c>
      <c r="BR41" s="72">
        <v>45490</v>
      </c>
      <c r="BS41" s="61" t="s">
        <v>307</v>
      </c>
      <c r="BT41" s="65">
        <v>45576</v>
      </c>
      <c r="BU41" s="65" t="s">
        <v>249</v>
      </c>
      <c r="BV41" s="65">
        <v>45490</v>
      </c>
      <c r="BW41" s="147" t="s">
        <v>307</v>
      </c>
      <c r="BX41" s="65">
        <f t="shared" si="68"/>
        <v>0</v>
      </c>
      <c r="BY41" s="61" t="s">
        <v>363</v>
      </c>
      <c r="BZ41" s="61" t="s">
        <v>393</v>
      </c>
      <c r="CA41" s="61"/>
      <c r="CB41" s="62"/>
      <c r="CC41" s="61"/>
      <c r="CD41" s="68" t="s">
        <v>575</v>
      </c>
      <c r="CE41" s="60" t="s">
        <v>392</v>
      </c>
      <c r="CF41" s="61"/>
      <c r="CG41" s="61"/>
      <c r="CH41" s="61"/>
      <c r="CI41" s="62"/>
      <c r="CJ41" s="62"/>
      <c r="CK41" s="61"/>
      <c r="CL41" s="69"/>
      <c r="CM41" s="61"/>
      <c r="CN41" s="61"/>
      <c r="CO41" s="61"/>
      <c r="CP41" s="61"/>
      <c r="CQ41" s="64"/>
      <c r="CR41" s="60"/>
      <c r="CS41" s="70"/>
      <c r="CT41" s="61"/>
      <c r="CU41" s="61"/>
      <c r="CV41" s="61"/>
      <c r="CW41" s="61"/>
      <c r="CX41" s="61"/>
      <c r="CY41" s="61"/>
      <c r="CZ41" s="61"/>
      <c r="DA41" s="61"/>
      <c r="DB41" s="61"/>
      <c r="DC41" s="61"/>
      <c r="DD41" s="61"/>
      <c r="DE41" s="61"/>
      <c r="DF41" s="61"/>
      <c r="DG41" s="64"/>
      <c r="DH41" s="60"/>
      <c r="DI41" s="62"/>
      <c r="DJ41" s="62"/>
      <c r="DK41" s="62"/>
      <c r="DL41" s="62"/>
      <c r="DM41" s="62"/>
      <c r="DN41" s="62"/>
      <c r="DO41" s="62"/>
      <c r="DP41" s="62"/>
      <c r="DQ41" s="62"/>
      <c r="DR41" s="62"/>
      <c r="DS41" s="62"/>
      <c r="DT41" s="62"/>
      <c r="DU41" s="62"/>
      <c r="DV41" s="62"/>
      <c r="DW41" s="62"/>
      <c r="DX41" s="62"/>
      <c r="DY41" s="62"/>
      <c r="DZ41" s="62"/>
      <c r="EA41" s="62"/>
      <c r="EB41" s="62"/>
      <c r="EC41" s="62"/>
      <c r="ED41" s="62"/>
      <c r="EE41" s="62"/>
      <c r="EF41" s="62"/>
      <c r="EG41" s="62"/>
      <c r="EH41" s="60"/>
      <c r="EI41" s="62"/>
      <c r="EJ41" s="62"/>
      <c r="EK41" s="61"/>
      <c r="EL41" s="70"/>
      <c r="EM41" s="71"/>
      <c r="EN41" s="133">
        <f t="shared" si="69"/>
        <v>1</v>
      </c>
      <c r="EO41" s="61">
        <f t="shared" si="70"/>
        <v>0</v>
      </c>
      <c r="EP41" s="62"/>
      <c r="EQ41" s="62"/>
      <c r="ER41" s="73"/>
      <c r="ES41" s="62"/>
      <c r="ET41" s="62"/>
      <c r="EU41" s="62"/>
      <c r="EV41" s="62"/>
      <c r="EW41" s="62"/>
      <c r="EX41" s="62"/>
      <c r="EY41" s="61">
        <f t="shared" si="71"/>
        <v>1</v>
      </c>
      <c r="EZ41" s="90"/>
      <c r="FA41" s="62">
        <v>47209</v>
      </c>
      <c r="FB41" s="73"/>
      <c r="FC41" s="61"/>
      <c r="FD41" s="61"/>
      <c r="FE41" s="61"/>
      <c r="FF41" s="68" t="str">
        <f t="shared" si="72"/>
        <v>No FP / No Demand</v>
      </c>
      <c r="FG41" s="76">
        <f t="shared" si="73"/>
        <v>47209</v>
      </c>
      <c r="FH41" s="65">
        <f>BT41</f>
        <v>45576</v>
      </c>
      <c r="FI41" s="76"/>
      <c r="FJ41" s="62">
        <f>FG41</f>
        <v>47209</v>
      </c>
      <c r="FK41" s="62"/>
      <c r="FL41" s="61"/>
      <c r="FM41" s="61"/>
      <c r="FN41" s="61"/>
      <c r="FO41" s="60"/>
      <c r="FP41" s="64"/>
      <c r="FQ41" s="64"/>
      <c r="FR41" s="61"/>
      <c r="FS41" s="61"/>
      <c r="FT41" s="61"/>
      <c r="FU41" s="61"/>
      <c r="FV41" s="60"/>
      <c r="FW41" s="61"/>
      <c r="FX41" s="61"/>
      <c r="FY41" s="61"/>
      <c r="FZ41" s="61"/>
      <c r="GA41" s="61"/>
      <c r="GB41" s="61"/>
      <c r="GC41" s="61"/>
      <c r="GD41" s="61"/>
      <c r="GE41" s="61"/>
      <c r="GF41" s="61"/>
      <c r="GG41" s="61"/>
      <c r="GH41" s="61"/>
      <c r="GI41" s="60"/>
      <c r="GJ41" s="62"/>
      <c r="GK41" s="62"/>
      <c r="GL41" s="62"/>
      <c r="GM41" s="62"/>
      <c r="GN41" s="63"/>
      <c r="GO41" s="63"/>
      <c r="GP41" s="62"/>
      <c r="GQ41" s="62"/>
      <c r="GR41" s="62"/>
      <c r="GS41" s="62"/>
      <c r="GT41" s="62"/>
      <c r="GU41" s="62"/>
      <c r="GV41" s="78"/>
      <c r="GW41" s="62"/>
      <c r="GX41" s="62"/>
      <c r="GY41" s="62"/>
      <c r="GZ41" s="62"/>
      <c r="HA41" s="65"/>
      <c r="HB41" s="62"/>
      <c r="HC41" s="62"/>
      <c r="HD41" s="62"/>
      <c r="HE41" s="65"/>
      <c r="HF41" s="62"/>
      <c r="HG41" s="65"/>
      <c r="HH41" s="62"/>
      <c r="HI41" s="61"/>
      <c r="HJ41" s="62"/>
      <c r="HK41" s="62"/>
      <c r="HL41" s="62"/>
      <c r="HM41" s="65"/>
      <c r="HN41" s="63"/>
      <c r="HO41" s="62"/>
      <c r="HP41" s="78"/>
      <c r="HQ41" s="60"/>
      <c r="HR41" s="63"/>
      <c r="HS41" s="62"/>
      <c r="HT41" s="63"/>
      <c r="HU41" s="62"/>
      <c r="HV41" s="62"/>
      <c r="HW41" s="62"/>
      <c r="HX41" s="79"/>
      <c r="HY41" s="62"/>
      <c r="HZ41" s="79"/>
      <c r="IA41" s="60"/>
      <c r="IB41" s="65"/>
      <c r="IC41" s="62"/>
      <c r="ID41" s="61"/>
      <c r="IE41" s="61"/>
      <c r="IF41" s="61"/>
      <c r="IG41" s="61"/>
      <c r="IH41" s="61"/>
      <c r="II41" s="61"/>
      <c r="IJ41" s="61"/>
      <c r="IK41" s="61"/>
      <c r="IL41" s="62"/>
      <c r="IM41" s="62"/>
      <c r="IN41" s="62" t="str">
        <f t="shared" si="74"/>
        <v>-</v>
      </c>
      <c r="IO41" s="60"/>
      <c r="IP41" s="65"/>
      <c r="IQ41" s="62">
        <f t="shared" si="75"/>
        <v>0</v>
      </c>
      <c r="IR41" s="62"/>
      <c r="IS41" s="62"/>
      <c r="IT41" s="62"/>
      <c r="IU41" s="62"/>
      <c r="IV41" s="62"/>
      <c r="IW41" s="62"/>
      <c r="IX41" s="62"/>
      <c r="IY41" s="62"/>
      <c r="IZ41" s="62"/>
      <c r="JA41" s="62"/>
      <c r="JB41" s="62"/>
      <c r="JC41" s="62"/>
      <c r="JD41" s="62"/>
      <c r="JE41" s="62"/>
      <c r="JF41" s="62"/>
      <c r="JG41" s="62"/>
      <c r="JH41" s="65">
        <f>FJ41+180</f>
        <v>47389</v>
      </c>
      <c r="JI41" s="67" t="str">
        <f t="shared" si="76"/>
        <v>Q3-2029</v>
      </c>
      <c r="JJ41" s="62"/>
      <c r="JK41" s="60"/>
      <c r="JL41" s="61"/>
      <c r="JM41" s="64"/>
      <c r="JN41" s="62"/>
      <c r="JO41" s="62"/>
      <c r="JP41" s="78"/>
      <c r="JQ41" s="61"/>
      <c r="JR41" s="60"/>
      <c r="JS41" s="62"/>
      <c r="JT41" s="62"/>
      <c r="JU41" s="62"/>
      <c r="JV41" s="62"/>
      <c r="JW41" s="62"/>
      <c r="JX41" s="62"/>
      <c r="JY41" s="60"/>
      <c r="JZ41" s="61"/>
      <c r="KA41" s="61"/>
      <c r="KB41" s="61"/>
      <c r="KC41" s="61"/>
      <c r="KD41" s="61"/>
      <c r="KE41" s="61"/>
      <c r="KF41" s="60"/>
      <c r="KG41" s="86"/>
      <c r="KH41" s="60"/>
      <c r="KI41" s="81" t="str">
        <f t="shared" si="29"/>
        <v/>
      </c>
      <c r="KJ41" s="61" t="str">
        <f t="shared" si="30"/>
        <v>Not Gated</v>
      </c>
      <c r="KK41" s="61" t="str">
        <f t="shared" si="31"/>
        <v/>
      </c>
      <c r="KL41" s="62" t="str">
        <f t="shared" si="32"/>
        <v/>
      </c>
      <c r="KM41" s="62" t="str">
        <f t="shared" si="33"/>
        <v/>
      </c>
      <c r="KN41" s="61" t="str">
        <f t="shared" si="34"/>
        <v>Monopole</v>
      </c>
      <c r="KO41" s="61" t="str">
        <f t="shared" si="35"/>
        <v>EED</v>
      </c>
      <c r="KP41" s="131">
        <f t="shared" si="36"/>
        <v>0</v>
      </c>
      <c r="KQ41" s="131" t="str">
        <f t="shared" si="37"/>
        <v>No Forcast Date</v>
      </c>
      <c r="KR41" s="61" t="str">
        <f t="shared" si="38"/>
        <v xml:space="preserve">0  Not Gated  UTS  EED  No Forcast Date  </v>
      </c>
      <c r="KS41" s="61">
        <f t="shared" si="39"/>
        <v>0</v>
      </c>
      <c r="KT41" s="61" t="str">
        <f t="shared" si="40"/>
        <v/>
      </c>
      <c r="KU41" s="61" t="str">
        <f t="shared" si="41"/>
        <v>No Structure</v>
      </c>
      <c r="KV41" s="61">
        <f t="shared" si="42"/>
        <v>10</v>
      </c>
      <c r="KW41" s="61" t="str">
        <f t="shared" si="43"/>
        <v>Monopole</v>
      </c>
      <c r="KX41" s="61">
        <f t="shared" si="44"/>
        <v>18</v>
      </c>
      <c r="KY41" s="60"/>
      <c r="KZ41" s="60"/>
      <c r="LA41" s="62">
        <v>44575</v>
      </c>
      <c r="LB41" s="61" t="s">
        <v>536</v>
      </c>
      <c r="LC41" s="62">
        <v>44903</v>
      </c>
      <c r="LD41" s="61" t="s">
        <v>614</v>
      </c>
      <c r="LE41" s="68">
        <f t="shared" si="45"/>
        <v>328</v>
      </c>
      <c r="LF41" s="150">
        <f t="shared" si="46"/>
        <v>10.933333333333334</v>
      </c>
      <c r="LG41" s="60"/>
      <c r="LH41" s="60"/>
      <c r="LI41" s="68">
        <f t="shared" si="47"/>
        <v>47</v>
      </c>
      <c r="LJ41" s="150">
        <f t="shared" si="48"/>
        <v>1.5666666666666667</v>
      </c>
      <c r="LK41" s="60"/>
      <c r="LL41" s="68">
        <f t="shared" si="49"/>
        <v>348</v>
      </c>
      <c r="LM41" s="150">
        <f t="shared" si="50"/>
        <v>11.6</v>
      </c>
      <c r="LN41" s="60"/>
      <c r="LO41" s="98">
        <f t="shared" si="51"/>
        <v>45216</v>
      </c>
      <c r="LP41" s="68">
        <f t="shared" si="52"/>
        <v>274</v>
      </c>
      <c r="LQ41" s="150">
        <f t="shared" si="53"/>
        <v>9.1333333333333329</v>
      </c>
      <c r="LR41" s="60"/>
      <c r="LS41" s="98">
        <f t="shared" si="54"/>
        <v>45490</v>
      </c>
      <c r="LT41" s="60"/>
      <c r="LU41" s="60"/>
      <c r="LV41" s="60"/>
      <c r="LW41" s="60"/>
      <c r="LX41" s="60"/>
      <c r="LY41" s="60"/>
      <c r="LZ41" s="60"/>
      <c r="MA41" s="60"/>
      <c r="MB41" s="60"/>
      <c r="MC41" s="60"/>
      <c r="MD41" s="60"/>
      <c r="ME41" s="60"/>
      <c r="MF41" s="60"/>
      <c r="MG41" s="60"/>
      <c r="MH41" s="60"/>
      <c r="MI41" s="60"/>
      <c r="MJ41" s="60"/>
      <c r="MK41" s="60"/>
      <c r="ML41" s="60"/>
      <c r="MM41" s="60"/>
      <c r="MN41" s="60"/>
      <c r="MO41" s="60"/>
    </row>
    <row r="42" spans="2:353" ht="21" customHeight="1" x14ac:dyDescent="0.25">
      <c r="B42" s="84" t="s">
        <v>643</v>
      </c>
      <c r="C42" s="58" t="s">
        <v>633</v>
      </c>
      <c r="D42" s="159" t="s">
        <v>322</v>
      </c>
      <c r="E42" s="159" t="s">
        <v>253</v>
      </c>
      <c r="F42" s="159" t="s">
        <v>482</v>
      </c>
      <c r="G42" s="159"/>
      <c r="H42" s="59"/>
      <c r="I42" s="159" t="s">
        <v>636</v>
      </c>
      <c r="J42" s="159" t="s">
        <v>636</v>
      </c>
      <c r="K42" s="159" t="s">
        <v>636</v>
      </c>
      <c r="L42" s="159" t="s">
        <v>637</v>
      </c>
      <c r="M42" s="159" t="s">
        <v>278</v>
      </c>
      <c r="N42" s="159">
        <v>12</v>
      </c>
      <c r="O42" s="159" t="s">
        <v>240</v>
      </c>
      <c r="P42" s="159">
        <v>24</v>
      </c>
      <c r="Q42" s="159" t="s">
        <v>240</v>
      </c>
      <c r="R42" s="160">
        <v>24</v>
      </c>
      <c r="S42" s="159"/>
      <c r="T42" s="159" t="s">
        <v>406</v>
      </c>
      <c r="U42" s="61" t="s">
        <v>323</v>
      </c>
      <c r="V42" s="61">
        <v>1</v>
      </c>
      <c r="W42" s="65"/>
      <c r="X42" s="72">
        <v>45149</v>
      </c>
      <c r="Y42" s="61" t="s">
        <v>241</v>
      </c>
      <c r="Z42" s="61" t="s">
        <v>242</v>
      </c>
      <c r="AA42" s="61">
        <v>2500</v>
      </c>
      <c r="AB42" s="72">
        <v>45149</v>
      </c>
      <c r="AC42" s="72">
        <v>45153</v>
      </c>
      <c r="AD42" s="97" t="s">
        <v>257</v>
      </c>
      <c r="AE42" s="63"/>
      <c r="AF42" s="72">
        <v>45181</v>
      </c>
      <c r="AG42" s="85"/>
      <c r="AH42" s="72"/>
      <c r="AI42" s="97" t="s">
        <v>257</v>
      </c>
      <c r="AJ42" s="61" t="s">
        <v>258</v>
      </c>
      <c r="AK42" s="72">
        <v>45177</v>
      </c>
      <c r="AL42" s="72">
        <v>45208</v>
      </c>
      <c r="AM42" s="62" t="s">
        <v>243</v>
      </c>
      <c r="AN42" s="64"/>
      <c r="AO42" s="61" t="s">
        <v>271</v>
      </c>
      <c r="AP42" s="61" t="s">
        <v>243</v>
      </c>
      <c r="AQ42" s="61" t="s">
        <v>248</v>
      </c>
      <c r="AR42" s="65">
        <v>45205</v>
      </c>
      <c r="AS42" s="72">
        <v>45208</v>
      </c>
      <c r="AT42" s="72">
        <v>45210</v>
      </c>
      <c r="AU42" s="61">
        <v>2360167</v>
      </c>
      <c r="AV42" s="61" t="s">
        <v>269</v>
      </c>
      <c r="AW42" s="61"/>
      <c r="AX42" s="72">
        <v>45265</v>
      </c>
      <c r="AY42" s="62">
        <v>45447</v>
      </c>
      <c r="AZ42" s="72">
        <v>45411</v>
      </c>
      <c r="BA42" s="62"/>
      <c r="BB42" s="61"/>
      <c r="BC42" s="61"/>
      <c r="BD42" s="65">
        <v>45441</v>
      </c>
      <c r="BE42" s="72">
        <v>45453</v>
      </c>
      <c r="BF42" s="62" t="s">
        <v>272</v>
      </c>
      <c r="BG42" s="61">
        <v>1</v>
      </c>
      <c r="BH42" s="65">
        <f>(BE42+31)</f>
        <v>45484</v>
      </c>
      <c r="BI42" s="72">
        <v>45488</v>
      </c>
      <c r="BJ42" s="62" t="s">
        <v>272</v>
      </c>
      <c r="BK42" s="61">
        <v>2025</v>
      </c>
      <c r="BL42" s="62"/>
      <c r="BM42" s="62"/>
      <c r="BN42" s="62"/>
      <c r="BO42" s="61"/>
      <c r="BP42" s="65">
        <v>45836</v>
      </c>
      <c r="BQ42" s="67"/>
      <c r="BR42" s="62"/>
      <c r="BS42" s="61"/>
      <c r="BT42" s="65">
        <v>45836</v>
      </c>
      <c r="BU42" s="65" t="s">
        <v>249</v>
      </c>
      <c r="BV42" s="65">
        <v>45488</v>
      </c>
      <c r="BW42" s="147" t="s">
        <v>272</v>
      </c>
      <c r="BX42" s="65">
        <f t="shared" si="68"/>
        <v>47313</v>
      </c>
      <c r="BY42" s="61" t="s">
        <v>273</v>
      </c>
      <c r="BZ42" s="61" t="s">
        <v>346</v>
      </c>
      <c r="CA42" s="61"/>
      <c r="CB42" s="62">
        <v>45489</v>
      </c>
      <c r="CC42" s="61"/>
      <c r="CD42" s="68" t="s">
        <v>535</v>
      </c>
      <c r="CE42" s="60" t="s">
        <v>361</v>
      </c>
      <c r="CF42" s="61"/>
      <c r="CG42" s="61"/>
      <c r="CH42" s="61"/>
      <c r="CI42" s="62"/>
      <c r="CJ42" s="62"/>
      <c r="CK42" s="61"/>
      <c r="CL42" s="69"/>
      <c r="CM42" s="61"/>
      <c r="CN42" s="62">
        <v>45240</v>
      </c>
      <c r="CO42" s="61"/>
      <c r="CP42" s="61"/>
      <c r="CQ42" s="64"/>
      <c r="CR42" s="60"/>
      <c r="CS42" s="70" t="s">
        <v>559</v>
      </c>
      <c r="CT42" s="61" t="s">
        <v>269</v>
      </c>
      <c r="CU42" s="61" t="s">
        <v>269</v>
      </c>
      <c r="CV42" s="61" t="s">
        <v>269</v>
      </c>
      <c r="CW42" s="61" t="s">
        <v>269</v>
      </c>
      <c r="CX42" s="82" t="s">
        <v>275</v>
      </c>
      <c r="CY42" s="82" t="s">
        <v>275</v>
      </c>
      <c r="CZ42" s="61" t="s">
        <v>269</v>
      </c>
      <c r="DA42" s="82" t="s">
        <v>275</v>
      </c>
      <c r="DB42" s="61" t="s">
        <v>269</v>
      </c>
      <c r="DC42" s="61" t="s">
        <v>269</v>
      </c>
      <c r="DD42" s="61" t="s">
        <v>269</v>
      </c>
      <c r="DE42" s="61" t="s">
        <v>269</v>
      </c>
      <c r="DF42" s="82" t="s">
        <v>275</v>
      </c>
      <c r="DG42" s="64" t="s">
        <v>551</v>
      </c>
      <c r="DH42" s="60"/>
      <c r="DI42" s="61" t="s">
        <v>276</v>
      </c>
      <c r="DJ42" s="61" t="s">
        <v>276</v>
      </c>
      <c r="DK42" s="61" t="s">
        <v>276</v>
      </c>
      <c r="DL42" s="61" t="s">
        <v>276</v>
      </c>
      <c r="DM42" s="61" t="s">
        <v>276</v>
      </c>
      <c r="DN42" s="61" t="s">
        <v>276</v>
      </c>
      <c r="DO42" s="61" t="s">
        <v>276</v>
      </c>
      <c r="DP42" s="61" t="s">
        <v>276</v>
      </c>
      <c r="DQ42" s="72">
        <v>45499</v>
      </c>
      <c r="DR42" s="72">
        <v>45547</v>
      </c>
      <c r="DS42" s="72">
        <v>45499</v>
      </c>
      <c r="DT42" s="72">
        <v>45547</v>
      </c>
      <c r="DU42" s="61" t="s">
        <v>276</v>
      </c>
      <c r="DV42" s="61" t="s">
        <v>276</v>
      </c>
      <c r="DW42" s="72">
        <v>45499</v>
      </c>
      <c r="DX42" s="72">
        <v>45576</v>
      </c>
      <c r="DY42" s="61" t="s">
        <v>276</v>
      </c>
      <c r="DZ42" s="61" t="s">
        <v>276</v>
      </c>
      <c r="EA42" s="61" t="s">
        <v>276</v>
      </c>
      <c r="EB42" s="61" t="s">
        <v>276</v>
      </c>
      <c r="EC42" s="61" t="s">
        <v>276</v>
      </c>
      <c r="ED42" s="61" t="s">
        <v>276</v>
      </c>
      <c r="EE42" s="61" t="s">
        <v>276</v>
      </c>
      <c r="EF42" s="61" t="s">
        <v>276</v>
      </c>
      <c r="EG42" s="72">
        <v>45546</v>
      </c>
      <c r="EH42" s="60"/>
      <c r="EI42" s="72">
        <v>45568</v>
      </c>
      <c r="EJ42" s="72">
        <v>45576</v>
      </c>
      <c r="EK42" s="123">
        <v>4</v>
      </c>
      <c r="EL42" s="70"/>
      <c r="EM42" s="71"/>
      <c r="EN42" s="133">
        <f t="shared" si="69"/>
        <v>3</v>
      </c>
      <c r="EO42" s="61">
        <f t="shared" si="70"/>
        <v>1</v>
      </c>
      <c r="EP42" s="62"/>
      <c r="EQ42" s="62">
        <v>44448</v>
      </c>
      <c r="ER42" s="73"/>
      <c r="ES42" s="62"/>
      <c r="ET42" s="62"/>
      <c r="EU42" s="62"/>
      <c r="EV42" s="62"/>
      <c r="EW42" s="62"/>
      <c r="EX42" s="62"/>
      <c r="EY42" s="61">
        <f t="shared" si="71"/>
        <v>2</v>
      </c>
      <c r="EZ42" s="117">
        <v>46388</v>
      </c>
      <c r="FA42" s="61"/>
      <c r="FB42" s="74"/>
      <c r="FC42" s="62">
        <v>46753</v>
      </c>
      <c r="FD42" s="61"/>
      <c r="FE42" s="61"/>
      <c r="FF42" s="68" t="str">
        <f t="shared" si="72"/>
        <v>FP &amp; Demand</v>
      </c>
      <c r="FG42" s="76">
        <f t="shared" si="73"/>
        <v>46388</v>
      </c>
      <c r="FH42" s="65">
        <v>45484</v>
      </c>
      <c r="FI42" s="76"/>
      <c r="FJ42" s="72">
        <f>FH42+7</f>
        <v>45491</v>
      </c>
      <c r="FK42" s="72">
        <v>45455</v>
      </c>
      <c r="FL42" s="61" t="s">
        <v>299</v>
      </c>
      <c r="FM42" s="61">
        <v>103</v>
      </c>
      <c r="FN42" s="61" t="s">
        <v>286</v>
      </c>
      <c r="FO42" s="60"/>
      <c r="FP42" s="61" t="s">
        <v>257</v>
      </c>
      <c r="FQ42" s="61"/>
      <c r="FR42" s="61" t="s">
        <v>423</v>
      </c>
      <c r="FS42" s="61" t="s">
        <v>257</v>
      </c>
      <c r="FT42" s="61" t="s">
        <v>301</v>
      </c>
      <c r="FU42" s="61" t="s">
        <v>257</v>
      </c>
      <c r="FV42" s="60"/>
      <c r="FW42" s="97" t="s">
        <v>269</v>
      </c>
      <c r="FX42" s="61"/>
      <c r="FY42" s="61"/>
      <c r="FZ42" s="61"/>
      <c r="GA42" s="61"/>
      <c r="GB42" s="61"/>
      <c r="GC42" s="61"/>
      <c r="GD42" s="61"/>
      <c r="GE42" s="61"/>
      <c r="GF42" s="61"/>
      <c r="GG42" s="61"/>
      <c r="GH42" s="61"/>
      <c r="GI42" s="60"/>
      <c r="GJ42" s="62" t="s">
        <v>269</v>
      </c>
      <c r="GK42" s="62" t="s">
        <v>243</v>
      </c>
      <c r="GL42" s="62" t="s">
        <v>243</v>
      </c>
      <c r="GM42" s="62"/>
      <c r="GN42" s="63" t="s">
        <v>243</v>
      </c>
      <c r="GO42" s="63"/>
      <c r="GP42" s="72">
        <v>45469</v>
      </c>
      <c r="GQ42" s="62" t="s">
        <v>269</v>
      </c>
      <c r="GR42" s="62"/>
      <c r="GS42" s="62"/>
      <c r="GT42" s="62"/>
      <c r="GU42" s="62"/>
      <c r="GV42" s="62"/>
      <c r="GW42" s="62" t="s">
        <v>269</v>
      </c>
      <c r="GX42" s="62"/>
      <c r="GY42" s="62"/>
      <c r="GZ42" s="62"/>
      <c r="HA42" s="65" t="str">
        <f>IF(GW42="Yes",FJ42+60,"-")</f>
        <v>-</v>
      </c>
      <c r="HB42" s="61"/>
      <c r="HC42" s="97" t="s">
        <v>269</v>
      </c>
      <c r="HD42" s="61" t="s">
        <v>301</v>
      </c>
      <c r="HE42" s="67"/>
      <c r="HF42" s="62" t="s">
        <v>301</v>
      </c>
      <c r="HG42" s="65">
        <f>FJ42+10</f>
        <v>45501</v>
      </c>
      <c r="HH42" s="72">
        <v>45469</v>
      </c>
      <c r="HI42" s="61" t="s">
        <v>303</v>
      </c>
      <c r="HJ42" s="62" t="s">
        <v>243</v>
      </c>
      <c r="HK42" s="62" t="s">
        <v>243</v>
      </c>
      <c r="HL42" s="72">
        <v>45489</v>
      </c>
      <c r="HM42" s="65">
        <f>IF(GW42="Yes",HE42,HG42+50)</f>
        <v>45551</v>
      </c>
      <c r="HN42" s="63">
        <v>3</v>
      </c>
      <c r="HO42" s="72">
        <v>45503</v>
      </c>
      <c r="HP42" s="78" t="s">
        <v>582</v>
      </c>
      <c r="HQ42" s="60"/>
      <c r="HR42" s="63">
        <v>1</v>
      </c>
      <c r="HS42" s="72">
        <v>45503</v>
      </c>
      <c r="HT42" s="63">
        <v>1</v>
      </c>
      <c r="HU42" s="72">
        <v>45503</v>
      </c>
      <c r="HV42" s="62" t="s">
        <v>276</v>
      </c>
      <c r="HW42" s="72">
        <v>45503</v>
      </c>
      <c r="HX42" s="79">
        <v>1</v>
      </c>
      <c r="HY42" s="72">
        <v>45512</v>
      </c>
      <c r="HZ42" s="79"/>
      <c r="IA42" s="60"/>
      <c r="IB42" s="65">
        <f t="shared" ref="IB42:IB50" si="77">HM42+10</f>
        <v>45561</v>
      </c>
      <c r="IC42" s="72">
        <v>45513</v>
      </c>
      <c r="ID42" s="61"/>
      <c r="IE42" s="61"/>
      <c r="IF42" s="61"/>
      <c r="IG42" s="61"/>
      <c r="IH42" s="61"/>
      <c r="II42" s="61"/>
      <c r="IJ42" s="61"/>
      <c r="IK42" s="61"/>
      <c r="IL42" s="62"/>
      <c r="IM42" s="62"/>
      <c r="IN42" s="72">
        <f t="shared" si="74"/>
        <v>45576</v>
      </c>
      <c r="IO42" s="60"/>
      <c r="IP42" s="65">
        <f t="shared" ref="IP42:IP50" si="78">IB42+30</f>
        <v>45591</v>
      </c>
      <c r="IQ42" s="72">
        <f t="shared" si="75"/>
        <v>45586</v>
      </c>
      <c r="IR42" s="62"/>
      <c r="IS42" s="62"/>
      <c r="IT42" s="72">
        <v>45586</v>
      </c>
      <c r="IU42" s="72">
        <v>45590</v>
      </c>
      <c r="IV42" s="62"/>
      <c r="IW42" s="62"/>
      <c r="IX42" s="62"/>
      <c r="IY42" s="62"/>
      <c r="IZ42" s="72">
        <v>45586</v>
      </c>
      <c r="JA42" s="72">
        <v>45590</v>
      </c>
      <c r="JB42" s="72">
        <v>45629</v>
      </c>
      <c r="JC42" s="72">
        <v>45629</v>
      </c>
      <c r="JD42" s="72">
        <v>45629</v>
      </c>
      <c r="JE42" s="72">
        <v>45629</v>
      </c>
      <c r="JF42" s="72">
        <v>45629</v>
      </c>
      <c r="JG42" s="72">
        <v>45629</v>
      </c>
      <c r="JH42" s="65">
        <v>45632</v>
      </c>
      <c r="JI42" s="67" t="str">
        <f t="shared" si="76"/>
        <v>Q4-2024</v>
      </c>
      <c r="JJ42" s="72">
        <v>45632</v>
      </c>
      <c r="JK42" s="60"/>
      <c r="JL42" s="61"/>
      <c r="JM42" s="64"/>
      <c r="JN42" s="62"/>
      <c r="JO42" s="62" t="s">
        <v>257</v>
      </c>
      <c r="JP42" s="78" t="s">
        <v>628</v>
      </c>
      <c r="JQ42" s="61"/>
      <c r="JR42" s="60"/>
      <c r="JS42" s="62"/>
      <c r="JT42" s="62"/>
      <c r="JU42" s="62"/>
      <c r="JV42" s="62"/>
      <c r="JW42" s="62"/>
      <c r="JX42" s="62"/>
      <c r="JY42" s="60"/>
      <c r="JZ42" s="61"/>
      <c r="KA42" s="61"/>
      <c r="KB42" s="61"/>
      <c r="KC42" s="61"/>
      <c r="KD42" s="61"/>
      <c r="KE42" s="61"/>
      <c r="KF42" s="60"/>
      <c r="KG42" s="86"/>
      <c r="KH42" s="60"/>
      <c r="KI42" s="81" t="str">
        <f t="shared" si="29"/>
        <v>TWHxxxx</v>
      </c>
      <c r="KJ42" s="61" t="str">
        <f t="shared" si="30"/>
        <v>Live</v>
      </c>
      <c r="KK42" s="61" t="str">
        <f t="shared" si="31"/>
        <v>TWHxxxx</v>
      </c>
      <c r="KL42" s="62">
        <f t="shared" si="32"/>
        <v>45632</v>
      </c>
      <c r="KM42" s="62">
        <f t="shared" si="33"/>
        <v>45632</v>
      </c>
      <c r="KN42" s="61" t="str">
        <f t="shared" si="34"/>
        <v>Monopole</v>
      </c>
      <c r="KO42" s="61" t="str">
        <f t="shared" si="35"/>
        <v>EED</v>
      </c>
      <c r="KP42" s="131">
        <f t="shared" si="36"/>
        <v>0</v>
      </c>
      <c r="KQ42" s="131" t="str">
        <f t="shared" si="37"/>
        <v>Q4-2024</v>
      </c>
      <c r="KR42" s="61" t="str">
        <f t="shared" si="38"/>
        <v xml:space="preserve">0  Live  UTS  EED  Q4-2024  </v>
      </c>
      <c r="KS42" s="61" t="str">
        <f t="shared" si="39"/>
        <v>RFI</v>
      </c>
      <c r="KT42" s="61" t="str">
        <f t="shared" si="40"/>
        <v>Site name</v>
      </c>
      <c r="KU42" s="61" t="str">
        <f t="shared" si="41"/>
        <v>Wooden Pole</v>
      </c>
      <c r="KV42" s="61">
        <f t="shared" si="42"/>
        <v>12</v>
      </c>
      <c r="KW42" s="61" t="str">
        <f t="shared" si="43"/>
        <v>Monopole</v>
      </c>
      <c r="KX42" s="61">
        <f t="shared" si="44"/>
        <v>24</v>
      </c>
      <c r="KY42" s="60"/>
      <c r="KZ42" s="60"/>
      <c r="LA42" s="62"/>
      <c r="LB42" s="61"/>
      <c r="LC42" s="62"/>
      <c r="LD42" s="61"/>
      <c r="LE42" s="68" t="str">
        <f t="shared" si="45"/>
        <v>-</v>
      </c>
      <c r="LF42" s="150" t="str">
        <f t="shared" si="46"/>
        <v>-</v>
      </c>
      <c r="LG42" s="60"/>
      <c r="LH42" s="60"/>
      <c r="LI42" s="68">
        <f t="shared" si="47"/>
        <v>245</v>
      </c>
      <c r="LJ42" s="150">
        <f t="shared" si="48"/>
        <v>8.1666666666666661</v>
      </c>
      <c r="LK42" s="60"/>
      <c r="LL42" s="68">
        <f t="shared" si="49"/>
        <v>280</v>
      </c>
      <c r="LM42" s="150">
        <f t="shared" si="50"/>
        <v>9.3333333333333339</v>
      </c>
      <c r="LN42" s="60"/>
      <c r="LO42" s="98" t="str">
        <f t="shared" si="51"/>
        <v>-</v>
      </c>
      <c r="LP42" s="68" t="str">
        <f t="shared" si="52"/>
        <v>-</v>
      </c>
      <c r="LQ42" s="150" t="str">
        <f t="shared" si="53"/>
        <v>-</v>
      </c>
      <c r="LR42" s="60"/>
      <c r="LS42" s="98" t="str">
        <f t="shared" si="54"/>
        <v>-</v>
      </c>
      <c r="LT42" s="60"/>
      <c r="LU42" s="60"/>
      <c r="LV42" s="60"/>
      <c r="LW42" s="60"/>
      <c r="LX42" s="60"/>
      <c r="LY42" s="60"/>
      <c r="LZ42" s="60"/>
      <c r="MA42" s="60"/>
      <c r="MB42" s="60"/>
      <c r="MC42" s="60"/>
      <c r="MD42" s="60"/>
      <c r="ME42" s="60"/>
      <c r="MF42" s="60"/>
      <c r="MG42" s="60"/>
      <c r="MH42" s="60"/>
      <c r="MI42" s="60"/>
      <c r="MJ42" s="60"/>
      <c r="MK42" s="60"/>
      <c r="ML42" s="60"/>
      <c r="MM42" s="60"/>
      <c r="MN42" s="60"/>
      <c r="MO42" s="60"/>
    </row>
    <row r="43" spans="2:353" ht="21" customHeight="1" x14ac:dyDescent="0.25">
      <c r="B43" s="58" t="s">
        <v>644</v>
      </c>
      <c r="C43" s="58" t="s">
        <v>633</v>
      </c>
      <c r="D43" s="159" t="s">
        <v>446</v>
      </c>
      <c r="E43" s="159" t="s">
        <v>253</v>
      </c>
      <c r="F43" s="159" t="s">
        <v>469</v>
      </c>
      <c r="G43" s="159"/>
      <c r="H43" s="59"/>
      <c r="I43" s="159" t="s">
        <v>636</v>
      </c>
      <c r="J43" s="159" t="s">
        <v>636</v>
      </c>
      <c r="K43" s="159" t="s">
        <v>636</v>
      </c>
      <c r="L43" s="159" t="s">
        <v>637</v>
      </c>
      <c r="M43" s="159" t="s">
        <v>348</v>
      </c>
      <c r="N43" s="159">
        <v>23.3</v>
      </c>
      <c r="O43" s="159" t="s">
        <v>255</v>
      </c>
      <c r="P43" s="159">
        <v>30</v>
      </c>
      <c r="Q43" s="159"/>
      <c r="R43" s="160"/>
      <c r="S43" s="159"/>
      <c r="T43" s="159" t="s">
        <v>563</v>
      </c>
      <c r="U43" s="61" t="s">
        <v>360</v>
      </c>
      <c r="V43" s="61">
        <v>1</v>
      </c>
      <c r="W43" s="65"/>
      <c r="X43" s="72">
        <v>45432</v>
      </c>
      <c r="Y43" s="61" t="s">
        <v>241</v>
      </c>
      <c r="Z43" s="61" t="s">
        <v>242</v>
      </c>
      <c r="AA43" s="61"/>
      <c r="AB43" s="72">
        <v>45432</v>
      </c>
      <c r="AC43" s="72">
        <v>45474</v>
      </c>
      <c r="AD43" s="72" t="s">
        <v>257</v>
      </c>
      <c r="AE43" s="63">
        <v>2</v>
      </c>
      <c r="AF43" s="72">
        <v>45474</v>
      </c>
      <c r="AG43" s="72">
        <v>45441</v>
      </c>
      <c r="AH43" s="72">
        <v>45456</v>
      </c>
      <c r="AI43" s="61"/>
      <c r="AJ43" s="61"/>
      <c r="AK43" s="62"/>
      <c r="AL43" s="62"/>
      <c r="AM43" s="62"/>
      <c r="AN43" s="64"/>
      <c r="AO43" s="61" t="s">
        <v>246</v>
      </c>
      <c r="AP43" s="61"/>
      <c r="AQ43" s="61" t="s">
        <v>248</v>
      </c>
      <c r="AR43" s="65">
        <v>45469</v>
      </c>
      <c r="AS43" s="72">
        <v>45474</v>
      </c>
      <c r="AT43" s="72">
        <v>45475</v>
      </c>
      <c r="AU43" s="61">
        <v>2460599</v>
      </c>
      <c r="AV43" s="61"/>
      <c r="AW43" s="61"/>
      <c r="AX43" s="62"/>
      <c r="AY43" s="62"/>
      <c r="AZ43" s="62"/>
      <c r="BA43" s="61"/>
      <c r="BB43" s="61"/>
      <c r="BC43" s="61"/>
      <c r="BD43" s="65">
        <f>AR43+60</f>
        <v>45529</v>
      </c>
      <c r="BE43" s="72">
        <v>45524</v>
      </c>
      <c r="BF43" s="62" t="s">
        <v>272</v>
      </c>
      <c r="BG43" s="61">
        <v>0</v>
      </c>
      <c r="BH43" s="65">
        <f>BD43+35</f>
        <v>45564</v>
      </c>
      <c r="BI43" s="72">
        <v>45567</v>
      </c>
      <c r="BJ43" s="62" t="s">
        <v>272</v>
      </c>
      <c r="BK43" s="61">
        <v>2025</v>
      </c>
      <c r="BL43" s="62"/>
      <c r="BM43" s="62"/>
      <c r="BN43" s="62"/>
      <c r="BO43" s="61"/>
      <c r="BP43" s="65">
        <f>BH43+360</f>
        <v>45924</v>
      </c>
      <c r="BQ43" s="67" t="s">
        <v>292</v>
      </c>
      <c r="BR43" s="62"/>
      <c r="BS43" s="61"/>
      <c r="BT43" s="65">
        <f>BP43</f>
        <v>45924</v>
      </c>
      <c r="BU43" s="65" t="s">
        <v>292</v>
      </c>
      <c r="BV43" s="65">
        <v>45567</v>
      </c>
      <c r="BW43" s="147" t="s">
        <v>272</v>
      </c>
      <c r="BX43" s="65">
        <f t="shared" si="68"/>
        <v>47392</v>
      </c>
      <c r="BY43" s="61" t="s">
        <v>273</v>
      </c>
      <c r="BZ43" s="61" t="s">
        <v>385</v>
      </c>
      <c r="CA43" s="61"/>
      <c r="CB43" s="72">
        <v>45568</v>
      </c>
      <c r="CC43" s="61"/>
      <c r="CD43" s="121" t="s">
        <v>536</v>
      </c>
      <c r="CE43" s="122" t="s">
        <v>361</v>
      </c>
      <c r="CF43" s="62" t="s">
        <v>261</v>
      </c>
      <c r="CG43" s="62" t="s">
        <v>349</v>
      </c>
      <c r="CH43" s="61"/>
      <c r="CI43" s="62"/>
      <c r="CJ43" s="62"/>
      <c r="CK43" s="61"/>
      <c r="CL43" s="69"/>
      <c r="CM43" s="61"/>
      <c r="CN43" s="61"/>
      <c r="CO43" s="61"/>
      <c r="CP43" s="61"/>
      <c r="CQ43" s="64"/>
      <c r="CR43" s="60"/>
      <c r="CS43" s="70"/>
      <c r="CT43" s="82" t="s">
        <v>275</v>
      </c>
      <c r="CU43" s="82" t="s">
        <v>275</v>
      </c>
      <c r="CV43" s="61" t="s">
        <v>269</v>
      </c>
      <c r="CW43" s="61" t="s">
        <v>269</v>
      </c>
      <c r="CX43" s="61" t="s">
        <v>269</v>
      </c>
      <c r="CY43" s="61" t="s">
        <v>269</v>
      </c>
      <c r="CZ43" s="61" t="s">
        <v>269</v>
      </c>
      <c r="DA43" s="61" t="s">
        <v>269</v>
      </c>
      <c r="DB43" s="61" t="s">
        <v>269</v>
      </c>
      <c r="DC43" s="61" t="s">
        <v>269</v>
      </c>
      <c r="DD43" s="61" t="s">
        <v>269</v>
      </c>
      <c r="DE43" s="61" t="s">
        <v>269</v>
      </c>
      <c r="DF43" s="61" t="s">
        <v>269</v>
      </c>
      <c r="DG43" s="64" t="s">
        <v>269</v>
      </c>
      <c r="DH43" s="60"/>
      <c r="DI43" s="72">
        <v>45572</v>
      </c>
      <c r="DJ43" s="72">
        <v>45574</v>
      </c>
      <c r="DK43" s="62" t="s">
        <v>276</v>
      </c>
      <c r="DL43" s="62" t="s">
        <v>276</v>
      </c>
      <c r="DM43" s="62" t="s">
        <v>276</v>
      </c>
      <c r="DN43" s="62" t="s">
        <v>276</v>
      </c>
      <c r="DO43" s="62" t="s">
        <v>276</v>
      </c>
      <c r="DP43" s="62" t="s">
        <v>276</v>
      </c>
      <c r="DQ43" s="62" t="s">
        <v>276</v>
      </c>
      <c r="DR43" s="62" t="s">
        <v>276</v>
      </c>
      <c r="DS43" s="62" t="s">
        <v>276</v>
      </c>
      <c r="DT43" s="62" t="s">
        <v>276</v>
      </c>
      <c r="DU43" s="62" t="s">
        <v>276</v>
      </c>
      <c r="DV43" s="62" t="s">
        <v>276</v>
      </c>
      <c r="DW43" s="62" t="s">
        <v>276</v>
      </c>
      <c r="DX43" s="62" t="s">
        <v>276</v>
      </c>
      <c r="DY43" s="62" t="s">
        <v>276</v>
      </c>
      <c r="DZ43" s="62" t="s">
        <v>276</v>
      </c>
      <c r="EA43" s="62" t="s">
        <v>276</v>
      </c>
      <c r="EB43" s="62" t="s">
        <v>276</v>
      </c>
      <c r="EC43" s="62" t="s">
        <v>276</v>
      </c>
      <c r="ED43" s="62" t="s">
        <v>276</v>
      </c>
      <c r="EE43" s="62" t="s">
        <v>276</v>
      </c>
      <c r="EF43" s="62" t="s">
        <v>276</v>
      </c>
      <c r="EG43" s="62" t="s">
        <v>276</v>
      </c>
      <c r="EH43" s="60"/>
      <c r="EI43" s="72">
        <v>45572</v>
      </c>
      <c r="EJ43" s="72">
        <v>45574</v>
      </c>
      <c r="EK43" s="123">
        <v>1</v>
      </c>
      <c r="EL43" s="70"/>
      <c r="EM43" s="71"/>
      <c r="EN43" s="133">
        <f t="shared" si="69"/>
        <v>2</v>
      </c>
      <c r="EO43" s="61">
        <f t="shared" si="70"/>
        <v>1</v>
      </c>
      <c r="EP43" s="62"/>
      <c r="EQ43" s="62">
        <v>45517</v>
      </c>
      <c r="ER43" s="73"/>
      <c r="ES43" s="62"/>
      <c r="ET43" s="62"/>
      <c r="EU43" s="62"/>
      <c r="EV43" s="62"/>
      <c r="EW43" s="62"/>
      <c r="EX43" s="62"/>
      <c r="EY43" s="61">
        <f t="shared" si="71"/>
        <v>1</v>
      </c>
      <c r="EZ43" s="61"/>
      <c r="FA43" s="61"/>
      <c r="FB43" s="74"/>
      <c r="FC43" s="61"/>
      <c r="FD43" s="62">
        <v>46023</v>
      </c>
      <c r="FE43" s="61"/>
      <c r="FF43" s="68" t="str">
        <f t="shared" si="72"/>
        <v>FP &amp; Demand</v>
      </c>
      <c r="FG43" s="76">
        <f t="shared" si="73"/>
        <v>46023</v>
      </c>
      <c r="FH43" s="65">
        <v>45559</v>
      </c>
      <c r="FI43" s="76"/>
      <c r="FJ43" s="72">
        <f>FH43+7</f>
        <v>45566</v>
      </c>
      <c r="FK43" s="72">
        <v>45525</v>
      </c>
      <c r="FL43" s="61" t="s">
        <v>299</v>
      </c>
      <c r="FM43" s="61"/>
      <c r="FN43" s="61" t="s">
        <v>351</v>
      </c>
      <c r="FO43" s="60"/>
      <c r="FP43" s="64" t="s">
        <v>365</v>
      </c>
      <c r="FQ43" s="64"/>
      <c r="FR43" s="61" t="s">
        <v>423</v>
      </c>
      <c r="FS43" s="83" t="s">
        <v>257</v>
      </c>
      <c r="FT43" s="145" t="s">
        <v>568</v>
      </c>
      <c r="FU43" s="72">
        <v>45538</v>
      </c>
      <c r="FV43" s="60"/>
      <c r="FW43" s="97" t="s">
        <v>269</v>
      </c>
      <c r="FX43" s="61"/>
      <c r="FY43" s="61"/>
      <c r="FZ43" s="61"/>
      <c r="GA43" s="61"/>
      <c r="GB43" s="61"/>
      <c r="GC43" s="61"/>
      <c r="GD43" s="61"/>
      <c r="GE43" s="61"/>
      <c r="GF43" s="61"/>
      <c r="GG43" s="61"/>
      <c r="GH43" s="61"/>
      <c r="GI43" s="60"/>
      <c r="GJ43" s="62" t="s">
        <v>269</v>
      </c>
      <c r="GK43" s="62" t="s">
        <v>243</v>
      </c>
      <c r="GL43" s="62" t="s">
        <v>243</v>
      </c>
      <c r="GM43" s="62" t="s">
        <v>243</v>
      </c>
      <c r="GN43" s="63" t="s">
        <v>243</v>
      </c>
      <c r="GO43" s="63" t="s">
        <v>243</v>
      </c>
      <c r="GP43" s="62" t="s">
        <v>243</v>
      </c>
      <c r="GQ43" s="62"/>
      <c r="GR43" s="62"/>
      <c r="GS43" s="62"/>
      <c r="GT43" s="62"/>
      <c r="GU43" s="62"/>
      <c r="GV43" s="78"/>
      <c r="GW43" s="62"/>
      <c r="GX43" s="62"/>
      <c r="GY43" s="62"/>
      <c r="GZ43" s="62"/>
      <c r="HA43" s="65"/>
      <c r="HB43" s="62" t="s">
        <v>243</v>
      </c>
      <c r="HC43" s="62" t="s">
        <v>243</v>
      </c>
      <c r="HD43" s="62" t="s">
        <v>243</v>
      </c>
      <c r="HE43" s="65"/>
      <c r="HF43" s="62" t="s">
        <v>243</v>
      </c>
      <c r="HG43" s="65">
        <f>FJ43+10</f>
        <v>45576</v>
      </c>
      <c r="HH43" s="83">
        <v>45532</v>
      </c>
      <c r="HI43" s="61" t="s">
        <v>303</v>
      </c>
      <c r="HJ43" s="62" t="s">
        <v>243</v>
      </c>
      <c r="HK43" s="62" t="s">
        <v>243</v>
      </c>
      <c r="HL43" s="72">
        <v>45539</v>
      </c>
      <c r="HM43" s="65">
        <v>45565</v>
      </c>
      <c r="HN43" s="63">
        <v>1</v>
      </c>
      <c r="HO43" s="72">
        <v>45558</v>
      </c>
      <c r="HP43" s="83" t="s">
        <v>581</v>
      </c>
      <c r="HQ43" s="60"/>
      <c r="HR43" s="63">
        <v>1</v>
      </c>
      <c r="HS43" s="72">
        <v>45546</v>
      </c>
      <c r="HT43" s="63">
        <v>1</v>
      </c>
      <c r="HU43" s="72">
        <v>45546</v>
      </c>
      <c r="HV43" s="62" t="s">
        <v>276</v>
      </c>
      <c r="HW43" s="62">
        <v>45565</v>
      </c>
      <c r="HX43" s="79"/>
      <c r="HY43" s="72">
        <v>45614</v>
      </c>
      <c r="HZ43" s="79">
        <v>2</v>
      </c>
      <c r="IA43" s="60"/>
      <c r="IB43" s="65">
        <f t="shared" si="77"/>
        <v>45575</v>
      </c>
      <c r="IC43" s="72">
        <v>45615</v>
      </c>
      <c r="ID43" s="61">
        <v>2</v>
      </c>
      <c r="IE43" s="61"/>
      <c r="IF43" s="61"/>
      <c r="IG43" s="61"/>
      <c r="IH43" s="61"/>
      <c r="II43" s="61"/>
      <c r="IJ43" s="61"/>
      <c r="IK43" s="61"/>
      <c r="IL43" s="62"/>
      <c r="IM43" s="62"/>
      <c r="IN43" s="72">
        <f t="shared" si="74"/>
        <v>45574</v>
      </c>
      <c r="IO43" s="60"/>
      <c r="IP43" s="65">
        <f t="shared" si="78"/>
        <v>45605</v>
      </c>
      <c r="IQ43" s="72">
        <f t="shared" si="75"/>
        <v>45637</v>
      </c>
      <c r="IR43" s="62"/>
      <c r="IS43" s="62"/>
      <c r="IT43" s="62"/>
      <c r="IU43" s="62"/>
      <c r="IV43" s="83">
        <v>45637</v>
      </c>
      <c r="IW43" s="152">
        <v>45646</v>
      </c>
      <c r="IX43" s="62"/>
      <c r="IY43" s="62"/>
      <c r="IZ43" s="83">
        <v>45637</v>
      </c>
      <c r="JA43" s="152">
        <v>45646</v>
      </c>
      <c r="JB43" s="117">
        <v>45679</v>
      </c>
      <c r="JC43" s="62">
        <v>45680</v>
      </c>
      <c r="JD43" s="62">
        <v>45680</v>
      </c>
      <c r="JE43" s="62">
        <v>45680</v>
      </c>
      <c r="JF43" s="62">
        <v>45680</v>
      </c>
      <c r="JG43" s="62">
        <v>45681</v>
      </c>
      <c r="JH43" s="65">
        <v>45681</v>
      </c>
      <c r="JI43" s="67" t="str">
        <f t="shared" si="76"/>
        <v>Q1-2025</v>
      </c>
      <c r="JJ43" s="62"/>
      <c r="JK43" s="60"/>
      <c r="JL43" s="61"/>
      <c r="JM43" s="64"/>
      <c r="JN43" s="62"/>
      <c r="JO43" s="62"/>
      <c r="JP43" s="78"/>
      <c r="JQ43" s="61"/>
      <c r="JR43" s="60"/>
      <c r="JS43" s="62"/>
      <c r="JT43" s="62"/>
      <c r="JU43" s="62"/>
      <c r="JV43" s="62"/>
      <c r="JW43" s="62"/>
      <c r="JX43" s="62"/>
      <c r="JY43" s="60"/>
      <c r="JZ43" s="61"/>
      <c r="KA43" s="61"/>
      <c r="KB43" s="61"/>
      <c r="KC43" s="61"/>
      <c r="KD43" s="61"/>
      <c r="KE43" s="61"/>
      <c r="KF43" s="60"/>
      <c r="KG43" s="86"/>
      <c r="KH43" s="60"/>
      <c r="KI43" s="81" t="str">
        <f t="shared" si="29"/>
        <v>TCNxxxx</v>
      </c>
      <c r="KJ43" s="61" t="str">
        <f t="shared" si="30"/>
        <v>Live</v>
      </c>
      <c r="KK43" s="61" t="str">
        <f t="shared" si="31"/>
        <v>TCNxxxx</v>
      </c>
      <c r="KL43" s="62">
        <f t="shared" si="32"/>
        <v>45681</v>
      </c>
      <c r="KM43" s="62" t="str">
        <f t="shared" si="33"/>
        <v/>
      </c>
      <c r="KN43" s="61" t="str">
        <f t="shared" si="34"/>
        <v>Lattice</v>
      </c>
      <c r="KO43" s="61" t="str">
        <f t="shared" si="35"/>
        <v>EED</v>
      </c>
      <c r="KP43" s="131">
        <f t="shared" si="36"/>
        <v>0</v>
      </c>
      <c r="KQ43" s="131" t="str">
        <f t="shared" si="37"/>
        <v>Q1-2025</v>
      </c>
      <c r="KR43" s="61" t="str">
        <f t="shared" si="38"/>
        <v xml:space="preserve">0  Live  UTS  EED  Q1-2025  </v>
      </c>
      <c r="KS43" s="61" t="str">
        <f t="shared" si="39"/>
        <v>RFI</v>
      </c>
      <c r="KT43" s="61" t="str">
        <f t="shared" si="40"/>
        <v>Site name</v>
      </c>
      <c r="KU43" s="61" t="str">
        <f t="shared" si="41"/>
        <v>Rooftop</v>
      </c>
      <c r="KV43" s="61">
        <f t="shared" si="42"/>
        <v>23.3</v>
      </c>
      <c r="KW43" s="61" t="str">
        <f t="shared" si="43"/>
        <v>Lattice</v>
      </c>
      <c r="KX43" s="61">
        <f t="shared" si="44"/>
        <v>30</v>
      </c>
      <c r="KY43" s="60"/>
      <c r="KZ43" s="60"/>
      <c r="LA43" s="62"/>
      <c r="LB43" s="61"/>
      <c r="LC43" s="62"/>
      <c r="LD43" s="61"/>
      <c r="LE43" s="68" t="str">
        <f t="shared" si="45"/>
        <v>-</v>
      </c>
      <c r="LF43" s="150" t="str">
        <f t="shared" si="46"/>
        <v>-</v>
      </c>
      <c r="LG43" s="60"/>
      <c r="LH43" s="60"/>
      <c r="LI43" s="68">
        <f t="shared" si="47"/>
        <v>50</v>
      </c>
      <c r="LJ43" s="150">
        <f t="shared" si="48"/>
        <v>1.6666666666666667</v>
      </c>
      <c r="LK43" s="60"/>
      <c r="LL43" s="68">
        <f t="shared" si="49"/>
        <v>93</v>
      </c>
      <c r="LM43" s="150">
        <f t="shared" si="50"/>
        <v>3.1</v>
      </c>
      <c r="LN43" s="60"/>
      <c r="LO43" s="98" t="str">
        <f t="shared" si="51"/>
        <v>-</v>
      </c>
      <c r="LP43" s="68" t="str">
        <f t="shared" si="52"/>
        <v>-</v>
      </c>
      <c r="LQ43" s="150" t="str">
        <f t="shared" si="53"/>
        <v>-</v>
      </c>
      <c r="LR43" s="60"/>
      <c r="LS43" s="98" t="str">
        <f t="shared" si="54"/>
        <v>-</v>
      </c>
      <c r="LT43" s="60"/>
      <c r="LU43" s="60"/>
      <c r="LV43" s="60"/>
      <c r="LW43" s="60"/>
      <c r="LX43" s="60"/>
      <c r="LY43" s="60"/>
      <c r="LZ43" s="60"/>
      <c r="MA43" s="60"/>
      <c r="MB43" s="60"/>
      <c r="MC43" s="60"/>
      <c r="MD43" s="60"/>
      <c r="ME43" s="60"/>
      <c r="MF43" s="60"/>
      <c r="MG43" s="60"/>
      <c r="MH43" s="60"/>
      <c r="MI43" s="60"/>
      <c r="MJ43" s="60"/>
      <c r="MK43" s="60"/>
      <c r="ML43" s="60"/>
      <c r="MM43" s="60"/>
      <c r="MN43" s="60"/>
      <c r="MO43" s="60"/>
    </row>
    <row r="44" spans="2:353" ht="21" customHeight="1" x14ac:dyDescent="0.25">
      <c r="B44" s="84" t="s">
        <v>645</v>
      </c>
      <c r="C44" s="58" t="s">
        <v>633</v>
      </c>
      <c r="D44" s="159" t="s">
        <v>446</v>
      </c>
      <c r="E44" s="159" t="s">
        <v>253</v>
      </c>
      <c r="F44" s="159" t="s">
        <v>464</v>
      </c>
      <c r="G44" s="159"/>
      <c r="H44" s="59"/>
      <c r="I44" s="159" t="s">
        <v>636</v>
      </c>
      <c r="J44" s="159" t="s">
        <v>636</v>
      </c>
      <c r="K44" s="159" t="s">
        <v>636</v>
      </c>
      <c r="L44" s="159" t="s">
        <v>637</v>
      </c>
      <c r="M44" s="159" t="s">
        <v>278</v>
      </c>
      <c r="N44" s="159">
        <v>12</v>
      </c>
      <c r="O44" s="159" t="s">
        <v>240</v>
      </c>
      <c r="P44" s="159">
        <v>18</v>
      </c>
      <c r="Q44" s="159"/>
      <c r="R44" s="160"/>
      <c r="S44" s="159" t="s">
        <v>630</v>
      </c>
      <c r="T44" s="159"/>
      <c r="U44" s="61" t="s">
        <v>360</v>
      </c>
      <c r="V44" s="61">
        <v>3</v>
      </c>
      <c r="W44" s="65"/>
      <c r="X44" s="72" t="s">
        <v>257</v>
      </c>
      <c r="Y44" s="61" t="s">
        <v>295</v>
      </c>
      <c r="Z44" s="61" t="s">
        <v>270</v>
      </c>
      <c r="AA44" s="61" t="s">
        <v>243</v>
      </c>
      <c r="AB44" s="72">
        <v>43802</v>
      </c>
      <c r="AC44" s="72">
        <v>43809</v>
      </c>
      <c r="AD44" s="72"/>
      <c r="AE44" s="63"/>
      <c r="AF44" s="72">
        <v>44008</v>
      </c>
      <c r="AG44" s="72"/>
      <c r="AH44" s="72"/>
      <c r="AI44" s="61"/>
      <c r="AJ44" s="61"/>
      <c r="AK44" s="62"/>
      <c r="AL44" s="62"/>
      <c r="AM44" s="62"/>
      <c r="AN44" s="64"/>
      <c r="AO44" s="61" t="s">
        <v>271</v>
      </c>
      <c r="AP44" s="61" t="s">
        <v>247</v>
      </c>
      <c r="AQ44" s="61"/>
      <c r="AR44" s="65">
        <v>44036</v>
      </c>
      <c r="AS44" s="72">
        <v>44036</v>
      </c>
      <c r="AT44" s="72" t="s">
        <v>257</v>
      </c>
      <c r="AU44" s="61">
        <v>20853</v>
      </c>
      <c r="AV44" s="61"/>
      <c r="AW44" s="61"/>
      <c r="AX44" s="72">
        <v>44095</v>
      </c>
      <c r="AY44" s="62">
        <v>44275</v>
      </c>
      <c r="AZ44" s="72">
        <v>44274</v>
      </c>
      <c r="BA44" s="61"/>
      <c r="BB44" s="61"/>
      <c r="BC44" s="61"/>
      <c r="BD44" s="65">
        <v>44312</v>
      </c>
      <c r="BE44" s="140">
        <v>44293</v>
      </c>
      <c r="BF44" s="62" t="s">
        <v>307</v>
      </c>
      <c r="BG44" s="61"/>
      <c r="BH44" s="65">
        <v>44347</v>
      </c>
      <c r="BI44" s="72"/>
      <c r="BJ44" s="62" t="s">
        <v>344</v>
      </c>
      <c r="BK44" s="61">
        <v>2021</v>
      </c>
      <c r="BL44" s="62">
        <v>44320</v>
      </c>
      <c r="BM44" s="72">
        <v>44320</v>
      </c>
      <c r="BN44" s="62"/>
      <c r="BO44" s="61"/>
      <c r="BP44" s="65">
        <v>44453</v>
      </c>
      <c r="BQ44" s="67"/>
      <c r="BR44" s="72">
        <v>44377</v>
      </c>
      <c r="BS44" s="61" t="s">
        <v>272</v>
      </c>
      <c r="BT44" s="65">
        <v>44377</v>
      </c>
      <c r="BU44" s="65" t="s">
        <v>249</v>
      </c>
      <c r="BV44" s="65">
        <v>44377</v>
      </c>
      <c r="BW44" s="147" t="s">
        <v>272</v>
      </c>
      <c r="BX44" s="65">
        <f t="shared" si="68"/>
        <v>46202</v>
      </c>
      <c r="BY44" s="61" t="s">
        <v>273</v>
      </c>
      <c r="BZ44" s="61" t="s">
        <v>434</v>
      </c>
      <c r="CA44" s="61"/>
      <c r="CB44" s="72" t="s">
        <v>257</v>
      </c>
      <c r="CC44" s="61"/>
      <c r="CD44" s="68" t="s">
        <v>536</v>
      </c>
      <c r="CE44" s="60" t="s">
        <v>274</v>
      </c>
      <c r="CF44" s="61"/>
      <c r="CG44" s="61"/>
      <c r="CH44" s="61"/>
      <c r="CI44" s="62"/>
      <c r="CJ44" s="62"/>
      <c r="CK44" s="61" t="s">
        <v>324</v>
      </c>
      <c r="CL44" s="69">
        <v>44287</v>
      </c>
      <c r="CM44" s="61"/>
      <c r="CN44" s="61"/>
      <c r="CO44" s="61"/>
      <c r="CP44" s="61"/>
      <c r="CQ44" s="64" t="s">
        <v>603</v>
      </c>
      <c r="CR44" s="60"/>
      <c r="CS44" s="70" t="s">
        <v>597</v>
      </c>
      <c r="CT44" s="61" t="s">
        <v>269</v>
      </c>
      <c r="CU44" s="61" t="s">
        <v>269</v>
      </c>
      <c r="CV44" s="82" t="s">
        <v>275</v>
      </c>
      <c r="CW44" s="82" t="s">
        <v>275</v>
      </c>
      <c r="CX44" s="61" t="s">
        <v>269</v>
      </c>
      <c r="CY44" s="61" t="s">
        <v>269</v>
      </c>
      <c r="CZ44" s="61" t="s">
        <v>269</v>
      </c>
      <c r="DA44" s="61"/>
      <c r="DB44" s="61"/>
      <c r="DC44" s="61"/>
      <c r="DD44" s="61"/>
      <c r="DE44" s="61"/>
      <c r="DF44" s="61" t="s">
        <v>269</v>
      </c>
      <c r="DG44" s="64" t="s">
        <v>269</v>
      </c>
      <c r="DH44" s="60"/>
      <c r="DI44" s="61" t="s">
        <v>276</v>
      </c>
      <c r="DJ44" s="61" t="s">
        <v>276</v>
      </c>
      <c r="DK44" s="72"/>
      <c r="DL44" s="72"/>
      <c r="DM44" s="72"/>
      <c r="DN44" s="72"/>
      <c r="DO44" s="62"/>
      <c r="DP44" s="62"/>
      <c r="DQ44" s="62"/>
      <c r="DR44" s="62"/>
      <c r="DS44" s="62"/>
      <c r="DT44" s="62"/>
      <c r="DU44" s="62"/>
      <c r="DV44" s="62"/>
      <c r="DW44" s="62"/>
      <c r="DX44" s="62"/>
      <c r="DY44" s="62"/>
      <c r="DZ44" s="62"/>
      <c r="EA44" s="62"/>
      <c r="EB44" s="62"/>
      <c r="EC44" s="62"/>
      <c r="ED44" s="62"/>
      <c r="EE44" s="62"/>
      <c r="EF44" s="62"/>
      <c r="EG44" s="62"/>
      <c r="EH44" s="60"/>
      <c r="EI44" s="83">
        <v>44540</v>
      </c>
      <c r="EJ44" s="83">
        <v>44547</v>
      </c>
      <c r="EK44" s="123">
        <v>2</v>
      </c>
      <c r="EL44" s="70"/>
      <c r="EM44" s="71"/>
      <c r="EN44" s="133">
        <f t="shared" si="69"/>
        <v>2</v>
      </c>
      <c r="EO44" s="61">
        <f t="shared" si="70"/>
        <v>2</v>
      </c>
      <c r="EP44" s="72">
        <v>44785</v>
      </c>
      <c r="EQ44" s="62"/>
      <c r="ER44" s="72">
        <v>44785</v>
      </c>
      <c r="ES44" s="62">
        <v>44601</v>
      </c>
      <c r="ET44" s="62"/>
      <c r="EU44" s="62"/>
      <c r="EV44" s="62"/>
      <c r="EW44" s="62"/>
      <c r="EX44" s="62"/>
      <c r="EY44" s="61">
        <f t="shared" si="71"/>
        <v>0</v>
      </c>
      <c r="EZ44" s="61"/>
      <c r="FA44" s="61"/>
      <c r="FB44" s="74"/>
      <c r="FC44" s="62"/>
      <c r="FD44" s="61"/>
      <c r="FE44" s="61"/>
      <c r="FF44" s="68" t="str">
        <f t="shared" si="72"/>
        <v>FP &amp; Demand</v>
      </c>
      <c r="FG44" s="76" t="str">
        <f t="shared" si="73"/>
        <v>-</v>
      </c>
      <c r="FH44" s="65">
        <f t="shared" ref="FH44:FH50" si="79">BT44</f>
        <v>44377</v>
      </c>
      <c r="FI44" s="76"/>
      <c r="FJ44" s="62">
        <f>FH44+7</f>
        <v>44384</v>
      </c>
      <c r="FK44" s="62">
        <v>44473</v>
      </c>
      <c r="FL44" s="61" t="s">
        <v>299</v>
      </c>
      <c r="FM44" s="61"/>
      <c r="FN44" s="61"/>
      <c r="FO44" s="60"/>
      <c r="FP44" s="124"/>
      <c r="FQ44" s="124"/>
      <c r="FR44" s="61"/>
      <c r="FS44" s="77" t="s">
        <v>257</v>
      </c>
      <c r="FT44" s="61"/>
      <c r="FU44" s="61"/>
      <c r="FV44" s="60"/>
      <c r="FW44" s="61"/>
      <c r="FX44" s="61"/>
      <c r="FY44" s="61"/>
      <c r="FZ44" s="61"/>
      <c r="GA44" s="61"/>
      <c r="GB44" s="61"/>
      <c r="GC44" s="61"/>
      <c r="GD44" s="61"/>
      <c r="GE44" s="61"/>
      <c r="GF44" s="61"/>
      <c r="GG44" s="61"/>
      <c r="GH44" s="61"/>
      <c r="GI44" s="60"/>
      <c r="GJ44" s="62"/>
      <c r="GK44" s="62"/>
      <c r="GL44" s="62"/>
      <c r="GM44" s="62"/>
      <c r="GN44" s="63"/>
      <c r="GO44" s="63"/>
      <c r="GP44" s="62"/>
      <c r="GQ44" s="62"/>
      <c r="GR44" s="62"/>
      <c r="GS44" s="62"/>
      <c r="GT44" s="62"/>
      <c r="GU44" s="62"/>
      <c r="GV44" s="78"/>
      <c r="GW44" s="62"/>
      <c r="GX44" s="62"/>
      <c r="GY44" s="62"/>
      <c r="GZ44" s="62"/>
      <c r="HA44" s="67"/>
      <c r="HB44" s="62"/>
      <c r="HC44" s="82" t="s">
        <v>257</v>
      </c>
      <c r="HD44" s="62"/>
      <c r="HE44" s="65"/>
      <c r="HF44" s="62"/>
      <c r="HG44" s="65">
        <f>FJ44+10</f>
        <v>44394</v>
      </c>
      <c r="HH44" s="62"/>
      <c r="HI44" s="61"/>
      <c r="HJ44" s="62"/>
      <c r="HK44" s="62"/>
      <c r="HL44" s="62"/>
      <c r="HM44" s="65">
        <f>IF(GW44="Yes",HE44,HG44+50)</f>
        <v>44444</v>
      </c>
      <c r="HN44" s="63"/>
      <c r="HO44" s="62"/>
      <c r="HP44" s="78"/>
      <c r="HQ44" s="60"/>
      <c r="HR44" s="63"/>
      <c r="HS44" s="62"/>
      <c r="HT44" s="63"/>
      <c r="HU44" s="62"/>
      <c r="HV44" s="62"/>
      <c r="HW44" s="62"/>
      <c r="HX44" s="79"/>
      <c r="HY44" s="62"/>
      <c r="HZ44" s="79"/>
      <c r="IA44" s="60"/>
      <c r="IB44" s="65">
        <f t="shared" si="77"/>
        <v>44454</v>
      </c>
      <c r="IC44" s="62"/>
      <c r="ID44" s="61"/>
      <c r="IE44" s="61"/>
      <c r="IF44" s="61"/>
      <c r="IG44" s="61"/>
      <c r="IH44" s="61"/>
      <c r="II44" s="61"/>
      <c r="IJ44" s="61"/>
      <c r="IK44" s="61"/>
      <c r="IL44" s="62"/>
      <c r="IM44" s="62"/>
      <c r="IN44" s="72">
        <f t="shared" si="74"/>
        <v>44547</v>
      </c>
      <c r="IO44" s="60"/>
      <c r="IP44" s="65">
        <f t="shared" si="78"/>
        <v>44484</v>
      </c>
      <c r="IQ44" s="62">
        <f t="shared" si="75"/>
        <v>0</v>
      </c>
      <c r="IR44" s="62"/>
      <c r="IS44" s="62"/>
      <c r="IT44" s="62"/>
      <c r="IU44" s="62"/>
      <c r="IV44" s="62"/>
      <c r="IW44" s="62"/>
      <c r="IX44" s="62"/>
      <c r="IY44" s="83" t="s">
        <v>257</v>
      </c>
      <c r="IZ44" s="62"/>
      <c r="JA44" s="62"/>
      <c r="JB44" s="62"/>
      <c r="JC44" s="62"/>
      <c r="JD44" s="62"/>
      <c r="JE44" s="62"/>
      <c r="JF44" s="62"/>
      <c r="JG44" s="62"/>
      <c r="JH44" s="65">
        <v>44785</v>
      </c>
      <c r="JI44" s="67" t="str">
        <f t="shared" si="76"/>
        <v>Q3-2022</v>
      </c>
      <c r="JJ44" s="80">
        <v>44785</v>
      </c>
      <c r="JK44" s="60"/>
      <c r="JL44" s="61"/>
      <c r="JM44" s="64" t="s">
        <v>621</v>
      </c>
      <c r="JN44" s="62"/>
      <c r="JO44" s="62" t="s">
        <v>257</v>
      </c>
      <c r="JP44" s="78" t="s">
        <v>278</v>
      </c>
      <c r="JQ44" s="72">
        <v>44785</v>
      </c>
      <c r="JR44" s="60"/>
      <c r="JS44" s="62"/>
      <c r="JT44" s="62"/>
      <c r="JU44" s="62"/>
      <c r="JV44" s="62"/>
      <c r="JW44" s="62"/>
      <c r="JX44" s="62"/>
      <c r="JY44" s="60"/>
      <c r="JZ44" s="61"/>
      <c r="KA44" s="61"/>
      <c r="KB44" s="61"/>
      <c r="KC44" s="61"/>
      <c r="KD44" s="61"/>
      <c r="KE44" s="61"/>
      <c r="KF44" s="60"/>
      <c r="KG44" s="86"/>
      <c r="KH44" s="60"/>
      <c r="KI44" s="81" t="str">
        <f t="shared" si="29"/>
        <v>TMHxxxx</v>
      </c>
      <c r="KJ44" s="61" t="str">
        <f t="shared" si="30"/>
        <v>Live</v>
      </c>
      <c r="KK44" s="61" t="str">
        <f t="shared" si="31"/>
        <v>TMHxxxx</v>
      </c>
      <c r="KL44" s="62">
        <f t="shared" si="32"/>
        <v>44785</v>
      </c>
      <c r="KM44" s="62">
        <f t="shared" si="33"/>
        <v>44785</v>
      </c>
      <c r="KN44" s="61" t="str">
        <f t="shared" si="34"/>
        <v>Monopole</v>
      </c>
      <c r="KO44" s="61" t="str">
        <f t="shared" si="35"/>
        <v>EED</v>
      </c>
      <c r="KP44" s="131">
        <f t="shared" si="36"/>
        <v>0</v>
      </c>
      <c r="KQ44" s="131" t="str">
        <f t="shared" si="37"/>
        <v>Q3-2022</v>
      </c>
      <c r="KR44" s="61" t="str">
        <f t="shared" si="38"/>
        <v xml:space="preserve">0  Live  UTS  EED  Q3-2022  </v>
      </c>
      <c r="KS44" s="61" t="str">
        <f t="shared" si="39"/>
        <v>RFI</v>
      </c>
      <c r="KT44" s="61" t="str">
        <f t="shared" si="40"/>
        <v>Site name</v>
      </c>
      <c r="KU44" s="61" t="str">
        <f t="shared" si="41"/>
        <v>Wooden Pole</v>
      </c>
      <c r="KV44" s="61">
        <f t="shared" si="42"/>
        <v>12</v>
      </c>
      <c r="KW44" s="61" t="str">
        <f t="shared" si="43"/>
        <v>Monopole</v>
      </c>
      <c r="KX44" s="61">
        <f t="shared" si="44"/>
        <v>18</v>
      </c>
      <c r="KY44" s="60"/>
      <c r="KZ44" s="60"/>
      <c r="LA44" s="62"/>
      <c r="LB44" s="61"/>
      <c r="LC44" s="62"/>
      <c r="LD44" s="61"/>
      <c r="LE44" s="68" t="str">
        <f t="shared" si="45"/>
        <v>-</v>
      </c>
      <c r="LF44" s="150" t="str">
        <f t="shared" si="46"/>
        <v>-</v>
      </c>
      <c r="LG44" s="60"/>
      <c r="LH44" s="60"/>
      <c r="LI44" s="68">
        <f t="shared" si="47"/>
        <v>257</v>
      </c>
      <c r="LJ44" s="150">
        <f t="shared" si="48"/>
        <v>8.5666666666666664</v>
      </c>
      <c r="LK44" s="60"/>
      <c r="LL44" s="68">
        <f t="shared" si="49"/>
        <v>341</v>
      </c>
      <c r="LM44" s="150">
        <f t="shared" si="50"/>
        <v>11.366666666666667</v>
      </c>
      <c r="LN44" s="60"/>
      <c r="LO44" s="98">
        <f t="shared" si="51"/>
        <v>44320</v>
      </c>
      <c r="LP44" s="68">
        <f t="shared" si="52"/>
        <v>57</v>
      </c>
      <c r="LQ44" s="150">
        <f t="shared" si="53"/>
        <v>1.9</v>
      </c>
      <c r="LR44" s="60"/>
      <c r="LS44" s="98">
        <f t="shared" si="54"/>
        <v>44377</v>
      </c>
      <c r="LT44" s="60"/>
      <c r="LU44" s="60"/>
      <c r="LV44" s="60"/>
      <c r="LW44" s="60"/>
      <c r="LX44" s="60"/>
      <c r="LY44" s="60"/>
      <c r="LZ44" s="60"/>
      <c r="MA44" s="60"/>
      <c r="MB44" s="60"/>
      <c r="MC44" s="60"/>
      <c r="MD44" s="60"/>
      <c r="ME44" s="60"/>
      <c r="MF44" s="60"/>
      <c r="MG44" s="60"/>
      <c r="MH44" s="60"/>
      <c r="MI44" s="60"/>
      <c r="MJ44" s="60"/>
      <c r="MK44" s="60"/>
      <c r="ML44" s="60"/>
      <c r="MM44" s="60"/>
      <c r="MN44" s="60"/>
      <c r="MO44" s="60"/>
    </row>
    <row r="45" spans="2:353" ht="21" customHeight="1" x14ac:dyDescent="0.25">
      <c r="B45" s="84" t="s">
        <v>646</v>
      </c>
      <c r="C45" s="58" t="s">
        <v>633</v>
      </c>
      <c r="D45" s="159" t="s">
        <v>375</v>
      </c>
      <c r="E45" s="159" t="s">
        <v>253</v>
      </c>
      <c r="F45" s="159" t="s">
        <v>481</v>
      </c>
      <c r="G45" s="159"/>
      <c r="H45" s="59"/>
      <c r="I45" s="159" t="s">
        <v>636</v>
      </c>
      <c r="J45" s="159" t="s">
        <v>636</v>
      </c>
      <c r="K45" s="159" t="s">
        <v>636</v>
      </c>
      <c r="L45" s="159" t="s">
        <v>637</v>
      </c>
      <c r="M45" s="159" t="s">
        <v>254</v>
      </c>
      <c r="N45" s="159">
        <v>12</v>
      </c>
      <c r="O45" s="159" t="s">
        <v>240</v>
      </c>
      <c r="P45" s="159">
        <v>15</v>
      </c>
      <c r="Q45" s="159" t="s">
        <v>240</v>
      </c>
      <c r="R45" s="160">
        <v>16</v>
      </c>
      <c r="S45" s="159"/>
      <c r="T45" s="159"/>
      <c r="U45" s="61" t="s">
        <v>376</v>
      </c>
      <c r="V45" s="61">
        <v>1</v>
      </c>
      <c r="W45" s="65"/>
      <c r="X45" s="72">
        <v>44685</v>
      </c>
      <c r="Y45" s="61" t="s">
        <v>305</v>
      </c>
      <c r="Z45" s="61" t="s">
        <v>242</v>
      </c>
      <c r="AA45" s="61" t="s">
        <v>243</v>
      </c>
      <c r="AB45" s="72">
        <v>44685</v>
      </c>
      <c r="AC45" s="72">
        <v>44805</v>
      </c>
      <c r="AD45" s="72" t="s">
        <v>257</v>
      </c>
      <c r="AE45" s="63"/>
      <c r="AF45" s="72">
        <v>44820</v>
      </c>
      <c r="AG45" s="62"/>
      <c r="AH45" s="62"/>
      <c r="AI45" s="61" t="s">
        <v>243</v>
      </c>
      <c r="AJ45" s="61" t="s">
        <v>243</v>
      </c>
      <c r="AK45" s="62" t="s">
        <v>243</v>
      </c>
      <c r="AL45" s="62" t="s">
        <v>243</v>
      </c>
      <c r="AM45" s="62" t="s">
        <v>243</v>
      </c>
      <c r="AN45" s="64"/>
      <c r="AO45" s="61" t="s">
        <v>296</v>
      </c>
      <c r="AP45" s="61" t="s">
        <v>247</v>
      </c>
      <c r="AQ45" s="61" t="s">
        <v>248</v>
      </c>
      <c r="AR45" s="65">
        <v>44820</v>
      </c>
      <c r="AS45" s="72">
        <v>44820</v>
      </c>
      <c r="AT45" s="72" t="s">
        <v>257</v>
      </c>
      <c r="AU45" s="61">
        <v>22993</v>
      </c>
      <c r="AV45" s="62" t="s">
        <v>257</v>
      </c>
      <c r="AW45" s="61" t="s">
        <v>377</v>
      </c>
      <c r="AX45" s="62">
        <v>44945</v>
      </c>
      <c r="AY45" s="62">
        <v>45125</v>
      </c>
      <c r="AZ45" s="72">
        <v>45113</v>
      </c>
      <c r="BA45" s="61" t="s">
        <v>243</v>
      </c>
      <c r="BB45" s="61" t="s">
        <v>243</v>
      </c>
      <c r="BC45" s="61" t="s">
        <v>243</v>
      </c>
      <c r="BD45" s="65">
        <v>45158</v>
      </c>
      <c r="BE45" s="72">
        <v>45152</v>
      </c>
      <c r="BF45" s="62" t="s">
        <v>272</v>
      </c>
      <c r="BG45" s="61">
        <v>2</v>
      </c>
      <c r="BH45" s="65">
        <v>45193</v>
      </c>
      <c r="BI45" s="72">
        <v>45208</v>
      </c>
      <c r="BJ45" s="87" t="s">
        <v>272</v>
      </c>
      <c r="BK45" s="61">
        <v>2024</v>
      </c>
      <c r="BL45" s="62">
        <v>45179</v>
      </c>
      <c r="BM45" s="62"/>
      <c r="BN45" s="62"/>
      <c r="BO45" s="61"/>
      <c r="BP45" s="65">
        <v>45559</v>
      </c>
      <c r="BQ45" s="67"/>
      <c r="BR45" s="62"/>
      <c r="BS45" s="61"/>
      <c r="BT45" s="65">
        <v>45559</v>
      </c>
      <c r="BU45" s="65" t="s">
        <v>292</v>
      </c>
      <c r="BV45" s="65">
        <v>45208</v>
      </c>
      <c r="BW45" s="147" t="s">
        <v>272</v>
      </c>
      <c r="BX45" s="65">
        <f t="shared" si="68"/>
        <v>47033</v>
      </c>
      <c r="BY45" s="61" t="s">
        <v>273</v>
      </c>
      <c r="BZ45" s="61" t="s">
        <v>378</v>
      </c>
      <c r="CA45" s="61"/>
      <c r="CB45" s="72">
        <v>45365</v>
      </c>
      <c r="CC45" s="61"/>
      <c r="CD45" s="68" t="s">
        <v>536</v>
      </c>
      <c r="CE45" s="60" t="s">
        <v>361</v>
      </c>
      <c r="CF45" s="61"/>
      <c r="CG45" s="61"/>
      <c r="CH45" s="61"/>
      <c r="CI45" s="62"/>
      <c r="CJ45" s="62"/>
      <c r="CK45" s="61" t="s">
        <v>324</v>
      </c>
      <c r="CL45" s="69">
        <v>44287</v>
      </c>
      <c r="CM45" s="61"/>
      <c r="CN45" s="61"/>
      <c r="CO45" s="61"/>
      <c r="CP45" s="61"/>
      <c r="CQ45" s="64" t="s">
        <v>379</v>
      </c>
      <c r="CR45" s="60"/>
      <c r="CS45" s="70" t="s">
        <v>557</v>
      </c>
      <c r="CT45" s="61" t="s">
        <v>269</v>
      </c>
      <c r="CU45" s="61" t="s">
        <v>269</v>
      </c>
      <c r="CV45" s="82" t="s">
        <v>275</v>
      </c>
      <c r="CW45" s="61" t="s">
        <v>269</v>
      </c>
      <c r="CX45" s="61" t="s">
        <v>269</v>
      </c>
      <c r="CY45" s="61" t="s">
        <v>269</v>
      </c>
      <c r="CZ45" s="61" t="s">
        <v>269</v>
      </c>
      <c r="DA45" s="61" t="s">
        <v>269</v>
      </c>
      <c r="DB45" s="61" t="s">
        <v>269</v>
      </c>
      <c r="DC45" s="61" t="s">
        <v>269</v>
      </c>
      <c r="DD45" s="61" t="s">
        <v>269</v>
      </c>
      <c r="DE45" s="61" t="s">
        <v>269</v>
      </c>
      <c r="DF45" s="61" t="s">
        <v>269</v>
      </c>
      <c r="DG45" s="64" t="s">
        <v>547</v>
      </c>
      <c r="DH45" s="60"/>
      <c r="DI45" s="62" t="s">
        <v>276</v>
      </c>
      <c r="DJ45" s="62" t="s">
        <v>276</v>
      </c>
      <c r="DK45" s="62" t="s">
        <v>276</v>
      </c>
      <c r="DL45" s="62" t="s">
        <v>276</v>
      </c>
      <c r="DM45" s="72">
        <v>45497</v>
      </c>
      <c r="DN45" s="72">
        <v>45559</v>
      </c>
      <c r="DO45" s="62" t="s">
        <v>276</v>
      </c>
      <c r="DP45" s="62" t="s">
        <v>276</v>
      </c>
      <c r="DQ45" s="62" t="s">
        <v>276</v>
      </c>
      <c r="DR45" s="62" t="s">
        <v>276</v>
      </c>
      <c r="DS45" s="62" t="s">
        <v>276</v>
      </c>
      <c r="DT45" s="62" t="s">
        <v>276</v>
      </c>
      <c r="DU45" s="62" t="s">
        <v>276</v>
      </c>
      <c r="DV45" s="62" t="s">
        <v>276</v>
      </c>
      <c r="DW45" s="62" t="s">
        <v>276</v>
      </c>
      <c r="DX45" s="62" t="s">
        <v>276</v>
      </c>
      <c r="DY45" s="62" t="s">
        <v>276</v>
      </c>
      <c r="DZ45" s="62" t="s">
        <v>276</v>
      </c>
      <c r="EA45" s="62" t="s">
        <v>276</v>
      </c>
      <c r="EB45" s="62" t="s">
        <v>276</v>
      </c>
      <c r="EC45" s="62" t="s">
        <v>276</v>
      </c>
      <c r="ED45" s="62" t="s">
        <v>276</v>
      </c>
      <c r="EE45" s="62" t="s">
        <v>276</v>
      </c>
      <c r="EF45" s="62" t="s">
        <v>276</v>
      </c>
      <c r="EG45" s="62" t="s">
        <v>276</v>
      </c>
      <c r="EH45" s="60"/>
      <c r="EI45" s="72">
        <v>45497</v>
      </c>
      <c r="EJ45" s="72">
        <v>45559</v>
      </c>
      <c r="EK45" s="61">
        <v>1</v>
      </c>
      <c r="EL45" s="70"/>
      <c r="EM45" s="71"/>
      <c r="EN45" s="133">
        <f t="shared" si="69"/>
        <v>3</v>
      </c>
      <c r="EO45" s="61">
        <f t="shared" si="70"/>
        <v>1</v>
      </c>
      <c r="EP45" s="62"/>
      <c r="EQ45" s="62">
        <v>45166</v>
      </c>
      <c r="ER45" s="73"/>
      <c r="ES45" s="62"/>
      <c r="ET45" s="62"/>
      <c r="EU45" s="62"/>
      <c r="EV45" s="62"/>
      <c r="EW45" s="62"/>
      <c r="EX45" s="62"/>
      <c r="EY45" s="61">
        <f t="shared" si="71"/>
        <v>2</v>
      </c>
      <c r="EZ45" s="62">
        <v>46388</v>
      </c>
      <c r="FA45" s="61"/>
      <c r="FB45" s="74"/>
      <c r="FC45" s="62">
        <v>47849</v>
      </c>
      <c r="FD45" s="61"/>
      <c r="FE45" s="61"/>
      <c r="FF45" s="68" t="str">
        <f t="shared" si="72"/>
        <v>FP &amp; Demand</v>
      </c>
      <c r="FG45" s="76">
        <f t="shared" si="73"/>
        <v>46388</v>
      </c>
      <c r="FH45" s="65">
        <f t="shared" si="79"/>
        <v>45559</v>
      </c>
      <c r="FI45" s="76"/>
      <c r="FJ45" s="96">
        <f>FH45+7</f>
        <v>45566</v>
      </c>
      <c r="FK45" s="96">
        <v>45358</v>
      </c>
      <c r="FL45" s="61" t="s">
        <v>299</v>
      </c>
      <c r="FM45" s="61">
        <v>113</v>
      </c>
      <c r="FN45" s="61" t="s">
        <v>286</v>
      </c>
      <c r="FO45" s="60"/>
      <c r="FP45" s="64" t="s">
        <v>380</v>
      </c>
      <c r="FQ45" s="64"/>
      <c r="FR45" s="64" t="s">
        <v>289</v>
      </c>
      <c r="FS45" s="91" t="s">
        <v>574</v>
      </c>
      <c r="FT45" s="91" t="s">
        <v>574</v>
      </c>
      <c r="FU45" s="78"/>
      <c r="FV45" s="60"/>
      <c r="FW45" s="61"/>
      <c r="FX45" s="61"/>
      <c r="FY45" s="61"/>
      <c r="FZ45" s="61"/>
      <c r="GA45" s="61"/>
      <c r="GB45" s="61"/>
      <c r="GC45" s="61"/>
      <c r="GD45" s="61"/>
      <c r="GE45" s="61"/>
      <c r="GF45" s="61"/>
      <c r="GG45" s="61"/>
      <c r="GH45" s="61"/>
      <c r="GI45" s="60"/>
      <c r="GJ45" s="93" t="s">
        <v>257</v>
      </c>
      <c r="GK45" s="62" t="s">
        <v>289</v>
      </c>
      <c r="GL45" s="72">
        <v>45398</v>
      </c>
      <c r="GM45" s="62"/>
      <c r="GN45" s="72">
        <v>45428</v>
      </c>
      <c r="GO45" s="63"/>
      <c r="GP45" s="62"/>
      <c r="GQ45" s="62"/>
      <c r="GR45" s="62"/>
      <c r="GS45" s="62"/>
      <c r="GT45" s="62"/>
      <c r="GU45" s="62"/>
      <c r="GV45" s="62"/>
      <c r="GW45" s="126"/>
      <c r="GX45" s="62" t="s">
        <v>243</v>
      </c>
      <c r="GY45" s="62" t="s">
        <v>243</v>
      </c>
      <c r="GZ45" s="78" t="s">
        <v>243</v>
      </c>
      <c r="HA45" s="65" t="s">
        <v>243</v>
      </c>
      <c r="HB45" s="78" t="s">
        <v>243</v>
      </c>
      <c r="HC45" s="78" t="s">
        <v>243</v>
      </c>
      <c r="HD45" s="78" t="s">
        <v>243</v>
      </c>
      <c r="HE45" s="65" t="s">
        <v>243</v>
      </c>
      <c r="HF45" s="78"/>
      <c r="HG45" s="65">
        <f>HM45-30</f>
        <v>45562</v>
      </c>
      <c r="HH45" s="83">
        <v>45366</v>
      </c>
      <c r="HI45" s="61" t="s">
        <v>289</v>
      </c>
      <c r="HJ45" s="83">
        <v>45384</v>
      </c>
      <c r="HK45" s="83">
        <v>45391</v>
      </c>
      <c r="HL45" s="83">
        <v>45506</v>
      </c>
      <c r="HM45" s="65">
        <v>45592</v>
      </c>
      <c r="HN45" s="79">
        <v>3</v>
      </c>
      <c r="HO45" s="72">
        <v>45576</v>
      </c>
      <c r="HP45" s="78" t="s">
        <v>288</v>
      </c>
      <c r="HQ45" s="60"/>
      <c r="HR45" s="63">
        <v>1</v>
      </c>
      <c r="HS45" s="83">
        <v>45576</v>
      </c>
      <c r="HT45" s="63">
        <v>1</v>
      </c>
      <c r="HU45" s="83">
        <v>45576</v>
      </c>
      <c r="HV45" s="62"/>
      <c r="HW45" s="83">
        <v>45576</v>
      </c>
      <c r="HX45" s="79">
        <v>1</v>
      </c>
      <c r="HY45" s="83">
        <v>45579</v>
      </c>
      <c r="HZ45" s="79"/>
      <c r="IA45" s="60"/>
      <c r="IB45" s="65">
        <f t="shared" si="77"/>
        <v>45602</v>
      </c>
      <c r="IC45" s="83">
        <v>45579</v>
      </c>
      <c r="ID45" s="61"/>
      <c r="IE45" s="92" t="s">
        <v>338</v>
      </c>
      <c r="IF45" s="94" t="s">
        <v>243</v>
      </c>
      <c r="IG45" s="94" t="s">
        <v>243</v>
      </c>
      <c r="IH45" s="94" t="s">
        <v>243</v>
      </c>
      <c r="II45" s="94" t="s">
        <v>243</v>
      </c>
      <c r="IJ45" s="94" t="s">
        <v>243</v>
      </c>
      <c r="IK45" s="78" t="s">
        <v>243</v>
      </c>
      <c r="IL45" s="78"/>
      <c r="IM45" s="78"/>
      <c r="IN45" s="72">
        <f t="shared" si="74"/>
        <v>45559</v>
      </c>
      <c r="IO45" s="60"/>
      <c r="IP45" s="65">
        <f t="shared" si="78"/>
        <v>45632</v>
      </c>
      <c r="IQ45" s="72">
        <f t="shared" si="75"/>
        <v>45607</v>
      </c>
      <c r="IR45" s="72">
        <v>45607</v>
      </c>
      <c r="IS45" s="72">
        <v>45611</v>
      </c>
      <c r="IT45" s="72">
        <v>45607</v>
      </c>
      <c r="IU45" s="72">
        <v>45611</v>
      </c>
      <c r="IV45" s="62"/>
      <c r="IW45" s="62"/>
      <c r="IX45" s="62"/>
      <c r="IY45" s="62"/>
      <c r="IZ45" s="117">
        <v>45677</v>
      </c>
      <c r="JA45" s="62">
        <v>45681</v>
      </c>
      <c r="JB45" s="62">
        <v>45699</v>
      </c>
      <c r="JC45" s="62">
        <v>45699</v>
      </c>
      <c r="JD45" s="62">
        <v>45699</v>
      </c>
      <c r="JE45" s="62">
        <v>45699</v>
      </c>
      <c r="JF45" s="62">
        <v>45699</v>
      </c>
      <c r="JG45" s="62">
        <v>45699</v>
      </c>
      <c r="JH45" s="65">
        <v>45699</v>
      </c>
      <c r="JI45" s="67" t="str">
        <f t="shared" si="76"/>
        <v>Q1-2025</v>
      </c>
      <c r="JJ45" s="62"/>
      <c r="JK45" s="60"/>
      <c r="JL45" s="61"/>
      <c r="JM45" s="64"/>
      <c r="JN45" s="62"/>
      <c r="JO45" s="62"/>
      <c r="JP45" s="78" t="s">
        <v>626</v>
      </c>
      <c r="JQ45" s="61"/>
      <c r="JR45" s="60"/>
      <c r="JS45" s="62"/>
      <c r="JT45" s="62"/>
      <c r="JU45" s="62"/>
      <c r="JV45" s="62"/>
      <c r="JW45" s="62"/>
      <c r="JX45" s="62"/>
      <c r="JY45" s="60"/>
      <c r="JZ45" s="61"/>
      <c r="KA45" s="61"/>
      <c r="KB45" s="61"/>
      <c r="KC45" s="61"/>
      <c r="KD45" s="61"/>
      <c r="KE45" s="61"/>
      <c r="KF45" s="60"/>
      <c r="KG45" s="86"/>
      <c r="KH45" s="60"/>
      <c r="KI45" s="81" t="str">
        <f t="shared" si="29"/>
        <v>TLKxxxx</v>
      </c>
      <c r="KJ45" s="61" t="str">
        <f t="shared" si="30"/>
        <v>Live</v>
      </c>
      <c r="KK45" s="61" t="str">
        <f t="shared" si="31"/>
        <v>TLKxxxx</v>
      </c>
      <c r="KL45" s="62">
        <f t="shared" si="32"/>
        <v>45699</v>
      </c>
      <c r="KM45" s="62" t="str">
        <f t="shared" si="33"/>
        <v/>
      </c>
      <c r="KN45" s="61" t="str">
        <f t="shared" si="34"/>
        <v>Monopole</v>
      </c>
      <c r="KO45" s="61" t="str">
        <f t="shared" si="35"/>
        <v>EED</v>
      </c>
      <c r="KP45" s="131">
        <f t="shared" si="36"/>
        <v>0</v>
      </c>
      <c r="KQ45" s="131" t="str">
        <f t="shared" si="37"/>
        <v>Q1-2025</v>
      </c>
      <c r="KR45" s="61" t="str">
        <f t="shared" si="38"/>
        <v xml:space="preserve">0  Live  UTS  EED  Q1-2025  </v>
      </c>
      <c r="KS45" s="61" t="str">
        <f t="shared" si="39"/>
        <v>RFI</v>
      </c>
      <c r="KT45" s="61" t="str">
        <f t="shared" si="40"/>
        <v>Site name</v>
      </c>
      <c r="KU45" s="61" t="str">
        <f t="shared" si="41"/>
        <v>Lattice Mast</v>
      </c>
      <c r="KV45" s="61">
        <f t="shared" si="42"/>
        <v>12</v>
      </c>
      <c r="KW45" s="61" t="str">
        <f t="shared" si="43"/>
        <v>Monopole</v>
      </c>
      <c r="KX45" s="61">
        <f t="shared" si="44"/>
        <v>15</v>
      </c>
      <c r="KY45" s="60"/>
      <c r="KZ45" s="60"/>
      <c r="LA45" s="62"/>
      <c r="LB45" s="61"/>
      <c r="LC45" s="62"/>
      <c r="LD45" s="61"/>
      <c r="LE45" s="68" t="str">
        <f t="shared" si="45"/>
        <v>-</v>
      </c>
      <c r="LF45" s="150" t="str">
        <f t="shared" si="46"/>
        <v>-</v>
      </c>
      <c r="LG45" s="60"/>
      <c r="LH45" s="60"/>
      <c r="LI45" s="68">
        <f t="shared" si="47"/>
        <v>332</v>
      </c>
      <c r="LJ45" s="150">
        <f t="shared" si="48"/>
        <v>11.066666666666666</v>
      </c>
      <c r="LK45" s="60"/>
      <c r="LL45" s="68">
        <f t="shared" si="49"/>
        <v>388</v>
      </c>
      <c r="LM45" s="150">
        <f t="shared" si="50"/>
        <v>12.933333333333334</v>
      </c>
      <c r="LN45" s="60"/>
      <c r="LO45" s="98" t="str">
        <f t="shared" si="51"/>
        <v>-</v>
      </c>
      <c r="LP45" s="68" t="str">
        <f t="shared" si="52"/>
        <v>-</v>
      </c>
      <c r="LQ45" s="150" t="str">
        <f t="shared" si="53"/>
        <v>-</v>
      </c>
      <c r="LR45" s="60"/>
      <c r="LS45" s="98" t="str">
        <f t="shared" si="54"/>
        <v>-</v>
      </c>
      <c r="LT45" s="60"/>
      <c r="LU45" s="60"/>
      <c r="LV45" s="60"/>
      <c r="LW45" s="60"/>
      <c r="LX45" s="60"/>
      <c r="LY45" s="60"/>
      <c r="LZ45" s="60"/>
      <c r="MA45" s="60"/>
      <c r="MB45" s="60"/>
      <c r="MC45" s="60"/>
      <c r="MD45" s="60"/>
      <c r="ME45" s="60"/>
      <c r="MF45" s="60"/>
      <c r="MG45" s="60"/>
      <c r="MH45" s="60"/>
      <c r="MI45" s="60"/>
      <c r="MJ45" s="60"/>
      <c r="MK45" s="60"/>
      <c r="ML45" s="60"/>
      <c r="MM45" s="60"/>
      <c r="MN45" s="60"/>
      <c r="MO45" s="60"/>
    </row>
    <row r="46" spans="2:353" ht="21" customHeight="1" x14ac:dyDescent="0.25">
      <c r="B46" s="84" t="s">
        <v>647</v>
      </c>
      <c r="C46" s="58" t="s">
        <v>633</v>
      </c>
      <c r="D46" s="159" t="s">
        <v>447</v>
      </c>
      <c r="E46" s="159" t="s">
        <v>253</v>
      </c>
      <c r="F46" s="159" t="s">
        <v>467</v>
      </c>
      <c r="G46" s="159"/>
      <c r="H46" s="59"/>
      <c r="I46" s="159" t="s">
        <v>636</v>
      </c>
      <c r="J46" s="159" t="s">
        <v>636</v>
      </c>
      <c r="K46" s="159" t="s">
        <v>636</v>
      </c>
      <c r="L46" s="159" t="s">
        <v>637</v>
      </c>
      <c r="M46" s="159" t="s">
        <v>356</v>
      </c>
      <c r="N46" s="159">
        <v>15</v>
      </c>
      <c r="O46" s="159" t="s">
        <v>255</v>
      </c>
      <c r="P46" s="159">
        <v>20</v>
      </c>
      <c r="Q46" s="159"/>
      <c r="R46" s="160"/>
      <c r="S46" s="159" t="s">
        <v>630</v>
      </c>
      <c r="T46" s="159"/>
      <c r="U46" s="61" t="s">
        <v>359</v>
      </c>
      <c r="V46" s="61">
        <v>2</v>
      </c>
      <c r="W46" s="65"/>
      <c r="X46" s="72" t="s">
        <v>257</v>
      </c>
      <c r="Y46" s="61" t="s">
        <v>305</v>
      </c>
      <c r="Z46" s="61" t="s">
        <v>270</v>
      </c>
      <c r="AA46" s="61">
        <v>2500</v>
      </c>
      <c r="AB46" s="72">
        <v>43871</v>
      </c>
      <c r="AC46" s="72">
        <v>43916</v>
      </c>
      <c r="AD46" s="72"/>
      <c r="AE46" s="63"/>
      <c r="AF46" s="72">
        <v>43936</v>
      </c>
      <c r="AG46" s="72"/>
      <c r="AH46" s="72"/>
      <c r="AI46" s="61"/>
      <c r="AJ46" s="61"/>
      <c r="AK46" s="62"/>
      <c r="AL46" s="62"/>
      <c r="AM46" s="62"/>
      <c r="AN46" s="64"/>
      <c r="AO46" s="61" t="s">
        <v>604</v>
      </c>
      <c r="AP46" s="61" t="s">
        <v>247</v>
      </c>
      <c r="AQ46" s="61"/>
      <c r="AR46" s="65">
        <v>44069</v>
      </c>
      <c r="AS46" s="72">
        <v>44069</v>
      </c>
      <c r="AT46" s="72">
        <v>44070</v>
      </c>
      <c r="AU46" s="61">
        <v>20563</v>
      </c>
      <c r="AV46" s="61"/>
      <c r="AW46" s="61"/>
      <c r="AX46" s="72">
        <v>44123</v>
      </c>
      <c r="AY46" s="62">
        <v>44304</v>
      </c>
      <c r="AZ46" s="72">
        <v>44302</v>
      </c>
      <c r="BA46" s="61"/>
      <c r="BB46" s="61"/>
      <c r="BC46" s="61"/>
      <c r="BD46" s="65">
        <v>44332</v>
      </c>
      <c r="BE46" s="140">
        <v>44327</v>
      </c>
      <c r="BF46" s="62" t="s">
        <v>272</v>
      </c>
      <c r="BG46" s="61">
        <v>0</v>
      </c>
      <c r="BH46" s="65">
        <v>44367</v>
      </c>
      <c r="BI46" s="62"/>
      <c r="BJ46" s="62" t="s">
        <v>344</v>
      </c>
      <c r="BK46" s="61">
        <v>2022</v>
      </c>
      <c r="BL46" s="62">
        <v>44354</v>
      </c>
      <c r="BM46" s="72">
        <v>44355</v>
      </c>
      <c r="BN46" s="62"/>
      <c r="BO46" s="61">
        <v>310469</v>
      </c>
      <c r="BP46" s="65">
        <v>44480</v>
      </c>
      <c r="BQ46" s="67"/>
      <c r="BR46" s="72">
        <v>44624</v>
      </c>
      <c r="BS46" s="61" t="s">
        <v>272</v>
      </c>
      <c r="BT46" s="65">
        <v>44624</v>
      </c>
      <c r="BU46" s="65" t="s">
        <v>292</v>
      </c>
      <c r="BV46" s="65">
        <v>44624</v>
      </c>
      <c r="BW46" s="147" t="s">
        <v>272</v>
      </c>
      <c r="BX46" s="65">
        <f t="shared" si="68"/>
        <v>46449</v>
      </c>
      <c r="BY46" s="61" t="s">
        <v>273</v>
      </c>
      <c r="BZ46" s="61" t="s">
        <v>435</v>
      </c>
      <c r="CA46" s="61"/>
      <c r="CB46" s="72" t="s">
        <v>257</v>
      </c>
      <c r="CC46" s="61" t="s">
        <v>257</v>
      </c>
      <c r="CD46" s="68" t="s">
        <v>536</v>
      </c>
      <c r="CE46" s="60" t="s">
        <v>274</v>
      </c>
      <c r="CF46" s="61"/>
      <c r="CG46" s="61"/>
      <c r="CH46" s="61"/>
      <c r="CI46" s="62"/>
      <c r="CJ46" s="62"/>
      <c r="CK46" s="61"/>
      <c r="CL46" s="69"/>
      <c r="CM46" s="61"/>
      <c r="CN46" s="61"/>
      <c r="CO46" s="97"/>
      <c r="CP46" s="61"/>
      <c r="CQ46" s="64" t="s">
        <v>605</v>
      </c>
      <c r="CR46" s="60"/>
      <c r="CS46" s="70"/>
      <c r="CT46" s="61" t="s">
        <v>269</v>
      </c>
      <c r="CU46" s="61" t="s">
        <v>269</v>
      </c>
      <c r="CV46" s="82" t="s">
        <v>275</v>
      </c>
      <c r="CW46" s="82" t="s">
        <v>275</v>
      </c>
      <c r="CX46" s="61" t="s">
        <v>269</v>
      </c>
      <c r="CY46" s="61" t="s">
        <v>269</v>
      </c>
      <c r="CZ46" s="61" t="s">
        <v>269</v>
      </c>
      <c r="DA46" s="61"/>
      <c r="DB46" s="61"/>
      <c r="DC46" s="61"/>
      <c r="DD46" s="61"/>
      <c r="DE46" s="61"/>
      <c r="DF46" s="61" t="s">
        <v>269</v>
      </c>
      <c r="DG46" s="64" t="s">
        <v>269</v>
      </c>
      <c r="DH46" s="60"/>
      <c r="DI46" s="62"/>
      <c r="DJ46" s="62"/>
      <c r="DK46" s="116"/>
      <c r="DL46" s="116"/>
      <c r="DM46" s="116"/>
      <c r="DN46" s="116"/>
      <c r="DO46" s="116"/>
      <c r="DP46" s="116"/>
      <c r="DQ46" s="62"/>
      <c r="DR46" s="62"/>
      <c r="DS46" s="62"/>
      <c r="DT46" s="62"/>
      <c r="DU46" s="62"/>
      <c r="DV46" s="62"/>
      <c r="DW46" s="62"/>
      <c r="DX46" s="62"/>
      <c r="DY46" s="62"/>
      <c r="DZ46" s="62"/>
      <c r="EA46" s="62"/>
      <c r="EB46" s="62"/>
      <c r="EC46" s="62"/>
      <c r="ED46" s="62"/>
      <c r="EE46" s="62"/>
      <c r="EF46" s="62"/>
      <c r="EG46" s="62"/>
      <c r="EH46" s="60"/>
      <c r="EI46" s="72">
        <v>44991</v>
      </c>
      <c r="EJ46" s="83">
        <v>45015</v>
      </c>
      <c r="EK46" s="61">
        <v>3</v>
      </c>
      <c r="EL46" s="70"/>
      <c r="EM46" s="71"/>
      <c r="EN46" s="133">
        <f t="shared" si="69"/>
        <v>3</v>
      </c>
      <c r="EO46" s="61">
        <f t="shared" si="70"/>
        <v>1</v>
      </c>
      <c r="EP46" s="62"/>
      <c r="EQ46" s="72">
        <v>45161</v>
      </c>
      <c r="ER46" s="73"/>
      <c r="ES46" s="62"/>
      <c r="ET46" s="62"/>
      <c r="EU46" s="62"/>
      <c r="EV46" s="62"/>
      <c r="EW46" s="62"/>
      <c r="EX46" s="62"/>
      <c r="EY46" s="61">
        <f t="shared" si="71"/>
        <v>2</v>
      </c>
      <c r="EZ46" s="75">
        <v>45292</v>
      </c>
      <c r="FA46" s="61"/>
      <c r="FB46" s="74"/>
      <c r="FC46" s="62">
        <v>46753</v>
      </c>
      <c r="FD46" s="61"/>
      <c r="FE46" s="61"/>
      <c r="FF46" s="68" t="str">
        <f t="shared" si="72"/>
        <v>FP &amp; Demand</v>
      </c>
      <c r="FG46" s="76">
        <f t="shared" si="73"/>
        <v>45292</v>
      </c>
      <c r="FH46" s="65">
        <f t="shared" si="79"/>
        <v>44624</v>
      </c>
      <c r="FI46" s="76"/>
      <c r="FJ46" s="62">
        <f>FH46+7</f>
        <v>44631</v>
      </c>
      <c r="FK46" s="62">
        <v>44650</v>
      </c>
      <c r="FL46" s="61" t="s">
        <v>299</v>
      </c>
      <c r="FM46" s="61"/>
      <c r="FN46" s="61"/>
      <c r="FO46" s="60"/>
      <c r="FP46" s="64"/>
      <c r="FQ46" s="64"/>
      <c r="FR46" s="61"/>
      <c r="FS46" s="77" t="s">
        <v>257</v>
      </c>
      <c r="FT46" s="61"/>
      <c r="FU46" s="61"/>
      <c r="FV46" s="60"/>
      <c r="FW46" s="61"/>
      <c r="FX46" s="61"/>
      <c r="FY46" s="61"/>
      <c r="FZ46" s="61"/>
      <c r="GA46" s="61"/>
      <c r="GB46" s="61"/>
      <c r="GC46" s="61"/>
      <c r="GD46" s="61"/>
      <c r="GE46" s="61"/>
      <c r="GF46" s="61"/>
      <c r="GG46" s="61"/>
      <c r="GH46" s="61"/>
      <c r="GI46" s="60"/>
      <c r="GJ46" s="62"/>
      <c r="GK46" s="62"/>
      <c r="GL46" s="62"/>
      <c r="GM46" s="62"/>
      <c r="GN46" s="63"/>
      <c r="GO46" s="63"/>
      <c r="GP46" s="62"/>
      <c r="GQ46" s="62"/>
      <c r="GR46" s="62"/>
      <c r="GS46" s="62"/>
      <c r="GT46" s="62"/>
      <c r="GU46" s="62"/>
      <c r="GV46" s="78"/>
      <c r="GW46" s="62"/>
      <c r="GX46" s="62"/>
      <c r="GY46" s="62"/>
      <c r="GZ46" s="62"/>
      <c r="HA46" s="67"/>
      <c r="HB46" s="62"/>
      <c r="HC46" s="82" t="s">
        <v>257</v>
      </c>
      <c r="HD46" s="62"/>
      <c r="HE46" s="65"/>
      <c r="HF46" s="62"/>
      <c r="HG46" s="65">
        <f t="shared" ref="HG46:HG50" si="80">FJ46+10</f>
        <v>44641</v>
      </c>
      <c r="HH46" s="62"/>
      <c r="HI46" s="61"/>
      <c r="HJ46" s="62"/>
      <c r="HK46" s="62"/>
      <c r="HL46" s="62"/>
      <c r="HM46" s="65">
        <f t="shared" ref="HM46:HM50" si="81">IF(GW46="Yes",HE46,HG46+50)</f>
        <v>44691</v>
      </c>
      <c r="HN46" s="63"/>
      <c r="HO46" s="62"/>
      <c r="HP46" s="78"/>
      <c r="HQ46" s="60"/>
      <c r="HR46" s="63"/>
      <c r="HS46" s="62"/>
      <c r="HT46" s="63"/>
      <c r="HU46" s="62"/>
      <c r="HV46" s="62"/>
      <c r="HW46" s="62"/>
      <c r="HX46" s="79"/>
      <c r="HY46" s="62"/>
      <c r="HZ46" s="79"/>
      <c r="IA46" s="60"/>
      <c r="IB46" s="65">
        <f t="shared" si="77"/>
        <v>44701</v>
      </c>
      <c r="IC46" s="62"/>
      <c r="ID46" s="61"/>
      <c r="IE46" s="61"/>
      <c r="IF46" s="61"/>
      <c r="IG46" s="61"/>
      <c r="IH46" s="61"/>
      <c r="II46" s="61"/>
      <c r="IJ46" s="61"/>
      <c r="IK46" s="61"/>
      <c r="IL46" s="62"/>
      <c r="IM46" s="62"/>
      <c r="IN46" s="72">
        <f t="shared" si="74"/>
        <v>45015</v>
      </c>
      <c r="IO46" s="60"/>
      <c r="IP46" s="65">
        <f t="shared" si="78"/>
        <v>44731</v>
      </c>
      <c r="IQ46" s="62">
        <f t="shared" si="75"/>
        <v>0</v>
      </c>
      <c r="IR46" s="62"/>
      <c r="IS46" s="62"/>
      <c r="IT46" s="62"/>
      <c r="IU46" s="62"/>
      <c r="IV46" s="62"/>
      <c r="IW46" s="62"/>
      <c r="IX46" s="62"/>
      <c r="IY46" s="83" t="s">
        <v>257</v>
      </c>
      <c r="IZ46" s="62"/>
      <c r="JA46" s="62"/>
      <c r="JB46" s="62"/>
      <c r="JC46" s="62"/>
      <c r="JD46" s="62"/>
      <c r="JE46" s="62"/>
      <c r="JF46" s="62"/>
      <c r="JG46" s="62"/>
      <c r="JH46" s="65">
        <v>45161</v>
      </c>
      <c r="JI46" s="67" t="str">
        <f t="shared" si="76"/>
        <v>Q3-2023</v>
      </c>
      <c r="JJ46" s="80">
        <v>45161</v>
      </c>
      <c r="JK46" s="60"/>
      <c r="JL46" s="61"/>
      <c r="JM46" s="64"/>
      <c r="JN46" s="62"/>
      <c r="JO46" s="62" t="s">
        <v>257</v>
      </c>
      <c r="JP46" s="78" t="s">
        <v>356</v>
      </c>
      <c r="JQ46" s="61"/>
      <c r="JR46" s="60"/>
      <c r="JS46" s="62"/>
      <c r="JT46" s="62"/>
      <c r="JU46" s="62"/>
      <c r="JV46" s="62"/>
      <c r="JW46" s="62"/>
      <c r="JX46" s="62"/>
      <c r="JY46" s="60"/>
      <c r="JZ46" s="61"/>
      <c r="KA46" s="61"/>
      <c r="KB46" s="61"/>
      <c r="KC46" s="61"/>
      <c r="KD46" s="61"/>
      <c r="KE46" s="61"/>
      <c r="KF46" s="60"/>
      <c r="KG46" s="86"/>
      <c r="KH46" s="60"/>
      <c r="KI46" s="81" t="str">
        <f t="shared" si="29"/>
        <v>TGYxxxx</v>
      </c>
      <c r="KJ46" s="61" t="str">
        <f t="shared" si="30"/>
        <v>Live</v>
      </c>
      <c r="KK46" s="61" t="str">
        <f t="shared" si="31"/>
        <v>TGYxxxx</v>
      </c>
      <c r="KL46" s="62">
        <f t="shared" si="32"/>
        <v>45161</v>
      </c>
      <c r="KM46" s="62">
        <f t="shared" si="33"/>
        <v>45161</v>
      </c>
      <c r="KN46" s="61" t="str">
        <f t="shared" si="34"/>
        <v>Lattice</v>
      </c>
      <c r="KO46" s="61" t="str">
        <f t="shared" si="35"/>
        <v>EED</v>
      </c>
      <c r="KP46" s="131">
        <f t="shared" si="36"/>
        <v>0</v>
      </c>
      <c r="KQ46" s="131" t="str">
        <f t="shared" si="37"/>
        <v>Q3-2023</v>
      </c>
      <c r="KR46" s="61" t="str">
        <f t="shared" si="38"/>
        <v xml:space="preserve">0  Live  UTS  EED  Q3-2023  </v>
      </c>
      <c r="KS46" s="61" t="str">
        <f t="shared" si="39"/>
        <v>RFI</v>
      </c>
      <c r="KT46" s="61" t="str">
        <f t="shared" si="40"/>
        <v>Site name</v>
      </c>
      <c r="KU46" s="61" t="str">
        <f t="shared" si="41"/>
        <v>Lattice Tower</v>
      </c>
      <c r="KV46" s="61">
        <f t="shared" si="42"/>
        <v>15</v>
      </c>
      <c r="KW46" s="61" t="str">
        <f t="shared" si="43"/>
        <v>Lattice</v>
      </c>
      <c r="KX46" s="61">
        <f t="shared" si="44"/>
        <v>20</v>
      </c>
      <c r="KY46" s="60"/>
      <c r="KZ46" s="60"/>
      <c r="LA46" s="62"/>
      <c r="LB46" s="61"/>
      <c r="LC46" s="62"/>
      <c r="LD46" s="61"/>
      <c r="LE46" s="68" t="str">
        <f t="shared" si="45"/>
        <v>-</v>
      </c>
      <c r="LF46" s="150" t="str">
        <f t="shared" si="46"/>
        <v>-</v>
      </c>
      <c r="LG46" s="60"/>
      <c r="LH46" s="60"/>
      <c r="LI46" s="68">
        <f t="shared" si="47"/>
        <v>258</v>
      </c>
      <c r="LJ46" s="150">
        <f t="shared" si="48"/>
        <v>8.6</v>
      </c>
      <c r="LK46" s="60"/>
      <c r="LL46" s="68">
        <f t="shared" si="49"/>
        <v>555</v>
      </c>
      <c r="LM46" s="150">
        <f t="shared" si="50"/>
        <v>18.5</v>
      </c>
      <c r="LN46" s="60"/>
      <c r="LO46" s="98">
        <f t="shared" si="51"/>
        <v>44355</v>
      </c>
      <c r="LP46" s="68">
        <f t="shared" si="52"/>
        <v>269</v>
      </c>
      <c r="LQ46" s="150">
        <f t="shared" si="53"/>
        <v>8.9666666666666668</v>
      </c>
      <c r="LR46" s="60"/>
      <c r="LS46" s="98">
        <f t="shared" si="54"/>
        <v>44624</v>
      </c>
      <c r="LT46" s="60"/>
      <c r="LU46" s="60"/>
      <c r="LV46" s="60"/>
      <c r="LW46" s="60"/>
      <c r="LX46" s="60"/>
      <c r="LY46" s="60"/>
      <c r="LZ46" s="60"/>
      <c r="MA46" s="60"/>
      <c r="MB46" s="60"/>
      <c r="MC46" s="60"/>
      <c r="MD46" s="60"/>
      <c r="ME46" s="60"/>
      <c r="MF46" s="60"/>
      <c r="MG46" s="60"/>
      <c r="MH46" s="60"/>
      <c r="MI46" s="60"/>
      <c r="MJ46" s="60"/>
      <c r="MK46" s="60"/>
      <c r="ML46" s="60"/>
      <c r="MM46" s="60"/>
      <c r="MN46" s="60"/>
      <c r="MO46" s="60"/>
    </row>
    <row r="47" spans="2:353" ht="21" customHeight="1" x14ac:dyDescent="0.25">
      <c r="B47" s="58" t="s">
        <v>646</v>
      </c>
      <c r="C47" s="58" t="s">
        <v>633</v>
      </c>
      <c r="D47" s="159" t="s">
        <v>252</v>
      </c>
      <c r="E47" s="159" t="s">
        <v>253</v>
      </c>
      <c r="F47" s="159" t="s">
        <v>490</v>
      </c>
      <c r="G47" s="159"/>
      <c r="H47" s="59"/>
      <c r="I47" s="159" t="s">
        <v>636</v>
      </c>
      <c r="J47" s="159" t="s">
        <v>636</v>
      </c>
      <c r="K47" s="159" t="s">
        <v>636</v>
      </c>
      <c r="L47" s="159" t="s">
        <v>637</v>
      </c>
      <c r="M47" s="159" t="s">
        <v>240</v>
      </c>
      <c r="N47" s="159">
        <v>15</v>
      </c>
      <c r="O47" s="159" t="s">
        <v>240</v>
      </c>
      <c r="P47" s="159">
        <v>21</v>
      </c>
      <c r="Q47" s="159"/>
      <c r="R47" s="160"/>
      <c r="S47" s="159"/>
      <c r="T47" s="159"/>
      <c r="U47" s="61" t="s">
        <v>256</v>
      </c>
      <c r="V47" s="61">
        <v>2</v>
      </c>
      <c r="W47" s="65"/>
      <c r="X47" s="72">
        <v>45191</v>
      </c>
      <c r="Y47" s="61" t="s">
        <v>305</v>
      </c>
      <c r="Z47" s="61" t="s">
        <v>242</v>
      </c>
      <c r="AA47" s="61">
        <v>2500</v>
      </c>
      <c r="AB47" s="72">
        <v>45191</v>
      </c>
      <c r="AC47" s="72">
        <v>45209</v>
      </c>
      <c r="AD47" s="72"/>
      <c r="AE47" s="63"/>
      <c r="AF47" s="72">
        <v>45219</v>
      </c>
      <c r="AG47" s="62"/>
      <c r="AH47" s="72"/>
      <c r="AI47" s="61" t="s">
        <v>257</v>
      </c>
      <c r="AJ47" s="61" t="s">
        <v>247</v>
      </c>
      <c r="AK47" s="72"/>
      <c r="AL47" s="72"/>
      <c r="AM47" s="62"/>
      <c r="AN47" s="64"/>
      <c r="AO47" s="61" t="s">
        <v>271</v>
      </c>
      <c r="AP47" s="61"/>
      <c r="AQ47" s="61" t="s">
        <v>248</v>
      </c>
      <c r="AR47" s="65">
        <v>45227</v>
      </c>
      <c r="AS47" s="72">
        <v>45227</v>
      </c>
      <c r="AT47" s="72">
        <v>45236</v>
      </c>
      <c r="AU47" s="61" t="s">
        <v>357</v>
      </c>
      <c r="AV47" s="61"/>
      <c r="AW47" s="61"/>
      <c r="AX47" s="72">
        <v>45300</v>
      </c>
      <c r="AY47" s="62">
        <v>45481</v>
      </c>
      <c r="AZ47" s="72">
        <v>45399</v>
      </c>
      <c r="BA47" s="61"/>
      <c r="BB47" s="61"/>
      <c r="BC47" s="61"/>
      <c r="BD47" s="65">
        <v>45429</v>
      </c>
      <c r="BE47" s="72">
        <v>45426</v>
      </c>
      <c r="BF47" s="62" t="s">
        <v>272</v>
      </c>
      <c r="BG47" s="61">
        <v>6</v>
      </c>
      <c r="BH47" s="65">
        <v>45464</v>
      </c>
      <c r="BI47" s="72">
        <v>45467</v>
      </c>
      <c r="BJ47" s="62" t="s">
        <v>272</v>
      </c>
      <c r="BK47" s="61">
        <v>2025</v>
      </c>
      <c r="BL47" s="62">
        <v>45453</v>
      </c>
      <c r="BM47" s="62"/>
      <c r="BN47" s="62"/>
      <c r="BO47" s="61"/>
      <c r="BP47" s="65">
        <v>45824</v>
      </c>
      <c r="BQ47" s="67"/>
      <c r="BR47" s="62"/>
      <c r="BS47" s="61"/>
      <c r="BT47" s="65">
        <v>45824</v>
      </c>
      <c r="BU47" s="65" t="s">
        <v>292</v>
      </c>
      <c r="BV47" s="65">
        <v>45467</v>
      </c>
      <c r="BW47" s="147" t="s">
        <v>272</v>
      </c>
      <c r="BX47" s="65">
        <f t="shared" si="68"/>
        <v>47292</v>
      </c>
      <c r="BY47" s="61" t="s">
        <v>273</v>
      </c>
      <c r="BZ47" s="61" t="s">
        <v>250</v>
      </c>
      <c r="CA47" s="61"/>
      <c r="CB47" s="72">
        <v>45482</v>
      </c>
      <c r="CC47" s="61"/>
      <c r="CD47" s="68" t="s">
        <v>536</v>
      </c>
      <c r="CE47" s="60" t="s">
        <v>274</v>
      </c>
      <c r="CF47" s="61"/>
      <c r="CG47" s="61"/>
      <c r="CH47" s="61"/>
      <c r="CI47" s="62"/>
      <c r="CJ47" s="62"/>
      <c r="CK47" s="61"/>
      <c r="CL47" s="69"/>
      <c r="CM47" s="61"/>
      <c r="CN47" s="61"/>
      <c r="CO47" s="61"/>
      <c r="CP47" s="61"/>
      <c r="CQ47" s="64" t="s">
        <v>358</v>
      </c>
      <c r="CR47" s="60"/>
      <c r="CS47" s="70" t="s">
        <v>538</v>
      </c>
      <c r="CT47" s="61" t="s">
        <v>539</v>
      </c>
      <c r="CU47" s="82" t="s">
        <v>275</v>
      </c>
      <c r="CV47" s="61" t="s">
        <v>539</v>
      </c>
      <c r="CW47" s="61" t="s">
        <v>539</v>
      </c>
      <c r="CX47" s="61" t="s">
        <v>539</v>
      </c>
      <c r="CY47" s="61" t="s">
        <v>539</v>
      </c>
      <c r="CZ47" s="61" t="s">
        <v>539</v>
      </c>
      <c r="DA47" s="61" t="s">
        <v>539</v>
      </c>
      <c r="DB47" s="61" t="s">
        <v>539</v>
      </c>
      <c r="DC47" s="61" t="s">
        <v>539</v>
      </c>
      <c r="DD47" s="61" t="s">
        <v>539</v>
      </c>
      <c r="DE47" s="61" t="s">
        <v>539</v>
      </c>
      <c r="DF47" s="61" t="s">
        <v>539</v>
      </c>
      <c r="DG47" s="64" t="s">
        <v>549</v>
      </c>
      <c r="DH47" s="60"/>
      <c r="DI47" s="62"/>
      <c r="DJ47" s="62"/>
      <c r="DK47" s="62"/>
      <c r="DL47" s="62"/>
      <c r="DM47" s="62"/>
      <c r="DN47" s="62"/>
      <c r="DO47" s="62"/>
      <c r="DP47" s="62"/>
      <c r="DQ47" s="62"/>
      <c r="DR47" s="62"/>
      <c r="DS47" s="62"/>
      <c r="DT47" s="62"/>
      <c r="DU47" s="62"/>
      <c r="DV47" s="62"/>
      <c r="DW47" s="62"/>
      <c r="DX47" s="62"/>
      <c r="DY47" s="62"/>
      <c r="DZ47" s="62"/>
      <c r="EA47" s="62"/>
      <c r="EB47" s="62"/>
      <c r="EC47" s="62"/>
      <c r="ED47" s="62"/>
      <c r="EE47" s="62"/>
      <c r="EF47" s="62"/>
      <c r="EG47" s="62"/>
      <c r="EH47" s="60"/>
      <c r="EI47" s="62"/>
      <c r="EJ47" s="62"/>
      <c r="EK47" s="61"/>
      <c r="EL47" s="70"/>
      <c r="EM47" s="71"/>
      <c r="EN47" s="133">
        <f t="shared" si="69"/>
        <v>1</v>
      </c>
      <c r="EO47" s="61">
        <f t="shared" si="70"/>
        <v>0</v>
      </c>
      <c r="EP47" s="62"/>
      <c r="EQ47" s="62"/>
      <c r="ER47" s="73"/>
      <c r="ES47" s="62"/>
      <c r="ET47" s="62"/>
      <c r="EU47" s="62"/>
      <c r="EV47" s="62"/>
      <c r="EW47" s="62"/>
      <c r="EX47" s="62"/>
      <c r="EY47" s="61">
        <f t="shared" si="71"/>
        <v>1</v>
      </c>
      <c r="EZ47" s="62"/>
      <c r="FA47" s="61"/>
      <c r="FB47" s="73">
        <v>46753</v>
      </c>
      <c r="FC47" s="117">
        <v>46753</v>
      </c>
      <c r="FD47" s="61"/>
      <c r="FE47" s="61"/>
      <c r="FF47" s="68" t="str">
        <f t="shared" si="72"/>
        <v>FP / No Demand</v>
      </c>
      <c r="FG47" s="76">
        <f t="shared" si="73"/>
        <v>46753</v>
      </c>
      <c r="FH47" s="65">
        <f t="shared" si="79"/>
        <v>45824</v>
      </c>
      <c r="FI47" s="76"/>
      <c r="FJ47" s="62">
        <v>46791</v>
      </c>
      <c r="FK47" s="62"/>
      <c r="FL47" s="61"/>
      <c r="FM47" s="61"/>
      <c r="FN47" s="61"/>
      <c r="FO47" s="60"/>
      <c r="FP47" s="64"/>
      <c r="FQ47" s="64"/>
      <c r="FR47" s="61"/>
      <c r="FS47" s="61"/>
      <c r="FT47" s="61"/>
      <c r="FU47" s="61"/>
      <c r="FV47" s="60"/>
      <c r="FW47" s="61"/>
      <c r="FX47" s="61"/>
      <c r="FY47" s="61"/>
      <c r="FZ47" s="61"/>
      <c r="GA47" s="61"/>
      <c r="GB47" s="61"/>
      <c r="GC47" s="61"/>
      <c r="GD47" s="61"/>
      <c r="GE47" s="61"/>
      <c r="GF47" s="61"/>
      <c r="GG47" s="61"/>
      <c r="GH47" s="61"/>
      <c r="GI47" s="60"/>
      <c r="GJ47" s="62"/>
      <c r="GK47" s="62"/>
      <c r="GL47" s="62"/>
      <c r="GM47" s="62"/>
      <c r="GN47" s="63"/>
      <c r="GO47" s="63"/>
      <c r="GP47" s="62"/>
      <c r="GQ47" s="62"/>
      <c r="GR47" s="62"/>
      <c r="GS47" s="62"/>
      <c r="GT47" s="62"/>
      <c r="GU47" s="62"/>
      <c r="GV47" s="78"/>
      <c r="GW47" s="62"/>
      <c r="GX47" s="62"/>
      <c r="GY47" s="62"/>
      <c r="GZ47" s="62"/>
      <c r="HA47" s="67"/>
      <c r="HB47" s="62"/>
      <c r="HC47" s="62"/>
      <c r="HD47" s="62"/>
      <c r="HE47" s="65"/>
      <c r="HF47" s="62"/>
      <c r="HG47" s="65">
        <f t="shared" si="80"/>
        <v>46801</v>
      </c>
      <c r="HH47" s="62"/>
      <c r="HI47" s="61"/>
      <c r="HJ47" s="62"/>
      <c r="HK47" s="107"/>
      <c r="HL47" s="107"/>
      <c r="HM47" s="65">
        <f t="shared" si="81"/>
        <v>46851</v>
      </c>
      <c r="HN47" s="63"/>
      <c r="HO47" s="62"/>
      <c r="HP47" s="78"/>
      <c r="HQ47" s="60"/>
      <c r="HR47" s="63"/>
      <c r="HS47" s="107"/>
      <c r="HT47" s="63"/>
      <c r="HU47" s="107"/>
      <c r="HV47" s="62"/>
      <c r="HW47" s="62"/>
      <c r="HX47" s="79"/>
      <c r="HY47" s="62"/>
      <c r="HZ47" s="79"/>
      <c r="IA47" s="60"/>
      <c r="IB47" s="65">
        <f t="shared" si="77"/>
        <v>46861</v>
      </c>
      <c r="IC47" s="62"/>
      <c r="ID47" s="61"/>
      <c r="IE47" s="61"/>
      <c r="IF47" s="61"/>
      <c r="IG47" s="61"/>
      <c r="IH47" s="61"/>
      <c r="II47" s="61"/>
      <c r="IJ47" s="61"/>
      <c r="IK47" s="61"/>
      <c r="IL47" s="62"/>
      <c r="IM47" s="62"/>
      <c r="IN47" s="62" t="str">
        <f t="shared" si="74"/>
        <v>-</v>
      </c>
      <c r="IO47" s="60"/>
      <c r="IP47" s="65">
        <f t="shared" si="78"/>
        <v>46891</v>
      </c>
      <c r="IQ47" s="62">
        <f t="shared" si="75"/>
        <v>0</v>
      </c>
      <c r="IR47" s="62"/>
      <c r="IS47" s="62"/>
      <c r="IT47" s="62"/>
      <c r="IU47" s="62"/>
      <c r="IV47" s="62"/>
      <c r="IW47" s="62"/>
      <c r="IX47" s="62"/>
      <c r="IY47" s="62"/>
      <c r="IZ47" s="62"/>
      <c r="JA47" s="62"/>
      <c r="JB47" s="62"/>
      <c r="JC47" s="62"/>
      <c r="JD47" s="62"/>
      <c r="JE47" s="62"/>
      <c r="JF47" s="62"/>
      <c r="JG47" s="62"/>
      <c r="JH47" s="65">
        <f>IP47+60</f>
        <v>46951</v>
      </c>
      <c r="JI47" s="67" t="str">
        <f t="shared" si="76"/>
        <v>Q3-2028</v>
      </c>
      <c r="JJ47" s="62"/>
      <c r="JK47" s="60"/>
      <c r="JL47" s="61"/>
      <c r="JM47" s="64"/>
      <c r="JN47" s="62"/>
      <c r="JO47" s="62"/>
      <c r="JP47" s="78"/>
      <c r="JQ47" s="61"/>
      <c r="JR47" s="60"/>
      <c r="JS47" s="62"/>
      <c r="JT47" s="62"/>
      <c r="JU47" s="62"/>
      <c r="JV47" s="62"/>
      <c r="JW47" s="62"/>
      <c r="JX47" s="62"/>
      <c r="JY47" s="60"/>
      <c r="JZ47" s="61"/>
      <c r="KA47" s="61"/>
      <c r="KB47" s="61"/>
      <c r="KC47" s="61"/>
      <c r="KD47" s="61"/>
      <c r="KE47" s="61"/>
      <c r="KF47" s="60"/>
      <c r="KG47" s="86"/>
      <c r="KH47" s="60"/>
      <c r="KI47" s="81" t="str">
        <f t="shared" si="29"/>
        <v/>
      </c>
      <c r="KJ47" s="61" t="str">
        <f t="shared" si="30"/>
        <v>Not Gated</v>
      </c>
      <c r="KK47" s="61" t="str">
        <f t="shared" si="31"/>
        <v/>
      </c>
      <c r="KL47" s="62" t="str">
        <f t="shared" si="32"/>
        <v/>
      </c>
      <c r="KM47" s="62" t="str">
        <f t="shared" si="33"/>
        <v/>
      </c>
      <c r="KN47" s="61" t="str">
        <f t="shared" si="34"/>
        <v>Monopole</v>
      </c>
      <c r="KO47" s="61" t="str">
        <f t="shared" si="35"/>
        <v>EED</v>
      </c>
      <c r="KP47" s="131">
        <f t="shared" si="36"/>
        <v>0</v>
      </c>
      <c r="KQ47" s="131" t="str">
        <f t="shared" si="37"/>
        <v>No Forcast Date</v>
      </c>
      <c r="KR47" s="61" t="str">
        <f t="shared" si="38"/>
        <v xml:space="preserve">0  Not Gated  UTS  EED  No Forcast Date  </v>
      </c>
      <c r="KS47" s="61">
        <f t="shared" si="39"/>
        <v>0</v>
      </c>
      <c r="KT47" s="61" t="str">
        <f t="shared" si="40"/>
        <v/>
      </c>
      <c r="KU47" s="61" t="str">
        <f t="shared" si="41"/>
        <v>Monopole</v>
      </c>
      <c r="KV47" s="61">
        <f t="shared" si="42"/>
        <v>15</v>
      </c>
      <c r="KW47" s="61" t="str">
        <f t="shared" si="43"/>
        <v>Monopole</v>
      </c>
      <c r="KX47" s="61">
        <f t="shared" si="44"/>
        <v>21</v>
      </c>
      <c r="KY47" s="60"/>
      <c r="KZ47" s="60"/>
      <c r="LA47" s="62"/>
      <c r="LB47" s="61"/>
      <c r="LC47" s="62"/>
      <c r="LD47" s="61"/>
      <c r="LE47" s="68" t="str">
        <f t="shared" si="45"/>
        <v>-</v>
      </c>
      <c r="LF47" s="150" t="str">
        <f t="shared" si="46"/>
        <v>-</v>
      </c>
      <c r="LG47" s="60"/>
      <c r="LH47" s="60"/>
      <c r="LI47" s="68">
        <f t="shared" si="47"/>
        <v>199</v>
      </c>
      <c r="LJ47" s="150">
        <f t="shared" si="48"/>
        <v>6.6333333333333337</v>
      </c>
      <c r="LK47" s="60"/>
      <c r="LL47" s="68">
        <f t="shared" si="49"/>
        <v>240</v>
      </c>
      <c r="LM47" s="150">
        <f t="shared" si="50"/>
        <v>8</v>
      </c>
      <c r="LN47" s="60"/>
      <c r="LO47" s="98" t="str">
        <f t="shared" si="51"/>
        <v>-</v>
      </c>
      <c r="LP47" s="68" t="str">
        <f t="shared" si="52"/>
        <v>-</v>
      </c>
      <c r="LQ47" s="150" t="str">
        <f t="shared" si="53"/>
        <v>-</v>
      </c>
      <c r="LR47" s="60"/>
      <c r="LS47" s="98" t="str">
        <f t="shared" si="54"/>
        <v>-</v>
      </c>
      <c r="LT47" s="60"/>
      <c r="LU47" s="60"/>
      <c r="LV47" s="60"/>
      <c r="LW47" s="60"/>
      <c r="LX47" s="60"/>
      <c r="LY47" s="60"/>
      <c r="LZ47" s="60"/>
      <c r="MA47" s="60"/>
      <c r="MB47" s="60"/>
      <c r="MC47" s="60"/>
      <c r="MD47" s="60"/>
      <c r="ME47" s="60"/>
      <c r="MF47" s="60"/>
      <c r="MG47" s="60"/>
      <c r="MH47" s="60"/>
      <c r="MI47" s="60"/>
      <c r="MJ47" s="60"/>
      <c r="MK47" s="60"/>
      <c r="ML47" s="60"/>
      <c r="MM47" s="60"/>
      <c r="MN47" s="60"/>
      <c r="MO47" s="60"/>
    </row>
    <row r="48" spans="2:353" ht="21" customHeight="1" x14ac:dyDescent="0.25">
      <c r="B48" s="84" t="s">
        <v>648</v>
      </c>
      <c r="C48" s="58" t="s">
        <v>633</v>
      </c>
      <c r="D48" s="159" t="s">
        <v>445</v>
      </c>
      <c r="E48" s="159" t="s">
        <v>253</v>
      </c>
      <c r="F48" s="159" t="s">
        <v>475</v>
      </c>
      <c r="G48" s="159"/>
      <c r="H48" s="59"/>
      <c r="I48" s="159" t="s">
        <v>636</v>
      </c>
      <c r="J48" s="159" t="s">
        <v>636</v>
      </c>
      <c r="K48" s="159" t="s">
        <v>636</v>
      </c>
      <c r="L48" s="159" t="s">
        <v>637</v>
      </c>
      <c r="M48" s="159" t="s">
        <v>278</v>
      </c>
      <c r="N48" s="159">
        <v>12</v>
      </c>
      <c r="O48" s="159" t="s">
        <v>240</v>
      </c>
      <c r="P48" s="159">
        <v>15</v>
      </c>
      <c r="Q48" s="159"/>
      <c r="R48" s="160"/>
      <c r="S48" s="159"/>
      <c r="T48" s="159"/>
      <c r="U48" s="61" t="s">
        <v>347</v>
      </c>
      <c r="V48" s="61">
        <v>4</v>
      </c>
      <c r="W48" s="65">
        <f>AR48-60</f>
        <v>45628</v>
      </c>
      <c r="X48" s="72">
        <v>45586</v>
      </c>
      <c r="Y48" s="61" t="s">
        <v>305</v>
      </c>
      <c r="Z48" s="61" t="s">
        <v>242</v>
      </c>
      <c r="AA48" s="61">
        <v>1000</v>
      </c>
      <c r="AB48" s="72">
        <v>45586</v>
      </c>
      <c r="AC48" s="72">
        <v>45590</v>
      </c>
      <c r="AD48" s="72" t="s">
        <v>257</v>
      </c>
      <c r="AE48" s="63">
        <v>1</v>
      </c>
      <c r="AF48" s="72">
        <v>45600</v>
      </c>
      <c r="AG48" s="72">
        <v>45560</v>
      </c>
      <c r="AH48" s="72">
        <v>45602</v>
      </c>
      <c r="AI48" s="61" t="s">
        <v>257</v>
      </c>
      <c r="AJ48" s="61" t="s">
        <v>258</v>
      </c>
      <c r="AK48" s="72">
        <v>45642</v>
      </c>
      <c r="AL48" s="62"/>
      <c r="AM48" s="62"/>
      <c r="AN48" s="64"/>
      <c r="AO48" s="61" t="s">
        <v>296</v>
      </c>
      <c r="AP48" s="61"/>
      <c r="AQ48" s="61" t="s">
        <v>248</v>
      </c>
      <c r="AR48" s="65">
        <v>45688</v>
      </c>
      <c r="AS48" s="62"/>
      <c r="AT48" s="62"/>
      <c r="AU48" s="61"/>
      <c r="AV48" s="61"/>
      <c r="AW48" s="61"/>
      <c r="AX48" s="62"/>
      <c r="AY48" s="62"/>
      <c r="AZ48" s="62"/>
      <c r="BA48" s="61"/>
      <c r="BB48" s="61"/>
      <c r="BC48" s="61"/>
      <c r="BD48" s="65">
        <f>AR48+60</f>
        <v>45748</v>
      </c>
      <c r="BE48" s="62"/>
      <c r="BF48" s="62"/>
      <c r="BG48" s="61"/>
      <c r="BH48" s="65">
        <f>BD48+35</f>
        <v>45783</v>
      </c>
      <c r="BI48" s="62"/>
      <c r="BJ48" s="62"/>
      <c r="BK48" s="63">
        <v>2026</v>
      </c>
      <c r="BL48" s="62"/>
      <c r="BM48" s="62"/>
      <c r="BN48" s="62"/>
      <c r="BO48" s="61"/>
      <c r="BP48" s="65">
        <f>BH48+360</f>
        <v>46143</v>
      </c>
      <c r="BQ48" s="67" t="s">
        <v>292</v>
      </c>
      <c r="BR48" s="62"/>
      <c r="BS48" s="61"/>
      <c r="BT48" s="65">
        <f>BP48</f>
        <v>46143</v>
      </c>
      <c r="BU48" s="65" t="s">
        <v>292</v>
      </c>
      <c r="BV48" s="65"/>
      <c r="BW48" s="147"/>
      <c r="BX48" s="65">
        <f t="shared" si="68"/>
        <v>0</v>
      </c>
      <c r="BY48" s="61"/>
      <c r="BZ48" s="61" t="s">
        <v>383</v>
      </c>
      <c r="CA48" s="61"/>
      <c r="CB48" s="62"/>
      <c r="CC48" s="61"/>
      <c r="CD48" s="68" t="s">
        <v>537</v>
      </c>
      <c r="CE48" s="122" t="s">
        <v>251</v>
      </c>
      <c r="CF48" s="61"/>
      <c r="CG48" s="61"/>
      <c r="CH48" s="61"/>
      <c r="CI48" s="62"/>
      <c r="CJ48" s="62"/>
      <c r="CK48" s="61"/>
      <c r="CL48" s="69"/>
      <c r="CM48" s="61"/>
      <c r="CN48" s="61"/>
      <c r="CO48" s="61"/>
      <c r="CP48" s="61"/>
      <c r="CQ48" s="64"/>
      <c r="CR48" s="60"/>
      <c r="CS48" s="70"/>
      <c r="CT48" s="61"/>
      <c r="CU48" s="61"/>
      <c r="CV48" s="61"/>
      <c r="CW48" s="61"/>
      <c r="CX48" s="61"/>
      <c r="CY48" s="61"/>
      <c r="CZ48" s="61"/>
      <c r="DA48" s="61"/>
      <c r="DB48" s="61"/>
      <c r="DC48" s="61"/>
      <c r="DD48" s="61"/>
      <c r="DE48" s="61"/>
      <c r="DF48" s="61"/>
      <c r="DG48" s="64"/>
      <c r="DH48" s="60"/>
      <c r="DI48" s="62"/>
      <c r="DJ48" s="62"/>
      <c r="DK48" s="62"/>
      <c r="DL48" s="62"/>
      <c r="DM48" s="62"/>
      <c r="DN48" s="62"/>
      <c r="DO48" s="62"/>
      <c r="DP48" s="62"/>
      <c r="DQ48" s="62"/>
      <c r="DR48" s="62"/>
      <c r="DS48" s="62"/>
      <c r="DT48" s="62"/>
      <c r="DU48" s="62"/>
      <c r="DV48" s="62"/>
      <c r="DW48" s="62"/>
      <c r="DX48" s="62"/>
      <c r="DY48" s="62"/>
      <c r="DZ48" s="62"/>
      <c r="EA48" s="62"/>
      <c r="EB48" s="62"/>
      <c r="EC48" s="62"/>
      <c r="ED48" s="62"/>
      <c r="EE48" s="62"/>
      <c r="EF48" s="62"/>
      <c r="EG48" s="62"/>
      <c r="EH48" s="60"/>
      <c r="EI48" s="62"/>
      <c r="EJ48" s="61"/>
      <c r="EK48" s="84"/>
      <c r="EL48" s="70"/>
      <c r="EM48" s="71"/>
      <c r="EN48" s="133">
        <f t="shared" si="69"/>
        <v>1</v>
      </c>
      <c r="EO48" s="61">
        <f t="shared" si="70"/>
        <v>0</v>
      </c>
      <c r="EP48" s="62"/>
      <c r="EQ48" s="62"/>
      <c r="ER48" s="73"/>
      <c r="ES48" s="62"/>
      <c r="ET48" s="62"/>
      <c r="EU48" s="62"/>
      <c r="EV48" s="62"/>
      <c r="EW48" s="62"/>
      <c r="EX48" s="62"/>
      <c r="EY48" s="61">
        <f t="shared" si="71"/>
        <v>1</v>
      </c>
      <c r="EZ48" s="61"/>
      <c r="FA48" s="62">
        <v>46388</v>
      </c>
      <c r="FB48" s="73"/>
      <c r="FC48" s="61"/>
      <c r="FD48" s="61"/>
      <c r="FE48" s="61"/>
      <c r="FF48" s="68" t="str">
        <f t="shared" si="72"/>
        <v>No FP / No Demand</v>
      </c>
      <c r="FG48" s="76">
        <f t="shared" si="73"/>
        <v>46388</v>
      </c>
      <c r="FH48" s="65">
        <f t="shared" si="79"/>
        <v>46143</v>
      </c>
      <c r="FI48" s="76"/>
      <c r="FJ48" s="62">
        <v>46327</v>
      </c>
      <c r="FK48" s="62"/>
      <c r="FL48" s="61"/>
      <c r="FM48" s="61"/>
      <c r="FN48" s="61"/>
      <c r="FO48" s="60"/>
      <c r="FP48" s="110"/>
      <c r="FQ48" s="110"/>
      <c r="FR48" s="61"/>
      <c r="FS48" s="61"/>
      <c r="FT48" s="61"/>
      <c r="FU48" s="61"/>
      <c r="FV48" s="60"/>
      <c r="FW48" s="61"/>
      <c r="FX48" s="61"/>
      <c r="FY48" s="61"/>
      <c r="FZ48" s="61"/>
      <c r="GA48" s="61"/>
      <c r="GB48" s="61"/>
      <c r="GC48" s="61"/>
      <c r="GD48" s="61"/>
      <c r="GE48" s="61"/>
      <c r="GF48" s="61"/>
      <c r="GG48" s="61"/>
      <c r="GH48" s="61"/>
      <c r="GI48" s="60"/>
      <c r="GJ48" s="62"/>
      <c r="GK48" s="62"/>
      <c r="GL48" s="62"/>
      <c r="GM48" s="62"/>
      <c r="GN48" s="63"/>
      <c r="GO48" s="63"/>
      <c r="GP48" s="62"/>
      <c r="GQ48" s="62"/>
      <c r="GR48" s="62"/>
      <c r="GS48" s="62"/>
      <c r="GT48" s="62"/>
      <c r="GU48" s="62"/>
      <c r="GV48" s="78"/>
      <c r="GW48" s="62"/>
      <c r="GX48" s="62"/>
      <c r="GY48" s="62"/>
      <c r="GZ48" s="62"/>
      <c r="HA48" s="67"/>
      <c r="HB48" s="62"/>
      <c r="HC48" s="62"/>
      <c r="HD48" s="62"/>
      <c r="HE48" s="65"/>
      <c r="HF48" s="107"/>
      <c r="HG48" s="65">
        <f t="shared" si="80"/>
        <v>46337</v>
      </c>
      <c r="HH48" s="62"/>
      <c r="HI48" s="61"/>
      <c r="HJ48" s="62"/>
      <c r="HK48" s="62"/>
      <c r="HL48" s="107"/>
      <c r="HM48" s="65">
        <f t="shared" si="81"/>
        <v>46387</v>
      </c>
      <c r="HN48" s="63"/>
      <c r="HO48" s="62"/>
      <c r="HP48" s="78"/>
      <c r="HQ48" s="60"/>
      <c r="HR48" s="63"/>
      <c r="HS48" s="107"/>
      <c r="HT48" s="63"/>
      <c r="HU48" s="107"/>
      <c r="HV48" s="62"/>
      <c r="HW48" s="62"/>
      <c r="HX48" s="79"/>
      <c r="HY48" s="62"/>
      <c r="HZ48" s="79"/>
      <c r="IA48" s="60"/>
      <c r="IB48" s="65">
        <f t="shared" si="77"/>
        <v>46397</v>
      </c>
      <c r="IC48" s="62"/>
      <c r="ID48" s="61"/>
      <c r="IE48" s="61"/>
      <c r="IF48" s="61"/>
      <c r="IG48" s="61"/>
      <c r="IH48" s="61"/>
      <c r="II48" s="61"/>
      <c r="IJ48" s="61"/>
      <c r="IK48" s="61"/>
      <c r="IL48" s="62"/>
      <c r="IM48" s="62"/>
      <c r="IN48" s="62" t="str">
        <f t="shared" si="74"/>
        <v>-</v>
      </c>
      <c r="IO48" s="60"/>
      <c r="IP48" s="65">
        <f t="shared" si="78"/>
        <v>46427</v>
      </c>
      <c r="IQ48" s="62">
        <f t="shared" si="75"/>
        <v>0</v>
      </c>
      <c r="IR48" s="62"/>
      <c r="IS48" s="62"/>
      <c r="IT48" s="62"/>
      <c r="IU48" s="62"/>
      <c r="IV48" s="62"/>
      <c r="IW48" s="62"/>
      <c r="IX48" s="62"/>
      <c r="IY48" s="62"/>
      <c r="IZ48" s="62"/>
      <c r="JA48" s="62"/>
      <c r="JB48" s="62"/>
      <c r="JC48" s="62"/>
      <c r="JD48" s="62"/>
      <c r="JE48" s="62"/>
      <c r="JF48" s="62"/>
      <c r="JG48" s="62"/>
      <c r="JH48" s="65">
        <f>IP48+60</f>
        <v>46487</v>
      </c>
      <c r="JI48" s="67" t="str">
        <f t="shared" si="76"/>
        <v>Q2-2027</v>
      </c>
      <c r="JJ48" s="62"/>
      <c r="JK48" s="60"/>
      <c r="JL48" s="61"/>
      <c r="JM48" s="64"/>
      <c r="JN48" s="62"/>
      <c r="JO48" s="62"/>
      <c r="JP48" s="78"/>
      <c r="JQ48" s="61"/>
      <c r="JR48" s="60"/>
      <c r="JS48" s="62"/>
      <c r="JT48" s="62"/>
      <c r="JU48" s="62"/>
      <c r="JV48" s="62"/>
      <c r="JW48" s="62"/>
      <c r="JX48" s="62"/>
      <c r="JY48" s="60"/>
      <c r="JZ48" s="61"/>
      <c r="KA48" s="61"/>
      <c r="KB48" s="61"/>
      <c r="KC48" s="61"/>
      <c r="KD48" s="61"/>
      <c r="KE48" s="61"/>
      <c r="KF48" s="60"/>
      <c r="KG48" s="86"/>
      <c r="KH48" s="60"/>
      <c r="KI48" s="81" t="str">
        <f t="shared" si="29"/>
        <v/>
      </c>
      <c r="KJ48" s="61" t="str">
        <f t="shared" si="30"/>
        <v>Not Gated</v>
      </c>
      <c r="KK48" s="61" t="str">
        <f t="shared" si="31"/>
        <v/>
      </c>
      <c r="KL48" s="62" t="str">
        <f t="shared" si="32"/>
        <v/>
      </c>
      <c r="KM48" s="62" t="str">
        <f t="shared" si="33"/>
        <v/>
      </c>
      <c r="KN48" s="61" t="str">
        <f t="shared" si="34"/>
        <v>Monopole</v>
      </c>
      <c r="KO48" s="61" t="str">
        <f t="shared" si="35"/>
        <v>EED</v>
      </c>
      <c r="KP48" s="131">
        <f t="shared" si="36"/>
        <v>0</v>
      </c>
      <c r="KQ48" s="131" t="str">
        <f t="shared" si="37"/>
        <v>No Forcast Date</v>
      </c>
      <c r="KR48" s="61" t="str">
        <f t="shared" si="38"/>
        <v xml:space="preserve">0  Not Gated  UTS  EED  No Forcast Date  </v>
      </c>
      <c r="KS48" s="61">
        <f t="shared" si="39"/>
        <v>0</v>
      </c>
      <c r="KT48" s="61" t="str">
        <f t="shared" si="40"/>
        <v/>
      </c>
      <c r="KU48" s="61" t="str">
        <f t="shared" si="41"/>
        <v>Wooden Pole</v>
      </c>
      <c r="KV48" s="61">
        <f t="shared" si="42"/>
        <v>12</v>
      </c>
      <c r="KW48" s="61" t="str">
        <f t="shared" si="43"/>
        <v>Monopole</v>
      </c>
      <c r="KX48" s="61">
        <f t="shared" si="44"/>
        <v>15</v>
      </c>
      <c r="KY48" s="60"/>
      <c r="KZ48" s="60"/>
      <c r="LA48" s="62"/>
      <c r="LB48" s="61"/>
      <c r="LC48" s="62"/>
      <c r="LD48" s="61"/>
      <c r="LE48" s="68" t="str">
        <f t="shared" si="45"/>
        <v>-</v>
      </c>
      <c r="LF48" s="150" t="str">
        <f t="shared" si="46"/>
        <v>-</v>
      </c>
      <c r="LG48" s="60"/>
      <c r="LH48" s="60"/>
      <c r="LI48" s="68" t="str">
        <f t="shared" si="47"/>
        <v>-</v>
      </c>
      <c r="LJ48" s="150" t="str">
        <f t="shared" si="48"/>
        <v>-</v>
      </c>
      <c r="LK48" s="60"/>
      <c r="LL48" s="68" t="str">
        <f t="shared" si="49"/>
        <v>-</v>
      </c>
      <c r="LM48" s="150" t="str">
        <f t="shared" si="50"/>
        <v>-</v>
      </c>
      <c r="LN48" s="60"/>
      <c r="LO48" s="98" t="str">
        <f t="shared" si="51"/>
        <v>-</v>
      </c>
      <c r="LP48" s="68" t="str">
        <f t="shared" si="52"/>
        <v>-</v>
      </c>
      <c r="LQ48" s="150" t="str">
        <f t="shared" si="53"/>
        <v>-</v>
      </c>
      <c r="LR48" s="60"/>
      <c r="LS48" s="98" t="str">
        <f t="shared" si="54"/>
        <v>-</v>
      </c>
      <c r="LT48" s="60"/>
      <c r="LU48" s="60"/>
      <c r="LV48" s="60"/>
      <c r="LW48" s="60"/>
      <c r="LX48" s="60"/>
      <c r="LY48" s="60"/>
      <c r="LZ48" s="60"/>
      <c r="MA48" s="60"/>
      <c r="MB48" s="60"/>
      <c r="MC48" s="60"/>
      <c r="MD48" s="60"/>
      <c r="ME48" s="60"/>
      <c r="MF48" s="60"/>
      <c r="MG48" s="60"/>
      <c r="MH48" s="60"/>
      <c r="MI48" s="60"/>
      <c r="MJ48" s="60"/>
      <c r="MK48" s="60"/>
      <c r="ML48" s="60"/>
      <c r="MM48" s="60"/>
      <c r="MN48" s="60"/>
      <c r="MO48" s="60"/>
    </row>
    <row r="49" spans="2:353" ht="21" customHeight="1" x14ac:dyDescent="0.25">
      <c r="B49" s="84" t="s">
        <v>649</v>
      </c>
      <c r="C49" s="58" t="s">
        <v>633</v>
      </c>
      <c r="D49" s="159" t="s">
        <v>443</v>
      </c>
      <c r="E49" s="159" t="s">
        <v>253</v>
      </c>
      <c r="F49" s="159" t="s">
        <v>470</v>
      </c>
      <c r="G49" s="159"/>
      <c r="H49" s="59"/>
      <c r="I49" s="159" t="s">
        <v>636</v>
      </c>
      <c r="J49" s="159" t="s">
        <v>636</v>
      </c>
      <c r="K49" s="159" t="s">
        <v>636</v>
      </c>
      <c r="L49" s="159" t="s">
        <v>637</v>
      </c>
      <c r="M49" s="159" t="s">
        <v>356</v>
      </c>
      <c r="N49" s="159">
        <v>15</v>
      </c>
      <c r="O49" s="159" t="s">
        <v>255</v>
      </c>
      <c r="P49" s="159">
        <v>20</v>
      </c>
      <c r="Q49" s="159"/>
      <c r="R49" s="160"/>
      <c r="S49" s="159" t="s">
        <v>630</v>
      </c>
      <c r="T49" s="159"/>
      <c r="U49" s="61" t="s">
        <v>268</v>
      </c>
      <c r="V49" s="61">
        <v>3</v>
      </c>
      <c r="W49" s="65"/>
      <c r="X49" s="72" t="s">
        <v>257</v>
      </c>
      <c r="Y49" s="61" t="s">
        <v>241</v>
      </c>
      <c r="Z49" s="61" t="s">
        <v>270</v>
      </c>
      <c r="AA49" s="61">
        <v>2500</v>
      </c>
      <c r="AB49" s="72">
        <v>43773</v>
      </c>
      <c r="AC49" s="72">
        <v>43944</v>
      </c>
      <c r="AD49" s="72"/>
      <c r="AE49" s="63"/>
      <c r="AF49" s="72">
        <v>44257</v>
      </c>
      <c r="AG49" s="72"/>
      <c r="AH49" s="72"/>
      <c r="AI49" s="61" t="s">
        <v>257</v>
      </c>
      <c r="AJ49" s="61" t="s">
        <v>258</v>
      </c>
      <c r="AK49" s="62"/>
      <c r="AL49" s="72">
        <v>44208</v>
      </c>
      <c r="AM49" s="62"/>
      <c r="AN49" s="64"/>
      <c r="AO49" s="61" t="s">
        <v>296</v>
      </c>
      <c r="AP49" s="61"/>
      <c r="AQ49" s="61" t="s">
        <v>248</v>
      </c>
      <c r="AR49" s="65">
        <v>44271</v>
      </c>
      <c r="AS49" s="72">
        <v>44271</v>
      </c>
      <c r="AT49" s="72">
        <v>44273</v>
      </c>
      <c r="AU49" s="61">
        <v>21286</v>
      </c>
      <c r="AV49" s="61"/>
      <c r="AW49" s="61"/>
      <c r="AX49" s="62"/>
      <c r="AY49" s="62"/>
      <c r="AZ49" s="62"/>
      <c r="BA49" s="61"/>
      <c r="BB49" s="61"/>
      <c r="BC49" s="61"/>
      <c r="BD49" s="65">
        <v>44334</v>
      </c>
      <c r="BE49" s="140">
        <v>44328</v>
      </c>
      <c r="BF49" s="62" t="s">
        <v>272</v>
      </c>
      <c r="BG49" s="61">
        <v>0</v>
      </c>
      <c r="BH49" s="65">
        <v>44365</v>
      </c>
      <c r="BI49" s="72">
        <v>44365</v>
      </c>
      <c r="BJ49" s="62" t="s">
        <v>272</v>
      </c>
      <c r="BK49" s="61">
        <v>2021</v>
      </c>
      <c r="BL49" s="62">
        <v>44355</v>
      </c>
      <c r="BM49" s="62"/>
      <c r="BN49" s="62"/>
      <c r="BO49" s="61"/>
      <c r="BP49" s="65"/>
      <c r="BQ49" s="67"/>
      <c r="BR49" s="62"/>
      <c r="BS49" s="61"/>
      <c r="BT49" s="65">
        <v>44365</v>
      </c>
      <c r="BU49" s="65" t="s">
        <v>292</v>
      </c>
      <c r="BV49" s="65">
        <v>44365</v>
      </c>
      <c r="BW49" s="147" t="s">
        <v>272</v>
      </c>
      <c r="BX49" s="65">
        <f t="shared" si="68"/>
        <v>46190</v>
      </c>
      <c r="BY49" s="61" t="s">
        <v>273</v>
      </c>
      <c r="BZ49" s="61" t="s">
        <v>436</v>
      </c>
      <c r="CA49" s="61"/>
      <c r="CB49" s="72" t="s">
        <v>257</v>
      </c>
      <c r="CC49" s="61"/>
      <c r="CD49" s="68" t="s">
        <v>536</v>
      </c>
      <c r="CE49" s="60" t="s">
        <v>274</v>
      </c>
      <c r="CF49" s="61"/>
      <c r="CG49" s="61"/>
      <c r="CH49" s="61"/>
      <c r="CI49" s="62"/>
      <c r="CJ49" s="62"/>
      <c r="CK49" s="61"/>
      <c r="CL49" s="69"/>
      <c r="CM49" s="61"/>
      <c r="CN49" s="61"/>
      <c r="CO49" s="61"/>
      <c r="CP49" s="61"/>
      <c r="CQ49" s="64"/>
      <c r="CR49" s="60"/>
      <c r="CS49" s="70" t="s">
        <v>606</v>
      </c>
      <c r="CT49" s="61" t="s">
        <v>269</v>
      </c>
      <c r="CU49" s="61" t="s">
        <v>269</v>
      </c>
      <c r="CV49" s="91" t="s">
        <v>304</v>
      </c>
      <c r="CW49" s="61" t="s">
        <v>269</v>
      </c>
      <c r="CX49" s="61" t="s">
        <v>269</v>
      </c>
      <c r="CY49" s="61" t="s">
        <v>269</v>
      </c>
      <c r="CZ49" s="61" t="s">
        <v>269</v>
      </c>
      <c r="DA49" s="61"/>
      <c r="DB49" s="61"/>
      <c r="DC49" s="61"/>
      <c r="DD49" s="61"/>
      <c r="DE49" s="61"/>
      <c r="DF49" s="61" t="s">
        <v>269</v>
      </c>
      <c r="DG49" s="61" t="s">
        <v>269</v>
      </c>
      <c r="DH49" s="60"/>
      <c r="DI49" s="62"/>
      <c r="DJ49" s="62"/>
      <c r="DK49" s="62" t="s">
        <v>276</v>
      </c>
      <c r="DL49" s="62" t="s">
        <v>276</v>
      </c>
      <c r="DM49" s="116"/>
      <c r="DN49" s="116"/>
      <c r="DO49" s="62" t="s">
        <v>276</v>
      </c>
      <c r="DP49" s="62" t="s">
        <v>276</v>
      </c>
      <c r="DQ49" s="62"/>
      <c r="DR49" s="62"/>
      <c r="DS49" s="62"/>
      <c r="DT49" s="62"/>
      <c r="DU49" s="62"/>
      <c r="DV49" s="62"/>
      <c r="DW49" s="62"/>
      <c r="DX49" s="62"/>
      <c r="DY49" s="62"/>
      <c r="DZ49" s="62"/>
      <c r="EA49" s="62"/>
      <c r="EB49" s="62"/>
      <c r="EC49" s="62"/>
      <c r="ED49" s="62"/>
      <c r="EE49" s="62"/>
      <c r="EF49" s="62"/>
      <c r="EG49" s="62"/>
      <c r="EH49" s="60"/>
      <c r="EI49" s="72" t="s">
        <v>276</v>
      </c>
      <c r="EJ49" s="72" t="s">
        <v>276</v>
      </c>
      <c r="EK49" s="61">
        <v>1</v>
      </c>
      <c r="EL49" s="70"/>
      <c r="EM49" s="71"/>
      <c r="EN49" s="133">
        <f t="shared" si="69"/>
        <v>2</v>
      </c>
      <c r="EO49" s="61">
        <f t="shared" si="70"/>
        <v>1</v>
      </c>
      <c r="EP49" s="72">
        <v>44666</v>
      </c>
      <c r="EQ49" s="62"/>
      <c r="ER49" s="72">
        <v>44666</v>
      </c>
      <c r="ES49" s="62"/>
      <c r="ET49" s="62"/>
      <c r="EU49" s="62"/>
      <c r="EV49" s="62"/>
      <c r="EW49" s="62"/>
      <c r="EX49" s="62"/>
      <c r="EY49" s="61">
        <f t="shared" si="71"/>
        <v>1</v>
      </c>
      <c r="EZ49" s="61"/>
      <c r="FA49" s="61"/>
      <c r="FB49" s="74"/>
      <c r="FC49" s="62">
        <v>47119</v>
      </c>
      <c r="FD49" s="61"/>
      <c r="FE49" s="61"/>
      <c r="FF49" s="68" t="str">
        <f t="shared" si="72"/>
        <v>FP &amp; Demand</v>
      </c>
      <c r="FG49" s="76">
        <f t="shared" si="73"/>
        <v>47119</v>
      </c>
      <c r="FH49" s="65">
        <f t="shared" si="79"/>
        <v>44365</v>
      </c>
      <c r="FI49" s="76"/>
      <c r="FJ49" s="62">
        <f>FH49+7</f>
        <v>44372</v>
      </c>
      <c r="FK49" s="62">
        <v>44382</v>
      </c>
      <c r="FL49" s="61" t="s">
        <v>299</v>
      </c>
      <c r="FM49" s="61"/>
      <c r="FN49" s="61"/>
      <c r="FO49" s="60"/>
      <c r="FP49" s="64"/>
      <c r="FQ49" s="64"/>
      <c r="FR49" s="61"/>
      <c r="FS49" s="77" t="s">
        <v>257</v>
      </c>
      <c r="FT49" s="61"/>
      <c r="FU49" s="61"/>
      <c r="FV49" s="60"/>
      <c r="FW49" s="61"/>
      <c r="FX49" s="61"/>
      <c r="FY49" s="61"/>
      <c r="FZ49" s="61"/>
      <c r="GA49" s="61"/>
      <c r="GB49" s="61"/>
      <c r="GC49" s="61"/>
      <c r="GD49" s="61"/>
      <c r="GE49" s="61"/>
      <c r="GF49" s="61"/>
      <c r="GG49" s="61"/>
      <c r="GH49" s="61"/>
      <c r="GI49" s="60"/>
      <c r="GJ49" s="62"/>
      <c r="GK49" s="62"/>
      <c r="GL49" s="62"/>
      <c r="GM49" s="62"/>
      <c r="GN49" s="63"/>
      <c r="GO49" s="63"/>
      <c r="GP49" s="62"/>
      <c r="GQ49" s="62"/>
      <c r="GR49" s="62"/>
      <c r="GS49" s="62"/>
      <c r="GT49" s="62"/>
      <c r="GU49" s="62"/>
      <c r="GV49" s="78"/>
      <c r="GW49" s="62"/>
      <c r="GX49" s="62"/>
      <c r="GY49" s="62"/>
      <c r="GZ49" s="62"/>
      <c r="HA49" s="67"/>
      <c r="HB49" s="62"/>
      <c r="HC49" s="62"/>
      <c r="HD49" s="62"/>
      <c r="HE49" s="65"/>
      <c r="HF49" s="62"/>
      <c r="HG49" s="65">
        <f t="shared" si="80"/>
        <v>44382</v>
      </c>
      <c r="HH49" s="62"/>
      <c r="HI49" s="61"/>
      <c r="HJ49" s="62"/>
      <c r="HK49" s="62"/>
      <c r="HL49" s="62"/>
      <c r="HM49" s="65">
        <f t="shared" si="81"/>
        <v>44432</v>
      </c>
      <c r="HN49" s="63"/>
      <c r="HO49" s="62"/>
      <c r="HP49" s="78"/>
      <c r="HQ49" s="60"/>
      <c r="HR49" s="63"/>
      <c r="HS49" s="62"/>
      <c r="HT49" s="63"/>
      <c r="HU49" s="62"/>
      <c r="HV49" s="62"/>
      <c r="HW49" s="62"/>
      <c r="HX49" s="79"/>
      <c r="HY49" s="62"/>
      <c r="HZ49" s="79"/>
      <c r="IA49" s="60"/>
      <c r="IB49" s="65">
        <f t="shared" si="77"/>
        <v>44442</v>
      </c>
      <c r="IC49" s="62"/>
      <c r="ID49" s="61"/>
      <c r="IE49" s="61"/>
      <c r="IF49" s="61"/>
      <c r="IG49" s="61"/>
      <c r="IH49" s="61"/>
      <c r="II49" s="61"/>
      <c r="IJ49" s="61"/>
      <c r="IK49" s="61"/>
      <c r="IL49" s="62"/>
      <c r="IM49" s="62"/>
      <c r="IN49" s="62" t="str">
        <f t="shared" si="74"/>
        <v>n/a</v>
      </c>
      <c r="IO49" s="60"/>
      <c r="IP49" s="65">
        <f t="shared" si="78"/>
        <v>44472</v>
      </c>
      <c r="IQ49" s="62">
        <f t="shared" si="75"/>
        <v>0</v>
      </c>
      <c r="IR49" s="62"/>
      <c r="IS49" s="62"/>
      <c r="IT49" s="62"/>
      <c r="IU49" s="62"/>
      <c r="IV49" s="62"/>
      <c r="IW49" s="62"/>
      <c r="IX49" s="62"/>
      <c r="IY49" s="62"/>
      <c r="IZ49" s="62"/>
      <c r="JA49" s="62"/>
      <c r="JB49" s="62"/>
      <c r="JC49" s="62"/>
      <c r="JD49" s="62"/>
      <c r="JE49" s="62"/>
      <c r="JF49" s="62"/>
      <c r="JG49" s="62"/>
      <c r="JH49" s="65">
        <v>44666</v>
      </c>
      <c r="JI49" s="67" t="str">
        <f t="shared" si="76"/>
        <v>Q2-2022</v>
      </c>
      <c r="JJ49" s="80">
        <v>44666</v>
      </c>
      <c r="JK49" s="60"/>
      <c r="JL49" s="61"/>
      <c r="JM49" s="64"/>
      <c r="JN49" s="62"/>
      <c r="JO49" s="62" t="s">
        <v>257</v>
      </c>
      <c r="JP49" s="78" t="s">
        <v>278</v>
      </c>
      <c r="JQ49" s="72">
        <v>44736</v>
      </c>
      <c r="JR49" s="60"/>
      <c r="JS49" s="62"/>
      <c r="JT49" s="62"/>
      <c r="JU49" s="62"/>
      <c r="JV49" s="62"/>
      <c r="JW49" s="62"/>
      <c r="JX49" s="62"/>
      <c r="JY49" s="60"/>
      <c r="JZ49" s="61"/>
      <c r="KA49" s="61"/>
      <c r="KB49" s="61"/>
      <c r="KC49" s="61"/>
      <c r="KD49" s="61"/>
      <c r="KE49" s="61"/>
      <c r="KF49" s="60"/>
      <c r="KG49" s="86"/>
      <c r="KH49" s="60"/>
      <c r="KI49" s="81" t="str">
        <f t="shared" si="29"/>
        <v>TMOxxxx</v>
      </c>
      <c r="KJ49" s="61" t="str">
        <f t="shared" si="30"/>
        <v>Live</v>
      </c>
      <c r="KK49" s="61" t="str">
        <f t="shared" si="31"/>
        <v>TMOxxxx</v>
      </c>
      <c r="KL49" s="62">
        <f t="shared" si="32"/>
        <v>44666</v>
      </c>
      <c r="KM49" s="62">
        <f t="shared" si="33"/>
        <v>44666</v>
      </c>
      <c r="KN49" s="61" t="str">
        <f t="shared" si="34"/>
        <v>Lattice</v>
      </c>
      <c r="KO49" s="61" t="str">
        <f t="shared" si="35"/>
        <v>EED</v>
      </c>
      <c r="KP49" s="131">
        <f t="shared" si="36"/>
        <v>0</v>
      </c>
      <c r="KQ49" s="131" t="str">
        <f t="shared" si="37"/>
        <v>Q2-2022</v>
      </c>
      <c r="KR49" s="61" t="str">
        <f t="shared" si="38"/>
        <v xml:space="preserve">0  Live  UTS  EED  Q2-2022  </v>
      </c>
      <c r="KS49" s="61" t="str">
        <f t="shared" si="39"/>
        <v>RFI</v>
      </c>
      <c r="KT49" s="61" t="str">
        <f t="shared" si="40"/>
        <v>Site name</v>
      </c>
      <c r="KU49" s="61" t="str">
        <f t="shared" si="41"/>
        <v>Lattice Tower</v>
      </c>
      <c r="KV49" s="61">
        <f t="shared" si="42"/>
        <v>15</v>
      </c>
      <c r="KW49" s="61" t="str">
        <f t="shared" si="43"/>
        <v>Lattice</v>
      </c>
      <c r="KX49" s="61">
        <f t="shared" si="44"/>
        <v>20</v>
      </c>
      <c r="KY49" s="60"/>
      <c r="KZ49" s="60"/>
      <c r="LA49" s="62"/>
      <c r="LB49" s="61"/>
      <c r="LC49" s="62"/>
      <c r="LD49" s="61"/>
      <c r="LE49" s="68" t="str">
        <f t="shared" si="45"/>
        <v>-</v>
      </c>
      <c r="LF49" s="150" t="str">
        <f t="shared" si="46"/>
        <v>-</v>
      </c>
      <c r="LG49" s="60"/>
      <c r="LH49" s="60"/>
      <c r="LI49" s="68">
        <f t="shared" si="47"/>
        <v>57</v>
      </c>
      <c r="LJ49" s="150">
        <f t="shared" si="48"/>
        <v>1.9</v>
      </c>
      <c r="LK49" s="60"/>
      <c r="LL49" s="68">
        <f t="shared" si="49"/>
        <v>94</v>
      </c>
      <c r="LM49" s="150">
        <f t="shared" si="50"/>
        <v>3.1333333333333333</v>
      </c>
      <c r="LN49" s="60"/>
      <c r="LO49" s="98" t="str">
        <f t="shared" si="51"/>
        <v>-</v>
      </c>
      <c r="LP49" s="68" t="str">
        <f t="shared" si="52"/>
        <v>-</v>
      </c>
      <c r="LQ49" s="150" t="str">
        <f t="shared" si="53"/>
        <v>-</v>
      </c>
      <c r="LR49" s="60"/>
      <c r="LS49" s="98" t="str">
        <f t="shared" si="54"/>
        <v>-</v>
      </c>
      <c r="LT49" s="60"/>
      <c r="LU49" s="60"/>
      <c r="LV49" s="60"/>
      <c r="LW49" s="60"/>
      <c r="LX49" s="60"/>
      <c r="LY49" s="60"/>
      <c r="LZ49" s="60"/>
      <c r="MA49" s="60"/>
      <c r="MB49" s="60"/>
      <c r="MC49" s="60"/>
      <c r="MD49" s="60"/>
      <c r="ME49" s="60"/>
      <c r="MF49" s="60"/>
      <c r="MG49" s="60"/>
      <c r="MH49" s="60"/>
      <c r="MI49" s="60"/>
      <c r="MJ49" s="60"/>
      <c r="MK49" s="60"/>
      <c r="ML49" s="60"/>
      <c r="MM49" s="60"/>
      <c r="MN49" s="60"/>
      <c r="MO49" s="60"/>
    </row>
    <row r="50" spans="2:353" ht="21" customHeight="1" x14ac:dyDescent="0.25">
      <c r="B50" s="115" t="s">
        <v>648</v>
      </c>
      <c r="C50" s="58" t="s">
        <v>633</v>
      </c>
      <c r="D50" s="159" t="s">
        <v>446</v>
      </c>
      <c r="E50" s="159" t="s">
        <v>253</v>
      </c>
      <c r="F50" s="159" t="s">
        <v>463</v>
      </c>
      <c r="G50" s="159"/>
      <c r="H50" s="59"/>
      <c r="I50" s="159" t="s">
        <v>636</v>
      </c>
      <c r="J50" s="159" t="s">
        <v>636</v>
      </c>
      <c r="K50" s="159" t="s">
        <v>636</v>
      </c>
      <c r="L50" s="159" t="s">
        <v>637</v>
      </c>
      <c r="M50" s="159" t="s">
        <v>278</v>
      </c>
      <c r="N50" s="159">
        <v>12</v>
      </c>
      <c r="O50" s="159" t="s">
        <v>567</v>
      </c>
      <c r="P50" s="159">
        <v>12</v>
      </c>
      <c r="Q50" s="159"/>
      <c r="R50" s="160"/>
      <c r="S50" s="159"/>
      <c r="T50" s="159" t="s">
        <v>409</v>
      </c>
      <c r="U50" s="61" t="s">
        <v>360</v>
      </c>
      <c r="V50" s="61">
        <v>4</v>
      </c>
      <c r="W50" s="65"/>
      <c r="X50" s="72">
        <v>44050</v>
      </c>
      <c r="Y50" s="61" t="s">
        <v>305</v>
      </c>
      <c r="Z50" s="61" t="s">
        <v>270</v>
      </c>
      <c r="AA50" s="61">
        <v>1000</v>
      </c>
      <c r="AB50" s="72">
        <v>44050</v>
      </c>
      <c r="AC50" s="72">
        <v>44109</v>
      </c>
      <c r="AD50" s="72"/>
      <c r="AE50" s="63"/>
      <c r="AF50" s="72">
        <v>44169</v>
      </c>
      <c r="AG50" s="62"/>
      <c r="AH50" s="62"/>
      <c r="AI50" s="61"/>
      <c r="AJ50" s="61"/>
      <c r="AK50" s="62"/>
      <c r="AL50" s="62"/>
      <c r="AM50" s="62"/>
      <c r="AN50" s="64"/>
      <c r="AO50" s="61" t="s">
        <v>296</v>
      </c>
      <c r="AP50" s="61" t="s">
        <v>247</v>
      </c>
      <c r="AQ50" s="61" t="s">
        <v>248</v>
      </c>
      <c r="AR50" s="65">
        <v>44176</v>
      </c>
      <c r="AS50" s="72">
        <v>44176</v>
      </c>
      <c r="AT50" s="72" t="s">
        <v>257</v>
      </c>
      <c r="AU50" s="61">
        <v>201561</v>
      </c>
      <c r="AV50" s="61" t="s">
        <v>269</v>
      </c>
      <c r="AW50" s="61" t="s">
        <v>243</v>
      </c>
      <c r="AX50" s="62">
        <v>44243</v>
      </c>
      <c r="AY50" s="62">
        <v>44423</v>
      </c>
      <c r="AZ50" s="72">
        <v>44420</v>
      </c>
      <c r="BA50" s="62" t="s">
        <v>243</v>
      </c>
      <c r="BB50" s="62" t="s">
        <v>243</v>
      </c>
      <c r="BC50" s="62" t="s">
        <v>243</v>
      </c>
      <c r="BD50" s="65">
        <v>44423</v>
      </c>
      <c r="BE50" s="72">
        <v>44441</v>
      </c>
      <c r="BF50" s="75" t="s">
        <v>307</v>
      </c>
      <c r="BG50" s="61">
        <v>3</v>
      </c>
      <c r="BH50" s="65">
        <v>44458</v>
      </c>
      <c r="BI50" s="62"/>
      <c r="BJ50" s="62" t="s">
        <v>344</v>
      </c>
      <c r="BK50" s="61">
        <v>2022</v>
      </c>
      <c r="BL50" s="62">
        <v>44468</v>
      </c>
      <c r="BM50" s="72">
        <v>44468</v>
      </c>
      <c r="BN50" s="62"/>
      <c r="BO50" s="61">
        <v>311525</v>
      </c>
      <c r="BP50" s="65">
        <v>44602</v>
      </c>
      <c r="BQ50" s="67"/>
      <c r="BR50" s="72">
        <v>44593</v>
      </c>
      <c r="BS50" s="88" t="s">
        <v>272</v>
      </c>
      <c r="BT50" s="65">
        <v>44593</v>
      </c>
      <c r="BU50" s="65" t="s">
        <v>292</v>
      </c>
      <c r="BV50" s="65">
        <v>44593</v>
      </c>
      <c r="BW50" s="147" t="s">
        <v>272</v>
      </c>
      <c r="BX50" s="65">
        <f t="shared" si="68"/>
        <v>46418</v>
      </c>
      <c r="BY50" s="61" t="s">
        <v>273</v>
      </c>
      <c r="BZ50" s="61" t="s">
        <v>373</v>
      </c>
      <c r="CA50" s="61"/>
      <c r="CB50" s="72" t="s">
        <v>257</v>
      </c>
      <c r="CC50" s="61" t="s">
        <v>257</v>
      </c>
      <c r="CD50" s="68" t="s">
        <v>536</v>
      </c>
      <c r="CE50" s="60" t="s">
        <v>274</v>
      </c>
      <c r="CF50" s="61"/>
      <c r="CG50" s="62"/>
      <c r="CH50" s="78"/>
      <c r="CI50" s="78"/>
      <c r="CJ50" s="78">
        <v>44226</v>
      </c>
      <c r="CK50" s="78" t="s">
        <v>324</v>
      </c>
      <c r="CL50" s="138">
        <v>44287</v>
      </c>
      <c r="CM50" s="78"/>
      <c r="CN50" s="64"/>
      <c r="CO50" s="70"/>
      <c r="CP50" s="78"/>
      <c r="CQ50" s="64" t="s">
        <v>374</v>
      </c>
      <c r="CR50" s="60"/>
      <c r="CS50" s="70" t="s">
        <v>558</v>
      </c>
      <c r="CT50" s="61" t="s">
        <v>269</v>
      </c>
      <c r="CU50" s="82" t="s">
        <v>275</v>
      </c>
      <c r="CV50" s="82" t="s">
        <v>275</v>
      </c>
      <c r="CW50" s="61" t="s">
        <v>269</v>
      </c>
      <c r="CX50" s="61" t="s">
        <v>269</v>
      </c>
      <c r="CY50" s="61" t="s">
        <v>269</v>
      </c>
      <c r="CZ50" s="61" t="s">
        <v>269</v>
      </c>
      <c r="DA50" s="61"/>
      <c r="DB50" s="61"/>
      <c r="DC50" s="61"/>
      <c r="DD50" s="61"/>
      <c r="DE50" s="61"/>
      <c r="DF50" s="61" t="s">
        <v>269</v>
      </c>
      <c r="DG50" s="64" t="s">
        <v>269</v>
      </c>
      <c r="DH50" s="60"/>
      <c r="DI50" s="84"/>
      <c r="DJ50" s="84"/>
      <c r="DK50" s="116"/>
      <c r="DL50" s="116"/>
      <c r="DM50" s="116"/>
      <c r="DN50" s="116"/>
      <c r="DO50" s="61" t="s">
        <v>276</v>
      </c>
      <c r="DP50" s="61" t="s">
        <v>276</v>
      </c>
      <c r="DQ50" s="84"/>
      <c r="DR50" s="84"/>
      <c r="DS50" s="84"/>
      <c r="DT50" s="84"/>
      <c r="DU50" s="84"/>
      <c r="DV50" s="84"/>
      <c r="DW50" s="84"/>
      <c r="DX50" s="84"/>
      <c r="DY50" s="84"/>
      <c r="DZ50" s="84"/>
      <c r="EA50" s="84"/>
      <c r="EB50" s="84"/>
      <c r="EC50" s="84"/>
      <c r="ED50" s="84"/>
      <c r="EE50" s="84"/>
      <c r="EF50" s="84"/>
      <c r="EG50" s="84"/>
      <c r="EH50" s="60"/>
      <c r="EI50" s="83">
        <v>44809</v>
      </c>
      <c r="EJ50" s="72">
        <v>44819</v>
      </c>
      <c r="EK50" s="61">
        <v>2</v>
      </c>
      <c r="EL50" s="70"/>
      <c r="EM50" s="71"/>
      <c r="EN50" s="133">
        <f t="shared" si="69"/>
        <v>2</v>
      </c>
      <c r="EO50" s="61">
        <f t="shared" si="70"/>
        <v>1</v>
      </c>
      <c r="EP50" s="62"/>
      <c r="EQ50" s="62">
        <v>44532</v>
      </c>
      <c r="ER50" s="73"/>
      <c r="ES50" s="62"/>
      <c r="ET50" s="62"/>
      <c r="EU50" s="62"/>
      <c r="EV50" s="62"/>
      <c r="EW50" s="62"/>
      <c r="EX50" s="62"/>
      <c r="EY50" s="61">
        <f t="shared" si="71"/>
        <v>1</v>
      </c>
      <c r="EZ50" s="117">
        <v>46023</v>
      </c>
      <c r="FA50" s="62"/>
      <c r="FB50" s="73"/>
      <c r="FC50" s="61"/>
      <c r="FD50" s="61"/>
      <c r="FE50" s="61"/>
      <c r="FF50" s="68" t="str">
        <f t="shared" si="72"/>
        <v>FP &amp; Demand</v>
      </c>
      <c r="FG50" s="76">
        <f t="shared" si="73"/>
        <v>46023</v>
      </c>
      <c r="FH50" s="65">
        <f t="shared" si="79"/>
        <v>44593</v>
      </c>
      <c r="FI50" s="76" t="s">
        <v>570</v>
      </c>
      <c r="FJ50" s="62">
        <v>45931</v>
      </c>
      <c r="FK50" s="62">
        <f>FJ50+7</f>
        <v>45938</v>
      </c>
      <c r="FL50" s="61"/>
      <c r="FM50" s="61"/>
      <c r="FN50" s="61"/>
      <c r="FO50" s="60"/>
      <c r="FP50" s="64"/>
      <c r="FQ50" s="64"/>
      <c r="FR50" s="61"/>
      <c r="FS50" s="61"/>
      <c r="FT50" s="61"/>
      <c r="FU50" s="61"/>
      <c r="FV50" s="60"/>
      <c r="FW50" s="61"/>
      <c r="FX50" s="61"/>
      <c r="FY50" s="61"/>
      <c r="FZ50" s="61"/>
      <c r="GA50" s="61"/>
      <c r="GB50" s="61"/>
      <c r="GC50" s="61"/>
      <c r="GD50" s="61"/>
      <c r="GE50" s="61"/>
      <c r="GF50" s="61"/>
      <c r="GG50" s="61"/>
      <c r="GH50" s="61"/>
      <c r="GI50" s="60"/>
      <c r="GJ50" s="62"/>
      <c r="GK50" s="62"/>
      <c r="GL50" s="62"/>
      <c r="GM50" s="62"/>
      <c r="GN50" s="63"/>
      <c r="GO50" s="63"/>
      <c r="GP50" s="62"/>
      <c r="GQ50" s="62"/>
      <c r="GR50" s="62"/>
      <c r="GS50" s="62"/>
      <c r="GT50" s="62"/>
      <c r="GU50" s="62"/>
      <c r="GV50" s="62"/>
      <c r="GW50" s="62"/>
      <c r="GX50" s="62"/>
      <c r="GY50" s="62"/>
      <c r="GZ50" s="62"/>
      <c r="HA50" s="65"/>
      <c r="HB50" s="62"/>
      <c r="HC50" s="62"/>
      <c r="HD50" s="62"/>
      <c r="HE50" s="65"/>
      <c r="HF50" s="107"/>
      <c r="HG50" s="65">
        <f t="shared" si="80"/>
        <v>45941</v>
      </c>
      <c r="HH50" s="62"/>
      <c r="HI50" s="61"/>
      <c r="HJ50" s="62"/>
      <c r="HK50" s="62"/>
      <c r="HL50" s="107"/>
      <c r="HM50" s="65">
        <f t="shared" si="81"/>
        <v>45991</v>
      </c>
      <c r="HN50" s="63"/>
      <c r="HO50" s="107"/>
      <c r="HP50" s="78"/>
      <c r="HQ50" s="60"/>
      <c r="HR50" s="63"/>
      <c r="HS50" s="62"/>
      <c r="HT50" s="63"/>
      <c r="HU50" s="62"/>
      <c r="HV50" s="62"/>
      <c r="HW50" s="62"/>
      <c r="HX50" s="79"/>
      <c r="HY50" s="62"/>
      <c r="HZ50" s="79"/>
      <c r="IA50" s="60"/>
      <c r="IB50" s="65">
        <f t="shared" si="77"/>
        <v>46001</v>
      </c>
      <c r="IC50" s="62"/>
      <c r="ID50" s="61"/>
      <c r="IE50" s="61"/>
      <c r="IF50" s="61"/>
      <c r="IG50" s="61"/>
      <c r="IH50" s="61"/>
      <c r="II50" s="61"/>
      <c r="IJ50" s="61"/>
      <c r="IK50" s="61"/>
      <c r="IL50" s="62"/>
      <c r="IM50" s="62"/>
      <c r="IN50" s="72">
        <f t="shared" si="74"/>
        <v>44819</v>
      </c>
      <c r="IO50" s="60"/>
      <c r="IP50" s="65">
        <f t="shared" si="78"/>
        <v>46031</v>
      </c>
      <c r="IQ50" s="62">
        <f t="shared" si="75"/>
        <v>0</v>
      </c>
      <c r="IR50" s="62"/>
      <c r="IS50" s="62"/>
      <c r="IT50" s="62"/>
      <c r="IU50" s="62"/>
      <c r="IV50" s="62"/>
      <c r="IW50" s="62"/>
      <c r="IX50" s="62"/>
      <c r="IY50" s="62"/>
      <c r="IZ50" s="62"/>
      <c r="JA50" s="62"/>
      <c r="JB50" s="62"/>
      <c r="JC50" s="62"/>
      <c r="JD50" s="62"/>
      <c r="JE50" s="62"/>
      <c r="JF50" s="62"/>
      <c r="JG50" s="62"/>
      <c r="JH50" s="65">
        <f>IP50+60</f>
        <v>46091</v>
      </c>
      <c r="JI50" s="67" t="str">
        <f t="shared" si="76"/>
        <v>Q1-2026</v>
      </c>
      <c r="JJ50" s="62"/>
      <c r="JK50" s="60"/>
      <c r="JL50" s="61"/>
      <c r="JM50" s="64"/>
      <c r="JN50" s="62"/>
      <c r="JO50" s="62"/>
      <c r="JP50" s="78"/>
      <c r="JQ50" s="61"/>
      <c r="JR50" s="60"/>
      <c r="JS50" s="62"/>
      <c r="JT50" s="62"/>
      <c r="JU50" s="62"/>
      <c r="JV50" s="62"/>
      <c r="JW50" s="62"/>
      <c r="JX50" s="62"/>
      <c r="JY50" s="60"/>
      <c r="JZ50" s="61"/>
      <c r="KA50" s="61"/>
      <c r="KB50" s="61"/>
      <c r="KC50" s="61"/>
      <c r="KD50" s="61"/>
      <c r="KE50" s="61"/>
      <c r="KF50" s="60"/>
      <c r="KG50" s="86"/>
      <c r="KH50" s="60"/>
      <c r="KI50" s="81" t="str">
        <f t="shared" si="29"/>
        <v>TLMxxxx</v>
      </c>
      <c r="KJ50" s="61" t="str">
        <f t="shared" si="30"/>
        <v>Live</v>
      </c>
      <c r="KK50" s="61" t="str">
        <f t="shared" si="31"/>
        <v>TLMxxxx</v>
      </c>
      <c r="KL50" s="62">
        <f t="shared" si="32"/>
        <v>46091</v>
      </c>
      <c r="KM50" s="62" t="str">
        <f t="shared" si="33"/>
        <v/>
      </c>
      <c r="KN50" s="61" t="str">
        <f t="shared" si="34"/>
        <v>Modular Monopole</v>
      </c>
      <c r="KO50" s="61" t="str">
        <f t="shared" si="35"/>
        <v>EED</v>
      </c>
      <c r="KP50" s="131" t="str">
        <f t="shared" si="36"/>
        <v>On Hold - ROI</v>
      </c>
      <c r="KQ50" s="131" t="str">
        <f t="shared" si="37"/>
        <v>Q1-2026</v>
      </c>
      <c r="KR50" s="61" t="str">
        <f t="shared" si="38"/>
        <v xml:space="preserve">On Hold - ROI  Live  UTS  EED  Q1-2026  </v>
      </c>
      <c r="KS50" s="61">
        <f t="shared" si="39"/>
        <v>0</v>
      </c>
      <c r="KT50" s="61" t="str">
        <f t="shared" si="40"/>
        <v>Site name</v>
      </c>
      <c r="KU50" s="61" t="str">
        <f t="shared" si="41"/>
        <v>Wooden Pole</v>
      </c>
      <c r="KV50" s="61">
        <f t="shared" si="42"/>
        <v>12</v>
      </c>
      <c r="KW50" s="61" t="str">
        <f t="shared" si="43"/>
        <v>Modular Monopole</v>
      </c>
      <c r="KX50" s="61">
        <f t="shared" si="44"/>
        <v>12</v>
      </c>
      <c r="KY50" s="60"/>
      <c r="KZ50" s="60"/>
      <c r="LA50" s="62"/>
      <c r="LB50" s="61"/>
      <c r="LC50" s="62"/>
      <c r="LD50" s="61"/>
      <c r="LE50" s="68" t="str">
        <f t="shared" si="45"/>
        <v>-</v>
      </c>
      <c r="LF50" s="150" t="str">
        <f t="shared" si="46"/>
        <v>-</v>
      </c>
      <c r="LG50" s="60"/>
      <c r="LH50" s="60"/>
      <c r="LI50" s="68">
        <f t="shared" si="47"/>
        <v>265</v>
      </c>
      <c r="LJ50" s="150">
        <f t="shared" si="48"/>
        <v>8.8333333333333339</v>
      </c>
      <c r="LK50" s="60"/>
      <c r="LL50" s="68">
        <f t="shared" si="49"/>
        <v>417</v>
      </c>
      <c r="LM50" s="150">
        <f t="shared" si="50"/>
        <v>13.9</v>
      </c>
      <c r="LN50" s="60"/>
      <c r="LO50" s="98">
        <f t="shared" si="51"/>
        <v>44468</v>
      </c>
      <c r="LP50" s="68">
        <f t="shared" si="52"/>
        <v>125</v>
      </c>
      <c r="LQ50" s="150">
        <f t="shared" si="53"/>
        <v>4.166666666666667</v>
      </c>
      <c r="LR50" s="60"/>
      <c r="LS50" s="98">
        <f t="shared" si="54"/>
        <v>44593</v>
      </c>
      <c r="LT50" s="60"/>
      <c r="LU50" s="60"/>
      <c r="LV50" s="60"/>
      <c r="LW50" s="60"/>
      <c r="LX50" s="60"/>
      <c r="LY50" s="60"/>
      <c r="LZ50" s="60"/>
      <c r="MA50" s="60"/>
      <c r="MB50" s="60"/>
      <c r="MC50" s="60"/>
      <c r="MD50" s="60"/>
      <c r="ME50" s="60"/>
      <c r="MF50" s="60"/>
      <c r="MG50" s="60"/>
      <c r="MH50" s="60"/>
      <c r="MI50" s="60"/>
      <c r="MJ50" s="60"/>
      <c r="MK50" s="60"/>
      <c r="ML50" s="60"/>
      <c r="MM50" s="60"/>
      <c r="MN50" s="60"/>
      <c r="MO50" s="60"/>
    </row>
  </sheetData>
  <sheetProtection formatCells="0" autoFilter="0"/>
  <autoFilter ref="A5:MO5" xr:uid="{926CCF38-2263-4A9D-B8E9-20CCD4C221D9}"/>
  <sortState xmlns:xlrd2="http://schemas.microsoft.com/office/spreadsheetml/2017/richdata2" ref="A8:CR50">
    <sortCondition ref="AS5:AS50"/>
  </sortState>
  <mergeCells count="1">
    <mergeCell ref="KJ4:KT4"/>
  </mergeCells>
  <phoneticPr fontId="11" type="noConversion"/>
  <conditionalFormatting sqref="B6:B50">
    <cfRule type="duplicateValues" dxfId="27" priority="2481"/>
  </conditionalFormatting>
  <conditionalFormatting sqref="B5:C5">
    <cfRule type="duplicateValues" dxfId="26" priority="498"/>
  </conditionalFormatting>
  <conditionalFormatting sqref="C6:C50">
    <cfRule type="duplicateValues" dxfId="25" priority="2480"/>
  </conditionalFormatting>
  <conditionalFormatting sqref="G6:G10 G12:G50">
    <cfRule type="cellIs" dxfId="24" priority="436" operator="equal">
      <formula>"Closed"</formula>
    </cfRule>
  </conditionalFormatting>
  <conditionalFormatting sqref="BF6:BF50 BS6:BS50 BW6:BW50">
    <cfRule type="cellIs" dxfId="23" priority="366" operator="equal">
      <formula>"REFUSED"</formula>
    </cfRule>
    <cfRule type="cellIs" dxfId="22" priority="367" operator="equal">
      <formula>"GRANT"</formula>
    </cfRule>
  </conditionalFormatting>
  <conditionalFormatting sqref="BJ6:BJ50">
    <cfRule type="cellIs" dxfId="21" priority="32" operator="equal">
      <formula>"REFUSED"</formula>
    </cfRule>
    <cfRule type="cellIs" dxfId="20" priority="33" operator="equal">
      <formula>"3P APPEAL"</formula>
    </cfRule>
    <cfRule type="cellIs" dxfId="19" priority="34" operator="equal">
      <formula>"TL APPEAL"</formula>
    </cfRule>
    <cfRule type="cellIs" dxfId="18" priority="35" operator="equal">
      <formula>"GRANT"</formula>
    </cfRule>
  </conditionalFormatting>
  <conditionalFormatting sqref="FF6:FF10 FF12:FF50">
    <cfRule type="cellIs" dxfId="17" priority="494" operator="equal">
      <formula>"No FP / No Demand"</formula>
    </cfRule>
    <cfRule type="cellIs" dxfId="16" priority="495" operator="equal">
      <formula>"FP / No Demand"</formula>
    </cfRule>
    <cfRule type="cellIs" dxfId="15" priority="496" operator="equal">
      <formula>"No FP &amp; Demand"</formula>
    </cfRule>
    <cfRule type="cellIs" dxfId="14" priority="497" operator="equal">
      <formula>"FP &amp; Demand"</formula>
    </cfRule>
  </conditionalFormatting>
  <conditionalFormatting sqref="FH6:FH10 HG6:HG10 HM6:HM10 IB6:IB10 IP6:IP10 FH12:FH50 HG12:HG50 HM12:HM50 IB12:IB50 IP12:IP50">
    <cfRule type="cellIs" dxfId="13" priority="493" operator="lessThan">
      <formula>1000</formula>
    </cfRule>
  </conditionalFormatting>
  <conditionalFormatting sqref="IQ6:IQ10 IQ12:IQ15 IQ17:IQ50">
    <cfRule type="cellIs" dxfId="12" priority="487" operator="equal">
      <formula>0</formula>
    </cfRule>
  </conditionalFormatting>
  <conditionalFormatting sqref="IR25">
    <cfRule type="cellIs" dxfId="11" priority="459" operator="equal">
      <formula>0</formula>
    </cfRule>
  </conditionalFormatting>
  <conditionalFormatting sqref="IR32">
    <cfRule type="cellIs" dxfId="10" priority="439" operator="equal">
      <formula>0</formula>
    </cfRule>
  </conditionalFormatting>
  <conditionalFormatting sqref="IT19">
    <cfRule type="cellIs" dxfId="9" priority="461" operator="equal">
      <formula>0</formula>
    </cfRule>
  </conditionalFormatting>
  <conditionalFormatting sqref="IV32">
    <cfRule type="cellIs" dxfId="8" priority="440" operator="equal">
      <formula>0</formula>
    </cfRule>
  </conditionalFormatting>
  <conditionalFormatting sqref="IZ19">
    <cfRule type="cellIs" dxfId="7" priority="462" operator="equal">
      <formula>0</formula>
    </cfRule>
  </conditionalFormatting>
  <conditionalFormatting sqref="JH6:JH10 JH12:JH50">
    <cfRule type="cellIs" dxfId="6" priority="1" operator="lessThan">
      <formula>1000</formula>
    </cfRule>
  </conditionalFormatting>
  <conditionalFormatting sqref="JI6:JI10 JI12:JI50">
    <cfRule type="cellIs" dxfId="5" priority="433" operator="equal">
      <formula>"Q4-1900"</formula>
    </cfRule>
    <cfRule type="cellIs" dxfId="4" priority="434" operator="equal">
      <formula>"Q3-1900"</formula>
    </cfRule>
    <cfRule type="cellIs" dxfId="3" priority="435" operator="equal">
      <formula>"Q2-1900"</formula>
    </cfRule>
    <cfRule type="cellIs" dxfId="2" priority="437" operator="equal">
      <formula>"Q1-1900"</formula>
    </cfRule>
  </conditionalFormatting>
  <conditionalFormatting sqref="KQ5">
    <cfRule type="containsErrors" dxfId="1" priority="429">
      <formula>ISERROR(KQ5)</formula>
    </cfRule>
  </conditionalFormatting>
  <dataValidations count="9">
    <dataValidation type="list" allowBlank="1" showInputMessage="1" showErrorMessage="1" sqref="BW6:BW50 BS6:BS50 BF6:BF50" xr:uid="{493159A1-6F65-4D6E-897A-999C0025BBA2}">
      <formula1>"GRANT,REFUSED"</formula1>
    </dataValidation>
    <dataValidation type="list" allowBlank="1" showInputMessage="1" showErrorMessage="1" sqref="BJ6:BJ50" xr:uid="{03854FC1-F3E9-4016-8129-74A5C5AB095C}">
      <formula1>"GRANT,TL APPEAL,3P APPEAL,REFUSED"</formula1>
    </dataValidation>
    <dataValidation type="list" allowBlank="1" showInputMessage="1" showErrorMessage="1" sqref="BY6:BY10 BY12:BY50" xr:uid="{32468006-438D-4E27-A705-9D359230BF38}">
      <formula1>"Submitted,Initial Grant,Refused,Appeal,Final Grant,Exempt,Withdrawn"</formula1>
    </dataValidation>
    <dataValidation type="list" allowBlank="1" showInputMessage="1" showErrorMessage="1" sqref="FL6:FL10 FL12:FL50" xr:uid="{93EF6768-5D4A-44C6-98E3-494EC4DB0418}">
      <formula1>"SI,DD,RFI,Stop"</formula1>
    </dataValidation>
    <dataValidation type="list" allowBlank="1" showInputMessage="1" showErrorMessage="1" sqref="G6:G10 G12:G50" xr:uid="{E67F1F05-F8F5-4258-A39B-174A5FA946CD}">
      <formula1>"Closed"</formula1>
    </dataValidation>
    <dataValidation type="list" allowBlank="1" showInputMessage="1" showErrorMessage="1" sqref="FQ6:FQ10 FQ12:FQ50" xr:uid="{AFC7907F-FFCC-48F0-B9A1-0B63E9A806CC}">
      <formula1>"Lattice Tower,Lattice Extension,Monopole,Rooftop"</formula1>
    </dataValidation>
    <dataValidation type="list" allowBlank="1" showInputMessage="1" showErrorMessage="1" sqref="CD6:CD50" xr:uid="{2E5BC599-A834-4FBD-840E-9A92BF2898EB}">
      <formula1>"Current,Forecast,Complete,Archive"</formula1>
    </dataValidation>
    <dataValidation type="list" allowBlank="1" showInputMessage="1" showErrorMessage="1" sqref="CE6:CE50" xr:uid="{545C81DD-C1F1-4C2B-9FBE-0C0C2F3516D5}">
      <formula1>"1st Appl, 1st Appl - success, 1st Appl - failed, 1st Appl - withdrawn, 2nd Appl, 2nd Appl - success, 2nd Appl - failed, 3rd Appl, 3rd Appl - success, 3rd Appl - failed, 4th Appl, Plan B, Plan B - exempt, 1st Reapply - 1st Appl,Retention"</formula1>
    </dataValidation>
    <dataValidation type="list" allowBlank="1" showInputMessage="1" showErrorMessage="1" sqref="S6:S50" xr:uid="{6AA4BD82-01A3-4A48-899A-46C8DB0D79CC}">
      <formula1>"Hot Swap,Adjacent,Not Adjacent,Option A,Extension"</formula1>
    </dataValidation>
  </dataValidations>
  <pageMargins left="0.7" right="0.7" top="0.75" bottom="0.75" header="0.3" footer="0.3"/>
  <pageSetup paperSize="9" orientation="portrait" r:id="rId1"/>
  <ignoredErrors>
    <ignoredError sqref="FF6:FJ7 M7:N7 AV7:BC7 BM7 AP7 AD6:AM6 AP6:AQ6 AW6:BC6 BG6 BM6:BS6 BX6:BX7 T6:T7 W6:W7 AE7 AG7:AM7 BQ7 JH6:JI7 IN6:IQ7 IB6:IB7 HG6:HM7 KJ6:KR6 KU6:KX6 EN6:EY7 P7:R7 Q6:R6" unlockedFormula="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20279-A4B9-4F87-BEF1-2F6303514AF7}">
  <sheetPr codeName="Sheet9"/>
  <dimension ref="A4:I14"/>
  <sheetViews>
    <sheetView showGridLines="0" workbookViewId="0">
      <selection activeCell="B11" sqref="B11"/>
    </sheetView>
  </sheetViews>
  <sheetFormatPr defaultColWidth="9.140625" defaultRowHeight="15" x14ac:dyDescent="0.25"/>
  <cols>
    <col min="1" max="1" width="15.85546875" style="33" customWidth="1"/>
    <col min="2" max="9" width="9.140625" style="34"/>
    <col min="10" max="16384" width="9.140625" style="33"/>
  </cols>
  <sheetData>
    <row r="4" spans="1:9" x14ac:dyDescent="0.25">
      <c r="A4" s="41" t="s">
        <v>299</v>
      </c>
    </row>
    <row r="5" spans="1:9" ht="27" customHeight="1" x14ac:dyDescent="0.25">
      <c r="B5" s="37">
        <v>45292</v>
      </c>
      <c r="C5" s="38">
        <v>45658</v>
      </c>
      <c r="D5" s="38">
        <v>46023</v>
      </c>
      <c r="E5" s="38">
        <v>46388</v>
      </c>
      <c r="F5" s="38">
        <v>46753</v>
      </c>
      <c r="G5" s="35">
        <v>47119</v>
      </c>
      <c r="H5" s="35">
        <v>47484</v>
      </c>
      <c r="I5" s="35">
        <v>47849</v>
      </c>
    </row>
    <row r="6" spans="1:9" ht="27" customHeight="1" x14ac:dyDescent="0.25">
      <c r="A6" s="41" t="s">
        <v>398</v>
      </c>
      <c r="B6" s="39">
        <f t="array" ref="B6">SUM((Site&lt;&gt;"")*(FC_RFI&gt;=B5)*(FC_RFI&lt;C5))</f>
        <v>3</v>
      </c>
      <c r="C6" s="40">
        <f t="array" ref="C6">SUM((Site&lt;&gt;"")*(FC_RFI&gt;=C5)*(FC_RFI&lt;D5))</f>
        <v>3</v>
      </c>
      <c r="D6" s="39">
        <f t="array" ref="D6">SUM((Site&lt;&gt;"")*(FC_RFI&gt;=D5)*(FC_RFI&lt;E5))</f>
        <v>4</v>
      </c>
      <c r="E6" s="39">
        <f t="array" ref="E6">SUM((Site&lt;&gt;"")*(FC_RFI&gt;=E5)*(FC_RFI&lt;F5))</f>
        <v>6</v>
      </c>
      <c r="F6" s="39">
        <f t="array" ref="F6">SUM((Site&lt;&gt;"")*(FC_RFI&gt;=F5)*(FC_RFI&lt;G5))</f>
        <v>4</v>
      </c>
      <c r="G6" s="36">
        <f t="array" ref="G6">SUM((Site&lt;&gt;"")*(FC_RFI&gt;=G5)*(FC_RFI&lt;H5))</f>
        <v>2</v>
      </c>
      <c r="H6" s="36">
        <f t="array" ref="H6">SUM((Site&lt;&gt;"")*(FC_RFI&gt;=H5)*(FC_RFI&lt;I5))</f>
        <v>0</v>
      </c>
      <c r="I6" s="36">
        <f t="array" ref="I6">SUM((Site&lt;&gt;"")*(FC_RFI&gt;=I5)*(FC_RFI&lt;J5))</f>
        <v>0</v>
      </c>
    </row>
    <row r="7" spans="1:9" x14ac:dyDescent="0.25">
      <c r="A7" s="33" t="s">
        <v>345</v>
      </c>
      <c r="B7" s="34">
        <f t="array" ref="B7">SUM((Site&lt;&gt;"")*(FC_RFI&gt;=B$5)*(FC_RFI&lt;C$5)*(FP_Status=$A7))</f>
        <v>0</v>
      </c>
      <c r="C7" s="34">
        <f t="array" ref="C7">SUM((Site&lt;&gt;"")*(FC_RFI&gt;=C$5)*(FC_RFI&lt;D$5)*(FP_Status=$A7))</f>
        <v>0</v>
      </c>
      <c r="D7" s="34">
        <f t="array" ref="D7">SUM((Site&lt;&gt;"")*(FC_RFI&gt;=D$5)*(FC_RFI&lt;E$5)*(FP_Status=$A7))</f>
        <v>0</v>
      </c>
      <c r="E7" s="34">
        <f t="array" ref="E7">SUM((Site&lt;&gt;"")*(FC_RFI&gt;=E$5)*(FC_RFI&lt;F$5)*(FP_Status=$A7))</f>
        <v>0</v>
      </c>
      <c r="F7" s="34">
        <f t="array" ref="F7">SUM((Site&lt;&gt;"")*(FC_RFI&gt;=F$5)*(FC_RFI&lt;G$5)*(FP_Status=$A7))</f>
        <v>0</v>
      </c>
      <c r="G7" s="34">
        <f t="array" ref="G7">SUM((Site&lt;&gt;"")*(FC_RFI&gt;=G$5)*(FC_RFI&lt;H$5)*(FP_Status=$A7))</f>
        <v>0</v>
      </c>
      <c r="H7" s="34">
        <f t="array" ref="H7">SUM((Site&lt;&gt;"")*(FC_RFI&gt;=H$5)*(FC_RFI&lt;I$5)*(FP_Status=$A7))</f>
        <v>0</v>
      </c>
      <c r="I7" s="34">
        <f t="array" ref="I7">SUM((Site&lt;&gt;"")*(FC_RFI&gt;=I$5)*(FC_RFI&lt;J$5)*(FP_Status=$A7))</f>
        <v>0</v>
      </c>
    </row>
    <row r="8" spans="1:9" x14ac:dyDescent="0.25">
      <c r="A8" s="33" t="s">
        <v>399</v>
      </c>
      <c r="B8" s="34">
        <f t="array" ref="B8">SUM((Site&lt;&gt;"")*(FC_RFI&gt;=B$5)*(FC_RFI&lt;C$5)*(FP_Status=$A8))</f>
        <v>0</v>
      </c>
      <c r="C8" s="34">
        <f t="array" ref="C8">SUM((Site&lt;&gt;"")*(FC_RFI&gt;=C$5)*(FC_RFI&lt;D$5)*(FP_Status=$A8))</f>
        <v>0</v>
      </c>
      <c r="D8" s="34">
        <f t="array" ref="D8">SUM((Site&lt;&gt;"")*(FC_RFI&gt;=D$5)*(FC_RFI&lt;E$5)*(FP_Status=$A8))</f>
        <v>0</v>
      </c>
      <c r="E8" s="34">
        <f t="array" ref="E8">SUM((Site&lt;&gt;"")*(FC_RFI&gt;=E$5)*(FC_RFI&lt;F$5)*(FP_Status=$A8))</f>
        <v>0</v>
      </c>
      <c r="F8" s="34">
        <f t="array" ref="F8">SUM((Site&lt;&gt;"")*(FC_RFI&gt;=F$5)*(FC_RFI&lt;G$5)*(FP_Status=$A8))</f>
        <v>0</v>
      </c>
      <c r="G8" s="34">
        <f t="array" ref="G8">SUM((Site&lt;&gt;"")*(FC_RFI&gt;=G$5)*(FC_RFI&lt;H$5)*(FP_Status=$A8))</f>
        <v>0</v>
      </c>
      <c r="H8" s="34">
        <f t="array" ref="H8">SUM((Site&lt;&gt;"")*(FC_RFI&gt;=H$5)*(FC_RFI&lt;I$5)*(FP_Status=$A8))</f>
        <v>0</v>
      </c>
      <c r="I8" s="34">
        <f t="array" ref="I8">SUM((Site&lt;&gt;"")*(FC_RFI&gt;=I$5)*(FC_RFI&lt;J$5)*(FP_Status=$A8))</f>
        <v>0</v>
      </c>
    </row>
    <row r="9" spans="1:9" x14ac:dyDescent="0.25">
      <c r="A9" s="33" t="s">
        <v>363</v>
      </c>
      <c r="B9" s="34">
        <f t="array" ref="B9">SUM((Site&lt;&gt;"")*(FC_RFI&gt;=B$5)*(FC_RFI&lt;C$5)*(FP_Status=$A9))</f>
        <v>0</v>
      </c>
      <c r="C9" s="34">
        <f t="array" ref="C9">SUM((Site&lt;&gt;"")*(FC_RFI&gt;=C$5)*(FC_RFI&lt;D$5)*(FP_Status=$A9))</f>
        <v>0</v>
      </c>
      <c r="D9" s="34">
        <f t="array" ref="D9">SUM((Site&lt;&gt;"")*(FC_RFI&gt;=D$5)*(FC_RFI&lt;E$5)*(FP_Status=$A9))</f>
        <v>1</v>
      </c>
      <c r="E9" s="34">
        <f t="array" ref="E9">SUM((Site&lt;&gt;"")*(FC_RFI&gt;=E$5)*(FC_RFI&lt;F$5)*(FP_Status=$A9))</f>
        <v>2</v>
      </c>
      <c r="F9" s="34">
        <f t="array" ref="F9">SUM((Site&lt;&gt;"")*(FC_RFI&gt;=F$5)*(FC_RFI&lt;G$5)*(FP_Status=$A9))</f>
        <v>0</v>
      </c>
      <c r="G9" s="34">
        <f t="array" ref="G9">SUM((Site&lt;&gt;"")*(FC_RFI&gt;=G$5)*(FC_RFI&lt;H$5)*(FP_Status=$A9))</f>
        <v>1</v>
      </c>
      <c r="H9" s="34">
        <f t="array" ref="H9">SUM((Site&lt;&gt;"")*(FC_RFI&gt;=H$5)*(FC_RFI&lt;I$5)*(FP_Status=$A9))</f>
        <v>0</v>
      </c>
      <c r="I9" s="34">
        <f t="array" ref="I9">SUM((Site&lt;&gt;"")*(FC_RFI&gt;=I$5)*(FC_RFI&lt;J$5)*(FP_Status=$A9))</f>
        <v>0</v>
      </c>
    </row>
    <row r="10" spans="1:9" x14ac:dyDescent="0.25">
      <c r="A10" s="33" t="s">
        <v>248</v>
      </c>
      <c r="B10" s="34">
        <f t="array" ref="B10">SUM((Site&lt;&gt;"")*(FC_RFI&gt;=B$5)*(FC_RFI&lt;C$5)*(FP_Status=$A10))</f>
        <v>0</v>
      </c>
      <c r="C10" s="34">
        <f t="array" ref="C10">SUM((Site&lt;&gt;"")*(FC_RFI&gt;=C$5)*(FC_RFI&lt;D$5)*(FP_Status=$A10))</f>
        <v>0</v>
      </c>
      <c r="D10" s="34">
        <f t="array" ref="D10">SUM((Site&lt;&gt;"")*(FC_RFI&gt;=D$5)*(FC_RFI&lt;E$5)*(FP_Status=$A10))</f>
        <v>0</v>
      </c>
      <c r="E10" s="34">
        <f t="array" ref="E10">SUM((Site&lt;&gt;"")*(FC_RFI&gt;=E$5)*(FC_RFI&lt;F$5)*(FP_Status=$A10))</f>
        <v>1</v>
      </c>
      <c r="F10" s="34">
        <f t="array" ref="F10">SUM((Site&lt;&gt;"")*(FC_RFI&gt;=F$5)*(FC_RFI&lt;G$5)*(FP_Status=$A10))</f>
        <v>0</v>
      </c>
      <c r="G10" s="34">
        <f t="array" ref="G10">SUM((Site&lt;&gt;"")*(FC_RFI&gt;=G$5)*(FC_RFI&lt;H$5)*(FP_Status=$A10))</f>
        <v>0</v>
      </c>
      <c r="H10" s="34">
        <f t="array" ref="H10">SUM((Site&lt;&gt;"")*(FC_RFI&gt;=H$5)*(FC_RFI&lt;I$5)*(FP_Status=$A10))</f>
        <v>0</v>
      </c>
      <c r="I10" s="34">
        <f t="array" ref="I10">SUM((Site&lt;&gt;"")*(FC_RFI&gt;=I$5)*(FC_RFI&lt;J$5)*(FP_Status=$A10))</f>
        <v>0</v>
      </c>
    </row>
    <row r="11" spans="1:9" x14ac:dyDescent="0.25">
      <c r="A11" s="33" t="s">
        <v>273</v>
      </c>
      <c r="B11" s="34">
        <f t="array" ref="B11">SUM((Site&lt;&gt;"")*(FC_RFI&gt;=B$5)*(FC_RFI&lt;C$5)*(FP_Status=$A11))</f>
        <v>3</v>
      </c>
      <c r="C11" s="34">
        <f t="array" ref="C11">SUM((Site&lt;&gt;"")*(FC_RFI&gt;=C$5)*(FC_RFI&lt;D$5)*(FP_Status=$A11))</f>
        <v>3</v>
      </c>
      <c r="D11" s="34">
        <f t="array" ref="D11">SUM((Site&lt;&gt;"")*(FC_RFI&gt;=D$5)*(FC_RFI&lt;E$5)*(FP_Status=$A11))</f>
        <v>3</v>
      </c>
      <c r="E11" s="34">
        <f t="array" ref="E11">SUM((Site&lt;&gt;"")*(FC_RFI&gt;=E$5)*(FC_RFI&lt;F$5)*(FP_Status=$A11))</f>
        <v>2</v>
      </c>
      <c r="F11" s="34">
        <f t="array" ref="F11">SUM((Site&lt;&gt;"")*(FC_RFI&gt;=F$5)*(FC_RFI&lt;G$5)*(FP_Status=$A11))</f>
        <v>2</v>
      </c>
      <c r="G11" s="34">
        <f t="array" ref="G11">SUM((Site&lt;&gt;"")*(FC_RFI&gt;=G$5)*(FC_RFI&lt;H$5)*(FP_Status=$A11))</f>
        <v>0</v>
      </c>
      <c r="H11" s="34">
        <f t="array" ref="H11">SUM((Site&lt;&gt;"")*(FC_RFI&gt;=H$5)*(FC_RFI&lt;I$5)*(FP_Status=$A11))</f>
        <v>0</v>
      </c>
      <c r="I11" s="34">
        <f t="array" ref="I11">SUM((Site&lt;&gt;"")*(FC_RFI&gt;=I$5)*(FC_RFI&lt;J$5)*(FP_Status=$A11))</f>
        <v>0</v>
      </c>
    </row>
    <row r="12" spans="1:9" x14ac:dyDescent="0.25">
      <c r="A12" s="33" t="s">
        <v>353</v>
      </c>
      <c r="B12" s="34">
        <f t="array" ref="B12">SUM((Site&lt;&gt;"")*(FC_RFI&gt;=B$5)*(FC_RFI&lt;C$5)*(FP_Status=$A12))</f>
        <v>0</v>
      </c>
      <c r="C12" s="34">
        <f t="array" ref="C12">SUM((Site&lt;&gt;"")*(FC_RFI&gt;=C$5)*(FC_RFI&lt;D$5)*(FP_Status=$A12))</f>
        <v>0</v>
      </c>
      <c r="D12" s="34">
        <f t="array" ref="D12">SUM((Site&lt;&gt;"")*(FC_RFI&gt;=D$5)*(FC_RFI&lt;E$5)*(FP_Status=$A12))</f>
        <v>0</v>
      </c>
      <c r="E12" s="34">
        <f t="array" ref="E12">SUM((Site&lt;&gt;"")*(FC_RFI&gt;=E$5)*(FC_RFI&lt;F$5)*(FP_Status=$A12))</f>
        <v>0</v>
      </c>
      <c r="F12" s="34">
        <f t="array" ref="F12">SUM((Site&lt;&gt;"")*(FC_RFI&gt;=F$5)*(FC_RFI&lt;G$5)*(FP_Status=$A12))</f>
        <v>0</v>
      </c>
      <c r="G12" s="34">
        <f t="array" ref="G12">SUM((Site&lt;&gt;"")*(FC_RFI&gt;=G$5)*(FC_RFI&lt;H$5)*(FP_Status=$A12))</f>
        <v>0</v>
      </c>
      <c r="H12" s="34">
        <f t="array" ref="H12">SUM((Site&lt;&gt;"")*(FC_RFI&gt;=H$5)*(FC_RFI&lt;I$5)*(FP_Status=$A12))</f>
        <v>0</v>
      </c>
      <c r="I12" s="34">
        <f t="array" ref="I12">SUM((Site&lt;&gt;"")*(FC_RFI&gt;=I$5)*(FC_RFI&lt;J$5)*(FP_Status=$A12))</f>
        <v>0</v>
      </c>
    </row>
    <row r="13" spans="1:9" x14ac:dyDescent="0.25">
      <c r="B13" s="45">
        <f t="array" ref="B13">SUM((Site&lt;&gt;"")*(FC_RFI&gt;=B$5)*(FC_RFI&lt;C$5)*(FP_Status=$A13))</f>
        <v>0</v>
      </c>
      <c r="C13" s="45">
        <f t="array" ref="C13">SUM((Site&lt;&gt;"")*(FC_RFI&gt;=C$5)*(FC_RFI&lt;D$5)*(FP_Status=$A13))</f>
        <v>0</v>
      </c>
      <c r="D13" s="45">
        <f t="array" ref="D13">SUM((Site&lt;&gt;"")*(FC_RFI&gt;=D$5)*(FC_RFI&lt;E$5)*(FP_Status=$A13))</f>
        <v>0</v>
      </c>
      <c r="E13" s="45">
        <f t="array" ref="E13">SUM((Site&lt;&gt;"")*(FC_RFI&gt;=E$5)*(FC_RFI&lt;F$5)*(FP_Status=$A13))</f>
        <v>1</v>
      </c>
      <c r="F13" s="45">
        <f t="array" ref="F13">SUM((Site&lt;&gt;"")*(FC_RFI&gt;=F$5)*(FC_RFI&lt;G$5)*(FP_Status=$A13))</f>
        <v>2</v>
      </c>
      <c r="G13" s="45">
        <f t="array" ref="G13">SUM((Site&lt;&gt;"")*(FC_RFI&gt;=G$5)*(FC_RFI&lt;H$5)*(FP_Status=$A13))</f>
        <v>1</v>
      </c>
      <c r="H13" s="45">
        <f t="array" ref="H13">SUM((Site&lt;&gt;"")*(FC_RFI&gt;=H$5)*(FC_RFI&lt;I$5)*(FP_Status=$A13))</f>
        <v>0</v>
      </c>
      <c r="I13" s="45">
        <f t="array" ref="I13">SUM((Site&lt;&gt;"")*(FC_RFI&gt;=I$5)*(FC_RFI&lt;J$5)*(FP_Status=$A13))</f>
        <v>0</v>
      </c>
    </row>
    <row r="14" spans="1:9" x14ac:dyDescent="0.25">
      <c r="B14" s="34">
        <f>SUM(B7:B13)</f>
        <v>3</v>
      </c>
      <c r="C14" s="34">
        <f t="shared" ref="C14:I14" si="0">SUM(C7:C13)</f>
        <v>3</v>
      </c>
      <c r="D14" s="34">
        <f t="shared" si="0"/>
        <v>4</v>
      </c>
      <c r="E14" s="34">
        <f t="shared" si="0"/>
        <v>6</v>
      </c>
      <c r="F14" s="34">
        <f t="shared" si="0"/>
        <v>4</v>
      </c>
      <c r="G14" s="34">
        <f t="shared" si="0"/>
        <v>2</v>
      </c>
      <c r="H14" s="34">
        <f t="shared" si="0"/>
        <v>0</v>
      </c>
      <c r="I14" s="34">
        <f t="shared" si="0"/>
        <v>0</v>
      </c>
    </row>
  </sheetData>
  <conditionalFormatting sqref="B7:I13">
    <cfRule type="cellIs" dxfId="0" priority="1" operator="equal">
      <formula>0</formula>
    </cfRule>
  </conditionalFormatting>
  <pageMargins left="0.7" right="0.7" top="0.75" bottom="0.75" header="0.3" footer="0.3"/>
  <pageSetup paperSize="9"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328A46A2079F4B92ABACC2404E6BD2" ma:contentTypeVersion="17" ma:contentTypeDescription="Create a new document." ma:contentTypeScope="" ma:versionID="0a6210d1c0cef37921a37ca714646aa1">
  <xsd:schema xmlns:xsd="http://www.w3.org/2001/XMLSchema" xmlns:xs="http://www.w3.org/2001/XMLSchema" xmlns:p="http://schemas.microsoft.com/office/2006/metadata/properties" xmlns:ns2="282fe374-678a-4583-8ac6-eef482d6136e" xmlns:ns3="3ed90337-94e5-4cb6-8fc9-3018e517bae7" targetNamespace="http://schemas.microsoft.com/office/2006/metadata/properties" ma:root="true" ma:fieldsID="b1c3f20ad4213f7c2ae7434c0a0c0f96" ns2:_="" ns3:_="">
    <xsd:import namespace="282fe374-678a-4583-8ac6-eef482d6136e"/>
    <xsd:import namespace="3ed90337-94e5-4cb6-8fc9-3018e517bae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2fe374-678a-4583-8ac6-eef482d613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00460e2-1b74-4549-b703-a18f865bfa8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d90337-94e5-4cb6-8fc9-3018e517bae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f8bb668c-744d-450d-869f-5b8f772d336e}" ma:internalName="TaxCatchAll" ma:showField="CatchAllData" ma:web="3ed90337-94e5-4cb6-8fc9-3018e517ba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ed90337-94e5-4cb6-8fc9-3018e517bae7" xsi:nil="true"/>
    <lcf76f155ced4ddcb4097134ff3c332f xmlns="282fe374-678a-4583-8ac6-eef482d6136e">
      <Terms xmlns="http://schemas.microsoft.com/office/infopath/2007/PartnerControls"/>
    </lcf76f155ced4ddcb4097134ff3c332f>
    <SharedWithUsers xmlns="3ed90337-94e5-4cb6-8fc9-3018e517bae7">
      <UserInfo>
        <DisplayName>Amy Perrott</DisplayName>
        <AccountId>20</AccountId>
        <AccountType/>
      </UserInfo>
      <UserInfo>
        <DisplayName>Stuart Armstrong</DisplayName>
        <AccountId>26</AccountId>
        <AccountType/>
      </UserInfo>
      <UserInfo>
        <DisplayName>Victor Collins</DisplayName>
        <AccountId>780</AccountId>
        <AccountType/>
      </UserInfo>
      <UserInfo>
        <DisplayName>Morag Pollock</DisplayName>
        <AccountId>24</AccountId>
        <AccountType/>
      </UserInfo>
      <UserInfo>
        <DisplayName>Claire O'Brien</DisplayName>
        <AccountId>28</AccountId>
        <AccountType/>
      </UserInfo>
      <UserInfo>
        <DisplayName>Grainne McKeown</DisplayName>
        <AccountId>19</AccountId>
        <AccountType/>
      </UserInfo>
      <UserInfo>
        <DisplayName>Laura Kearns</DisplayName>
        <AccountId>46</AccountId>
        <AccountType/>
      </UserInfo>
      <UserInfo>
        <DisplayName>Sean Bradley</DisplayName>
        <AccountId>32</AccountId>
        <AccountType/>
      </UserInfo>
    </SharedWithUsers>
  </documentManagement>
</p:properties>
</file>

<file path=customXml/itemProps1.xml><?xml version="1.0" encoding="utf-8"?>
<ds:datastoreItem xmlns:ds="http://schemas.openxmlformats.org/officeDocument/2006/customXml" ds:itemID="{C71BA58E-2C14-4234-A513-AA2ADE70C6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2fe374-678a-4583-8ac6-eef482d6136e"/>
    <ds:schemaRef ds:uri="3ed90337-94e5-4cb6-8fc9-3018e517ba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FE16DA8-8D56-4382-B15C-C03FD1FDBEAC}">
  <ds:schemaRefs>
    <ds:schemaRef ds:uri="http://schemas.microsoft.com/sharepoint/v3/contenttype/forms"/>
  </ds:schemaRefs>
</ds:datastoreItem>
</file>

<file path=customXml/itemProps3.xml><?xml version="1.0" encoding="utf-8"?>
<ds:datastoreItem xmlns:ds="http://schemas.openxmlformats.org/officeDocument/2006/customXml" ds:itemID="{AB3784C0-E0C4-4D5C-8ADE-A48B0D27A1A7}">
  <ds:schemaRefs>
    <ds:schemaRef ds:uri="http://schemas.microsoft.com/office/infopath/2007/PartnerControls"/>
    <ds:schemaRef ds:uri="282fe374-678a-4583-8ac6-eef482d6136e"/>
    <ds:schemaRef ds:uri="http://purl.org/dc/elements/1.1/"/>
    <ds:schemaRef ds:uri="3ed90337-94e5-4cb6-8fc9-3018e517bae7"/>
    <ds:schemaRef ds:uri="http://schemas.microsoft.com/office/2006/documentManagement/types"/>
    <ds:schemaRef ds:uri="http://purl.org/dc/dcmitype/"/>
    <ds:schemaRef ds:uri="http://purl.org/dc/terms/"/>
    <ds:schemaRef ds:uri="http://schemas.openxmlformats.org/package/2006/metadata/core-properties"/>
    <ds:schemaRef ds:uri="http://www.w3.org/XML/1998/namespace"/>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49</vt:i4>
      </vt:variant>
    </vt:vector>
  </HeadingPairs>
  <TitlesOfParts>
    <vt:vector size="51" baseType="lpstr">
      <vt:lpstr>Tracker</vt:lpstr>
      <vt:lpstr>Sheet1</vt:lpstr>
      <vt:lpstr>Actual_ABP_Date</vt:lpstr>
      <vt:lpstr>Actual_CMP</vt:lpstr>
      <vt:lpstr>Actual_DD_Appr</vt:lpstr>
      <vt:lpstr>Actual_Demand</vt:lpstr>
      <vt:lpstr>Actual_Dwg_Appr</vt:lpstr>
      <vt:lpstr>Actual_eir_Notif</vt:lpstr>
      <vt:lpstr>Actual_Found_Compl</vt:lpstr>
      <vt:lpstr>Actual_FP_Decision</vt:lpstr>
      <vt:lpstr>Actual_FP_Decision_Date</vt:lpstr>
      <vt:lpstr>Actual_FP_Instr</vt:lpstr>
      <vt:lpstr>Actual_FP_Subm</vt:lpstr>
      <vt:lpstr>Actual_ICDD</vt:lpstr>
      <vt:lpstr>Actual_Initial</vt:lpstr>
      <vt:lpstr>Actual_Initial_Status</vt:lpstr>
      <vt:lpstr>Actual_LPA_Status</vt:lpstr>
      <vt:lpstr>Actual_Piling_Compl</vt:lpstr>
      <vt:lpstr>Actual_RFI</vt:lpstr>
      <vt:lpstr>Actual_Site_Gated</vt:lpstr>
      <vt:lpstr>Actual_Start</vt:lpstr>
      <vt:lpstr>Actual_Struct_Compl</vt:lpstr>
      <vt:lpstr>Appeal_Subm_Date</vt:lpstr>
      <vt:lpstr>Capex_Cost</vt:lpstr>
      <vt:lpstr>Dur_Appeal_ABP</vt:lpstr>
      <vt:lpstr>Dur_Subm_Final</vt:lpstr>
      <vt:lpstr>Dur_Subm_Init</vt:lpstr>
      <vt:lpstr>FC_DD_Appr</vt:lpstr>
      <vt:lpstr>FC_Demand</vt:lpstr>
      <vt:lpstr>FC_Earliest</vt:lpstr>
      <vt:lpstr>FC_FP_Decision</vt:lpstr>
      <vt:lpstr>FC_FP_Decision_Date</vt:lpstr>
      <vt:lpstr>FC_FP_Instr</vt:lpstr>
      <vt:lpstr>FC_FP_Subm</vt:lpstr>
      <vt:lpstr>FC_ICDD</vt:lpstr>
      <vt:lpstr>FC_RFI</vt:lpstr>
      <vt:lpstr>FC_Site_Gated</vt:lpstr>
      <vt:lpstr>FD</vt:lpstr>
      <vt:lpstr>FI_Request</vt:lpstr>
      <vt:lpstr>FI_Subm</vt:lpstr>
      <vt:lpstr>FP_Appl_Status</vt:lpstr>
      <vt:lpstr>FP_Dwg_Instr</vt:lpstr>
      <vt:lpstr>FP_Status</vt:lpstr>
      <vt:lpstr>JR_Decision</vt:lpstr>
      <vt:lpstr>JR_Decision_Date</vt:lpstr>
      <vt:lpstr>JR_Duration</vt:lpstr>
      <vt:lpstr>JR_Issue</vt:lpstr>
      <vt:lpstr>JR_Status</vt:lpstr>
      <vt:lpstr>Piling_Req</vt:lpstr>
      <vt:lpstr>Site</vt:lpstr>
      <vt:lpstr>Total_Demand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Stuart Armstrong</dc:creator>
  <cp:keywords/>
  <dc:description/>
  <cp:lastModifiedBy>Grainne McKeown</cp:lastModifiedBy>
  <cp:revision/>
  <cp:lastPrinted>2024-05-27T13:31:16Z</cp:lastPrinted>
  <dcterms:created xsi:type="dcterms:W3CDTF">2023-08-08T08:32:11Z</dcterms:created>
  <dcterms:modified xsi:type="dcterms:W3CDTF">2025-03-31T11:54:20Z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0x01010058328A46A2079F4B92ABACC2404E6BD2</vt:lpwstr>
  </property>
  <property fmtid="{D5CDD505-2E9C-101B-9397-08002B2CF9AE}" pid="3" name="MediaServiceImageTags">
    <vt:lpwstr/>
  </property>
</Properties>
</file>