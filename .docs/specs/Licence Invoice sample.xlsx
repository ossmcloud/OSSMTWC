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ckeown.TOWERCOM\Downloads\"/>
    </mc:Choice>
  </mc:AlternateContent>
  <xr:revisionPtr revIDLastSave="0" documentId="13_ncr:1_{3C762DF5-4551-4444-9342-D819C950E9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2" r:id="rId1"/>
    <sheet name="UTS - Licences" sheetId="8" r:id="rId2"/>
    <sheet name="UTS - pro rata" sheetId="7" r:id="rId3"/>
    <sheet name="UTS -Fee review" sheetId="9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1BL" localSheetId="0">[1]Sheet1!#REF!</definedName>
    <definedName name="_1BL" localSheetId="2">[1]Sheet1!#REF!</definedName>
    <definedName name="_1BL">[1]Sheet1!#REF!</definedName>
    <definedName name="_2BL" localSheetId="0">[1]Sheet1!#REF!</definedName>
    <definedName name="_2BL" localSheetId="2">[1]Sheet1!#REF!</definedName>
    <definedName name="_2BL">[1]Sheet1!#REF!</definedName>
    <definedName name="_xlnm._FilterDatabase" localSheetId="1" hidden="1">'UTS - Licences'!$A$4:$H$69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c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c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roved">'[2]eircom TME'!$F$2:$F$9999</definedName>
    <definedName name="Base_rate" localSheetId="0">#REF!</definedName>
    <definedName name="Base_rate" localSheetId="2">#REF!</definedName>
    <definedName name="Base_rate">#REF!</definedName>
    <definedName name="Class">'[2]eircom TME'!$D$2:$D$9999</definedName>
    <definedName name="Comapny_Name" localSheetId="0">#REF!</definedName>
    <definedName name="Comapny_Name" localSheetId="2">#REF!</definedName>
    <definedName name="Comapny_Name">#REF!</definedName>
    <definedName name="Consensus">[3]Control!$G$2</definedName>
    <definedName name="Currency" localSheetId="0">#REF!</definedName>
    <definedName name="Currency" localSheetId="2">#REF!</definedName>
    <definedName name="Currency">#REF!</definedName>
    <definedName name="Customer">#REF!</definedName>
    <definedName name="Date">'[2]eircom TME'!$G$2:$G$9999</definedName>
    <definedName name="eir_count">'[2]eircom GIE'!$W$2:$W$1311</definedName>
    <definedName name="eir_FP">'[2]eircom GIE'!$X$2:$X$1311</definedName>
    <definedName name="eir_GS">'[2]eircom GIE'!$Y$2:$Y$1311</definedName>
    <definedName name="eir_Site">'[2]eircom GIE'!$B$2:$B$1311</definedName>
    <definedName name="eir_stat">'[2]eircom GIE'!$G$2:$G$1311</definedName>
    <definedName name="Exit_Costs" localSheetId="0">#REF!</definedName>
    <definedName name="Exit_Costs" localSheetId="2">#REF!</definedName>
    <definedName name="Exit_Costs">#REF!</definedName>
    <definedName name="Exit_year" localSheetId="0">#REF!</definedName>
    <definedName name="Exit_year" localSheetId="2">#REF!</definedName>
    <definedName name="Exit_year">#REF!</definedName>
    <definedName name="Flag">'[4]Inventory 14.08.19'!$T$2:$T$420</definedName>
    <definedName name="GIE">#REF!</definedName>
    <definedName name="Height">#REF!</definedName>
    <definedName name="Hold">#REF!</definedName>
    <definedName name="HoTs">#REF!</definedName>
    <definedName name="ID">'[4]Inventory 14.08.19'!$B$2:$B$420</definedName>
    <definedName name="Installed">#REF!</definedName>
    <definedName name="Inv_Flag">#REF!</definedName>
    <definedName name="Location">#REF!</definedName>
    <definedName name="NETONE">'[5]Net 1'!$A$1:$H$39</definedName>
    <definedName name="Pre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xlnm.Print_Area" localSheetId="0">Invoice!$B$1:$G$63</definedName>
    <definedName name="_xlnm.Print_Area" localSheetId="1">'UTS - Licences'!$A$1:$H$84</definedName>
    <definedName name="_xlnm.Print_Area" localSheetId="2">'UTS - pro rata'!$A$1:$K$17</definedName>
    <definedName name="_xlnm.Print_Area" localSheetId="3">'UTS -Fee review'!$A$1:$K$81</definedName>
    <definedName name="Queried">#REF!</definedName>
    <definedName name="Rate">'[2]eircom TME'!$Y$2:$Y$9999</definedName>
    <definedName name="Removed">#REF!</definedName>
    <definedName name="Sch">#REF!</definedName>
    <definedName name="SD_Category">#REF!</definedName>
    <definedName name="sencount" hidden="1">1</definedName>
    <definedName name="Site">#REF!</definedName>
    <definedName name="Site_ID">'[2]eircom TME'!$B$2:$B$9999</definedName>
    <definedName name="Site_Name">#REF!</definedName>
    <definedName name="Size">'[2]eircom TME'!$L$2:$L$9999</definedName>
    <definedName name="SRF_Lic_Req">#REF!</definedName>
    <definedName name="SRF_MS10">#REF!</definedName>
    <definedName name="SRF_MS12">#REF!</definedName>
    <definedName name="SRF_MS8">#REF!</definedName>
    <definedName name="SRF_queries">#REF!</definedName>
    <definedName name="SRF_Raised">#REF!</definedName>
    <definedName name="SRF_Signed">#REF!</definedName>
    <definedName name="SSSS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atus">'[2]eircom TME'!$H$2:$H$9999</definedName>
    <definedName name="st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ax_rate" localSheetId="0">#REF!</definedName>
    <definedName name="Tax_rate" localSheetId="2">#REF!</definedName>
    <definedName name="Tax_rate">#REF!</definedName>
    <definedName name="Total">#REF!</definedName>
    <definedName name="Type">'[2]eircom TME'!$J$2:$J$9999</definedName>
    <definedName name="wrn.DCF._.III._.Report." localSheetId="0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localSheetId="1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localSheetId="2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Year_0" localSheetId="0">#REF!</definedName>
    <definedName name="Year_0" localSheetId="2">#REF!</definedName>
    <definedName name="Year_0">#REF!</definedName>
    <definedName name="Year_end" localSheetId="0">#REF!</definedName>
    <definedName name="Year_end" localSheetId="2">#REF!</definedName>
    <definedName name="Year_en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" i="9" l="1"/>
  <c r="H80" i="9" l="1"/>
  <c r="H79" i="9"/>
  <c r="H78" i="9"/>
  <c r="H77" i="9"/>
  <c r="H76" i="9"/>
  <c r="H75" i="9"/>
  <c r="H74" i="9"/>
  <c r="H73" i="9"/>
  <c r="H72" i="9"/>
  <c r="H71" i="9"/>
  <c r="I71" i="9" s="1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I14" i="7"/>
  <c r="H14" i="7"/>
  <c r="J14" i="7" s="1"/>
  <c r="G13" i="7"/>
  <c r="J10" i="7"/>
  <c r="I10" i="7"/>
  <c r="H10" i="7"/>
  <c r="I9" i="7"/>
  <c r="H9" i="7"/>
  <c r="J9" i="7" s="1"/>
  <c r="I8" i="7"/>
  <c r="H8" i="7"/>
  <c r="I7" i="7"/>
  <c r="H7" i="7"/>
  <c r="I6" i="7"/>
  <c r="H6" i="7"/>
  <c r="J6" i="7" s="1"/>
  <c r="I5" i="7"/>
  <c r="H5" i="7"/>
  <c r="J5" i="7" s="1"/>
  <c r="I16" i="9" l="1"/>
  <c r="I28" i="9"/>
  <c r="I40" i="9"/>
  <c r="I52" i="9"/>
  <c r="I64" i="9"/>
  <c r="I6" i="9"/>
  <c r="I18" i="9"/>
  <c r="I30" i="9"/>
  <c r="I42" i="9"/>
  <c r="I54" i="9"/>
  <c r="I66" i="9"/>
  <c r="I8" i="9"/>
  <c r="I68" i="9"/>
  <c r="I9" i="9"/>
  <c r="I69" i="9"/>
  <c r="I10" i="9"/>
  <c r="I22" i="9"/>
  <c r="I34" i="9"/>
  <c r="I46" i="9"/>
  <c r="I58" i="9"/>
  <c r="I70" i="9"/>
  <c r="I12" i="9"/>
  <c r="I24" i="9"/>
  <c r="I36" i="9"/>
  <c r="I48" i="9"/>
  <c r="I60" i="9"/>
  <c r="I72" i="9"/>
  <c r="I14" i="9"/>
  <c r="J8" i="7"/>
  <c r="J7" i="7"/>
  <c r="I7" i="9"/>
  <c r="I13" i="9"/>
  <c r="I19" i="9"/>
  <c r="I25" i="9"/>
  <c r="I31" i="9"/>
  <c r="I37" i="9"/>
  <c r="I43" i="9"/>
  <c r="I49" i="9"/>
  <c r="I55" i="9"/>
  <c r="I61" i="9"/>
  <c r="I67" i="9"/>
  <c r="I73" i="9"/>
  <c r="I20" i="9"/>
  <c r="I26" i="9"/>
  <c r="I32" i="9"/>
  <c r="I38" i="9"/>
  <c r="I44" i="9"/>
  <c r="I50" i="9"/>
  <c r="I56" i="9"/>
  <c r="I62" i="9"/>
  <c r="I15" i="9"/>
  <c r="I21" i="9"/>
  <c r="I27" i="9"/>
  <c r="I33" i="9"/>
  <c r="I39" i="9"/>
  <c r="I45" i="9"/>
  <c r="I51" i="9"/>
  <c r="I57" i="9"/>
  <c r="I63" i="9"/>
  <c r="I5" i="9"/>
  <c r="I11" i="9"/>
  <c r="I17" i="9"/>
  <c r="I23" i="9"/>
  <c r="I29" i="9"/>
  <c r="I35" i="9"/>
  <c r="I41" i="9"/>
  <c r="I47" i="9"/>
  <c r="I53" i="9"/>
  <c r="I59" i="9"/>
  <c r="I65" i="9"/>
  <c r="J17" i="7" l="1"/>
  <c r="E24" i="2" s="1"/>
  <c r="I81" i="9"/>
  <c r="G81" i="8" l="1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E26" i="2"/>
  <c r="G83" i="8" l="1"/>
  <c r="E22" i="2" s="1"/>
  <c r="E36" i="2" l="1"/>
  <c r="E35" i="2"/>
  <c r="E33" i="2" l="1"/>
  <c r="D37" i="2" s="1"/>
  <c r="E37" i="2" s="1"/>
  <c r="E39" i="2" s="1"/>
</calcChain>
</file>

<file path=xl/sharedStrings.xml><?xml version="1.0" encoding="utf-8"?>
<sst xmlns="http://schemas.openxmlformats.org/spreadsheetml/2006/main" count="731" uniqueCount="163">
  <si>
    <t>€</t>
  </si>
  <si>
    <t>Sub Total</t>
  </si>
  <si>
    <t>Grand Total</t>
  </si>
  <si>
    <t>Date</t>
  </si>
  <si>
    <t>Invoice</t>
  </si>
  <si>
    <t>Invoice:</t>
  </si>
  <si>
    <t>PO Number:</t>
  </si>
  <si>
    <t>Invoice to:</t>
  </si>
  <si>
    <t>Description</t>
  </si>
  <si>
    <t xml:space="preserve">VAT @ 0% </t>
  </si>
  <si>
    <t xml:space="preserve">VAT @13.5% </t>
  </si>
  <si>
    <t>Retention of Title</t>
  </si>
  <si>
    <t>Title to any goods supplied by the Company to the Customer shall not pass to the Customer until payment in full has been received for</t>
  </si>
  <si>
    <t>them and for any goods which have been supplied and remain unpaid for. The Company reserves the right to recover goods,which are</t>
  </si>
  <si>
    <t>unpaid for from the Customer and/or Third Party, in the event that a further Sale or Process had taken place.</t>
  </si>
  <si>
    <t>Risk in the goods passes to the Customer upon delivery.</t>
  </si>
  <si>
    <t>Head Office and Accounts:</t>
  </si>
  <si>
    <t>Towercom Limited</t>
  </si>
  <si>
    <t>Payment Terms:</t>
  </si>
  <si>
    <t>Bank</t>
  </si>
  <si>
    <t>AIB Sandyford</t>
  </si>
  <si>
    <t>Address</t>
  </si>
  <si>
    <t>Account Name</t>
  </si>
  <si>
    <t xml:space="preserve">IBAN Number </t>
  </si>
  <si>
    <t>IBAN IE37AIBK93357039614062</t>
  </si>
  <si>
    <t>Swift Code</t>
  </si>
  <si>
    <t>AIBKIE2D</t>
  </si>
  <si>
    <t>Unit 33 Blackthorn Road, Sandyford Industrial Estate, Dublin 18</t>
  </si>
  <si>
    <r>
      <rPr>
        <b/>
        <sz val="10"/>
        <color theme="1"/>
        <rFont val="Arial"/>
        <family val="2"/>
      </rPr>
      <t xml:space="preserve">Email: </t>
    </r>
    <r>
      <rPr>
        <sz val="10"/>
        <color theme="1"/>
        <rFont val="Arial"/>
        <family val="2"/>
      </rPr>
      <t xml:space="preserve"> accounts@towercom.ie</t>
    </r>
  </si>
  <si>
    <r>
      <rPr>
        <b/>
        <sz val="10"/>
        <color theme="1"/>
        <rFont val="Arial"/>
        <family val="2"/>
      </rPr>
      <t>VAT Number:</t>
    </r>
    <r>
      <rPr>
        <sz val="10"/>
        <color theme="1"/>
        <rFont val="Arial"/>
        <family val="2"/>
      </rPr>
      <t xml:space="preserve">  IE9658539A</t>
    </r>
  </si>
  <si>
    <t>Customer:</t>
  </si>
  <si>
    <t>Usher House</t>
  </si>
  <si>
    <t>Main Street</t>
  </si>
  <si>
    <t>Dundrum</t>
  </si>
  <si>
    <t>Dublin 14</t>
  </si>
  <si>
    <r>
      <rPr>
        <b/>
        <sz val="10"/>
        <color theme="1"/>
        <rFont val="Arial"/>
        <family val="2"/>
      </rPr>
      <t xml:space="preserve">Ph: </t>
    </r>
    <r>
      <rPr>
        <sz val="10"/>
        <color theme="1"/>
        <rFont val="Arial"/>
        <family val="2"/>
      </rPr>
      <t xml:space="preserve">      01 531 0210</t>
    </r>
  </si>
  <si>
    <t>NA</t>
  </si>
  <si>
    <t xml:space="preserve">VAT @ 23% </t>
  </si>
  <si>
    <t>Licenced Customer</t>
  </si>
  <si>
    <t>Site ID</t>
  </si>
  <si>
    <t>Site Name</t>
  </si>
  <si>
    <t>Commence Date</t>
  </si>
  <si>
    <t>TLK5009</t>
  </si>
  <si>
    <t>TCK5155</t>
  </si>
  <si>
    <t>Current Licence Fee</t>
  </si>
  <si>
    <t>Licenced Customers</t>
  </si>
  <si>
    <t>Current
Licence Fee</t>
  </si>
  <si>
    <t>New Licence Fee</t>
  </si>
  <si>
    <t>Count of Days</t>
  </si>
  <si>
    <t>Day Rate</t>
  </si>
  <si>
    <t>30 days</t>
  </si>
  <si>
    <t>TLK5209</t>
  </si>
  <si>
    <t>TWX5030</t>
  </si>
  <si>
    <t>TCN5140</t>
  </si>
  <si>
    <t>TCK5094</t>
  </si>
  <si>
    <t>TMO5226</t>
  </si>
  <si>
    <t>TCK5018</t>
  </si>
  <si>
    <t>TCK5134</t>
  </si>
  <si>
    <t>TLK5137</t>
  </si>
  <si>
    <t>TCK5154</t>
  </si>
  <si>
    <t>TLK7036</t>
  </si>
  <si>
    <t>TKY7041</t>
  </si>
  <si>
    <t>TWX5108</t>
  </si>
  <si>
    <t xml:space="preserve"> </t>
  </si>
  <si>
    <t>TCK7351</t>
  </si>
  <si>
    <t>TMH5050</t>
  </si>
  <si>
    <t>TSO5069</t>
  </si>
  <si>
    <t>End Date</t>
  </si>
  <si>
    <t>TLH5099</t>
  </si>
  <si>
    <t>TLK6044</t>
  </si>
  <si>
    <t>TDL5182</t>
  </si>
  <si>
    <t>TWX4003</t>
  </si>
  <si>
    <t>TWX5074</t>
  </si>
  <si>
    <t>TWX7020</t>
  </si>
  <si>
    <t>TCN5006</t>
  </si>
  <si>
    <t>TTP6064</t>
  </si>
  <si>
    <t>TLD5150</t>
  </si>
  <si>
    <t>TCE7038</t>
  </si>
  <si>
    <t>TLH7022</t>
  </si>
  <si>
    <t>TCK7309</t>
  </si>
  <si>
    <t>TLK7326</t>
  </si>
  <si>
    <t>TKY7333</t>
  </si>
  <si>
    <t>TCK5083</t>
  </si>
  <si>
    <t>TDL6013</t>
  </si>
  <si>
    <t>TLS5013</t>
  </si>
  <si>
    <t>TWW7027</t>
  </si>
  <si>
    <t>TMH5037</t>
  </si>
  <si>
    <t>TLK7312</t>
  </si>
  <si>
    <t>TCK5002</t>
  </si>
  <si>
    <t>TMO5012</t>
  </si>
  <si>
    <t>TMN5071</t>
  </si>
  <si>
    <t>TMH7042</t>
  </si>
  <si>
    <t>TCK7344</t>
  </si>
  <si>
    <t>TDU7336</t>
  </si>
  <si>
    <t>TGY5139</t>
  </si>
  <si>
    <t>Upgrade Fees - Upgrade services agreement</t>
  </si>
  <si>
    <t>TRN7007</t>
  </si>
  <si>
    <t>TCK5224</t>
  </si>
  <si>
    <t>TKY2024</t>
  </si>
  <si>
    <t>TLK7021</t>
  </si>
  <si>
    <t>TDU7319</t>
  </si>
  <si>
    <t>TGY5124</t>
  </si>
  <si>
    <t>TOY5177</t>
  </si>
  <si>
    <t>TOY6059</t>
  </si>
  <si>
    <t>TCN7315</t>
  </si>
  <si>
    <t>TOY2036</t>
  </si>
  <si>
    <t>Period: 1 January 2025 to 31 March 2025</t>
  </si>
  <si>
    <t>Pro rata fees to 31 December 2024</t>
  </si>
  <si>
    <t>Quarterly payment information for 01/01/25 - 31/03/25</t>
  </si>
  <si>
    <t>New ID</t>
  </si>
  <si>
    <t>Charge to 
(Jan-Mar 2025)</t>
  </si>
  <si>
    <t>TLK7301</t>
  </si>
  <si>
    <t>TKY7009</t>
  </si>
  <si>
    <t>TCK7314</t>
  </si>
  <si>
    <t>TLK7321</t>
  </si>
  <si>
    <t>TCK7322</t>
  </si>
  <si>
    <t>TGY7323</t>
  </si>
  <si>
    <t>TMO4006</t>
  </si>
  <si>
    <t>TCN7304</t>
  </si>
  <si>
    <t>TMH7345</t>
  </si>
  <si>
    <t>TLH7352</t>
  </si>
  <si>
    <t>TLH7342</t>
  </si>
  <si>
    <t>TMO6349</t>
  </si>
  <si>
    <t>TKK7305</t>
  </si>
  <si>
    <t>TDL6312</t>
  </si>
  <si>
    <t>TKE6336</t>
  </si>
  <si>
    <t>TMH7353</t>
  </si>
  <si>
    <t>TLH7346</t>
  </si>
  <si>
    <t>TTP7316</t>
  </si>
  <si>
    <t>TCK5096</t>
  </si>
  <si>
    <t>TDU5221</t>
  </si>
  <si>
    <t>TCN5036</t>
  </si>
  <si>
    <t>TCN7018</t>
  </si>
  <si>
    <t>TLK7324</t>
  </si>
  <si>
    <t>Pro-rata initial fees for new Licences/SDS up to and including 25/11/2024</t>
  </si>
  <si>
    <t>Charge to 31/12/24</t>
  </si>
  <si>
    <t>S7063</t>
  </si>
  <si>
    <t>S7105</t>
  </si>
  <si>
    <t>S7123</t>
  </si>
  <si>
    <t>S7040</t>
  </si>
  <si>
    <t>S7090</t>
  </si>
  <si>
    <t>S6654</t>
  </si>
  <si>
    <t>S5430</t>
  </si>
  <si>
    <t>S5687 /
S7114</t>
  </si>
  <si>
    <t>S6885</t>
  </si>
  <si>
    <t>Quarterly Fee Review payment information for 03/11/24 - 31/12/24</t>
  </si>
  <si>
    <t>Licenced
Date</t>
  </si>
  <si>
    <t>Fee Review
CPI</t>
  </si>
  <si>
    <t>New
Licence Fee</t>
  </si>
  <si>
    <t>Charge from
3-Nov to 31-Dec 24</t>
  </si>
  <si>
    <t>Fee review to 31 December 2024</t>
  </si>
  <si>
    <t>S7133</t>
  </si>
  <si>
    <t>Customer</t>
  </si>
  <si>
    <t>xxxx</t>
  </si>
  <si>
    <t>xxx</t>
  </si>
  <si>
    <t>ABC</t>
  </si>
  <si>
    <t>TLKxxxx</t>
  </si>
  <si>
    <t>TWXxxxx</t>
  </si>
  <si>
    <t>TCKxxxx</t>
  </si>
  <si>
    <t>TKYxxxx</t>
  </si>
  <si>
    <t>TGYxxxx</t>
  </si>
  <si>
    <t>TCNxxxx</t>
  </si>
  <si>
    <t>TTPxxxx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</si>
</sst>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€&quot;#,##0.00;[Red]\-&quot;€&quot;#,##0.00"/>
    <numFmt numFmtId="165" formatCode="&quot;€&quot;#,##0.00"/>
    <numFmt numFmtId="166" formatCode="0_ ;[Red]\-0\ "/>
    <numFmt numFmtId="167" formatCode="000000"/>
    <numFmt numFmtId="168" formatCode="0.0%"/>
  </numFmts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3" fillId="0" borderId="0"/>
    <xf numFmtId="0" fontId="12" fillId="0" borderId="0"/>
    <xf numFmtId="0" fontId="13" fillId="0" borderId="0"/>
    <xf numFmtId="0" fontId="18" fillId="0" borderId="0"/>
    <xf numFmtId="0" fontId="19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</cellStyleXfs>
  <cellXfs count="139">
    <xf numFmtId="0" fontId="0" fillId="0" borderId="0" xfId="0"/>
    <xf numFmtId="0" fontId="3" fillId="4" borderId="0" xfId="0" applyFont="1" applyFill="1" applyAlignment="1" applyProtection="1">
      <alignment horizontal="left" vertical="center"/>
      <protection locked="0"/>
    </xf>
    <xf numFmtId="43" fontId="7" fillId="3" borderId="1" xfId="1" applyFont="1" applyFill="1" applyBorder="1" applyAlignment="1" applyProtection="1">
      <alignment horizontal="center" vertical="center"/>
    </xf>
    <xf numFmtId="0" fontId="3" fillId="4" borderId="0" xfId="0" applyFont="1" applyFill="1" applyAlignment="1" applyProtection="1">
      <alignment horizontal="center" vertical="center"/>
      <protection locked="0"/>
    </xf>
    <xf numFmtId="14" fontId="3" fillId="4" borderId="0" xfId="0" applyNumberFormat="1" applyFont="1" applyFill="1" applyAlignment="1" applyProtection="1">
      <alignment horizontal="center" vertical="center"/>
      <protection locked="0"/>
    </xf>
    <xf numFmtId="165" fontId="2" fillId="0" borderId="7" xfId="1" applyNumberFormat="1" applyFont="1" applyFill="1" applyBorder="1" applyAlignment="1" applyProtection="1">
      <alignment vertical="center"/>
      <protection locked="0"/>
    </xf>
    <xf numFmtId="165" fontId="3" fillId="0" borderId="2" xfId="1" applyNumberFormat="1" applyFont="1" applyFill="1" applyBorder="1" applyAlignment="1" applyProtection="1">
      <alignment vertical="center"/>
      <protection locked="0"/>
    </xf>
    <xf numFmtId="165" fontId="3" fillId="0" borderId="18" xfId="1" applyNumberFormat="1" applyFont="1" applyFill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166" fontId="2" fillId="0" borderId="7" xfId="0" applyNumberFormat="1" applyFont="1" applyBorder="1" applyAlignment="1" applyProtection="1">
      <alignment horizontal="center" vertical="center"/>
      <protection locked="0"/>
    </xf>
    <xf numFmtId="166" fontId="2" fillId="0" borderId="2" xfId="0" applyNumberFormat="1" applyFont="1" applyBorder="1" applyAlignment="1" applyProtection="1">
      <alignment horizontal="center" vertical="center"/>
      <protection locked="0"/>
    </xf>
    <xf numFmtId="166" fontId="3" fillId="0" borderId="2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166" fontId="2" fillId="0" borderId="18" xfId="0" applyNumberFormat="1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165" fontId="3" fillId="0" borderId="17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3" xfId="0" applyFont="1" applyBorder="1" applyAlignment="1" applyProtection="1">
      <alignment horizontal="right" vertical="center"/>
      <protection locked="0"/>
    </xf>
    <xf numFmtId="164" fontId="3" fillId="0" borderId="22" xfId="0" applyNumberFormat="1" applyFont="1" applyBorder="1" applyAlignment="1" applyProtection="1">
      <alignment vertical="center"/>
      <protection locked="0"/>
    </xf>
    <xf numFmtId="165" fontId="3" fillId="3" borderId="22" xfId="0" applyNumberFormat="1" applyFont="1" applyFill="1" applyBorder="1" applyAlignment="1" applyProtection="1">
      <alignment vertical="center"/>
      <protection locked="0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 applyProtection="1">
      <alignment horizontal="right" vertical="center"/>
      <protection locked="0"/>
    </xf>
    <xf numFmtId="164" fontId="3" fillId="0" borderId="2" xfId="0" applyNumberFormat="1" applyFont="1" applyBorder="1" applyAlignment="1" applyProtection="1">
      <alignment vertical="center"/>
      <protection locked="0"/>
    </xf>
    <xf numFmtId="165" fontId="3" fillId="3" borderId="7" xfId="0" applyNumberFormat="1" applyFont="1" applyFill="1" applyBorder="1" applyAlignment="1" applyProtection="1">
      <alignment vertical="center"/>
      <protection locked="0"/>
    </xf>
    <xf numFmtId="0" fontId="3" fillId="0" borderId="13" xfId="0" applyFont="1" applyBorder="1" applyAlignment="1">
      <alignment vertical="center"/>
    </xf>
    <xf numFmtId="0" fontId="3" fillId="0" borderId="24" xfId="0" applyFont="1" applyBorder="1" applyAlignment="1" applyProtection="1">
      <alignment horizontal="right" vertical="center"/>
      <protection locked="0"/>
    </xf>
    <xf numFmtId="164" fontId="3" fillId="0" borderId="6" xfId="0" applyNumberFormat="1" applyFont="1" applyBorder="1" applyAlignment="1" applyProtection="1">
      <alignment vertical="center"/>
      <protection locked="0"/>
    </xf>
    <xf numFmtId="165" fontId="3" fillId="3" borderId="6" xfId="0" applyNumberFormat="1" applyFont="1" applyFill="1" applyBorder="1" applyAlignment="1" applyProtection="1">
      <alignment vertical="center"/>
      <protection locked="0"/>
    </xf>
    <xf numFmtId="165" fontId="3" fillId="0" borderId="0" xfId="0" applyNumberFormat="1" applyFont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3" borderId="2" xfId="0" applyFont="1" applyFill="1" applyBorder="1"/>
    <xf numFmtId="0" fontId="15" fillId="0" borderId="0" xfId="2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5" fillId="0" borderId="7" xfId="2" applyFont="1" applyBorder="1" applyAlignment="1">
      <alignment horizontal="center" vertical="center"/>
    </xf>
    <xf numFmtId="0" fontId="15" fillId="0" borderId="7" xfId="2" applyFont="1" applyBorder="1" applyAlignment="1">
      <alignment horizontal="center" vertical="center" wrapText="1"/>
    </xf>
    <xf numFmtId="14" fontId="15" fillId="0" borderId="7" xfId="2" applyNumberFormat="1" applyFont="1" applyBorder="1" applyAlignment="1">
      <alignment horizontal="center" vertical="center"/>
    </xf>
    <xf numFmtId="4" fontId="15" fillId="0" borderId="7" xfId="2" applyNumberFormat="1" applyFont="1" applyBorder="1" applyAlignment="1">
      <alignment vertical="center"/>
    </xf>
    <xf numFmtId="14" fontId="15" fillId="0" borderId="2" xfId="2" applyNumberFormat="1" applyFont="1" applyBorder="1" applyAlignment="1">
      <alignment horizontal="center" vertical="center"/>
    </xf>
    <xf numFmtId="167" fontId="17" fillId="5" borderId="7" xfId="4" applyNumberFormat="1" applyFont="1" applyFill="1" applyBorder="1" applyAlignment="1">
      <alignment horizontal="center" vertical="center" wrapText="1"/>
    </xf>
    <xf numFmtId="1" fontId="16" fillId="6" borderId="2" xfId="2" applyNumberFormat="1" applyFont="1" applyFill="1" applyBorder="1" applyAlignment="1">
      <alignment horizontal="center" vertical="center" wrapText="1"/>
    </xf>
    <xf numFmtId="4" fontId="17" fillId="5" borderId="2" xfId="4" applyNumberFormat="1" applyFont="1" applyFill="1" applyBorder="1" applyAlignment="1">
      <alignment horizontal="center" vertical="center" wrapText="1"/>
    </xf>
    <xf numFmtId="0" fontId="15" fillId="0" borderId="6" xfId="2" applyFont="1" applyBorder="1" applyAlignment="1">
      <alignment horizontal="center" vertical="center"/>
    </xf>
    <xf numFmtId="14" fontId="15" fillId="0" borderId="6" xfId="2" applyNumberFormat="1" applyFont="1" applyBorder="1" applyAlignment="1">
      <alignment horizontal="center" vertical="center"/>
    </xf>
    <xf numFmtId="14" fontId="15" fillId="0" borderId="22" xfId="2" applyNumberFormat="1" applyFont="1" applyBorder="1" applyAlignment="1">
      <alignment horizontal="center" vertical="center"/>
    </xf>
    <xf numFmtId="0" fontId="15" fillId="0" borderId="27" xfId="2" applyFont="1" applyBorder="1" applyAlignment="1">
      <alignment horizontal="center" vertical="center"/>
    </xf>
    <xf numFmtId="14" fontId="15" fillId="0" borderId="27" xfId="2" applyNumberFormat="1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0" fontId="14" fillId="0" borderId="0" xfId="2" applyFont="1" applyAlignment="1">
      <alignment vertical="center"/>
    </xf>
    <xf numFmtId="1" fontId="15" fillId="0" borderId="7" xfId="2" applyNumberFormat="1" applyFont="1" applyBorder="1" applyAlignment="1">
      <alignment horizontal="center" vertical="center"/>
    </xf>
    <xf numFmtId="4" fontId="15" fillId="0" borderId="7" xfId="2" applyNumberFormat="1" applyFont="1" applyBorder="1" applyAlignment="1">
      <alignment horizontal="center" vertical="center"/>
    </xf>
    <xf numFmtId="2" fontId="15" fillId="0" borderId="0" xfId="2" applyNumberFormat="1" applyFont="1" applyAlignment="1">
      <alignment vertical="center"/>
    </xf>
    <xf numFmtId="4" fontId="16" fillId="0" borderId="16" xfId="2" applyNumberFormat="1" applyFont="1" applyBorder="1" applyAlignment="1">
      <alignment vertical="center"/>
    </xf>
    <xf numFmtId="167" fontId="16" fillId="5" borderId="7" xfId="2" applyNumberFormat="1" applyFont="1" applyFill="1" applyBorder="1" applyAlignment="1">
      <alignment horizontal="center" vertical="center" wrapText="1"/>
    </xf>
    <xf numFmtId="167" fontId="16" fillId="5" borderId="2" xfId="2" applyNumberFormat="1" applyFont="1" applyFill="1" applyBorder="1" applyAlignment="1">
      <alignment horizontal="center" vertical="center" wrapText="1"/>
    </xf>
    <xf numFmtId="4" fontId="15" fillId="0" borderId="0" xfId="2" applyNumberFormat="1" applyFont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" fontId="15" fillId="0" borderId="2" xfId="0" applyNumberFormat="1" applyFont="1" applyBorder="1" applyAlignment="1">
      <alignment vertical="center"/>
    </xf>
    <xf numFmtId="4" fontId="15" fillId="0" borderId="0" xfId="0" applyNumberFormat="1" applyFont="1" applyAlignment="1">
      <alignment vertical="center"/>
    </xf>
    <xf numFmtId="4" fontId="15" fillId="0" borderId="6" xfId="0" applyNumberFormat="1" applyFont="1" applyBorder="1" applyAlignment="1">
      <alignment vertical="center"/>
    </xf>
    <xf numFmtId="4" fontId="15" fillId="0" borderId="7" xfId="0" applyNumberFormat="1" applyFont="1" applyBorder="1" applyAlignment="1">
      <alignment vertical="center"/>
    </xf>
    <xf numFmtId="4" fontId="15" fillId="0" borderId="22" xfId="0" applyNumberFormat="1" applyFont="1" applyBorder="1" applyAlignment="1">
      <alignment vertical="center"/>
    </xf>
    <xf numFmtId="4" fontId="15" fillId="0" borderId="27" xfId="0" applyNumberFormat="1" applyFont="1" applyBorder="1" applyAlignment="1">
      <alignment vertical="center"/>
    </xf>
    <xf numFmtId="4" fontId="16" fillId="0" borderId="16" xfId="0" applyNumberFormat="1" applyFont="1" applyBorder="1" applyAlignment="1">
      <alignment horizontal="right" vertical="center"/>
    </xf>
    <xf numFmtId="14" fontId="15" fillId="0" borderId="0" xfId="2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4" fontId="15" fillId="7" borderId="2" xfId="0" applyNumberFormat="1" applyFont="1" applyFill="1" applyBorder="1" applyAlignment="1">
      <alignment vertical="center"/>
    </xf>
    <xf numFmtId="1" fontId="15" fillId="7" borderId="7" xfId="2" applyNumberFormat="1" applyFont="1" applyFill="1" applyBorder="1" applyAlignment="1">
      <alignment horizontal="center" vertical="center"/>
    </xf>
    <xf numFmtId="4" fontId="15" fillId="7" borderId="7" xfId="2" applyNumberFormat="1" applyFont="1" applyFill="1" applyBorder="1" applyAlignment="1">
      <alignment vertical="center"/>
    </xf>
    <xf numFmtId="167" fontId="17" fillId="8" borderId="7" xfId="4" applyNumberFormat="1" applyFont="1" applyFill="1" applyBorder="1" applyAlignment="1">
      <alignment horizontal="center" vertical="center" wrapText="1"/>
    </xf>
    <xf numFmtId="0" fontId="20" fillId="0" borderId="7" xfId="2" applyFont="1" applyBorder="1" applyAlignment="1">
      <alignment horizontal="center" vertical="center"/>
    </xf>
    <xf numFmtId="4" fontId="15" fillId="0" borderId="28" xfId="2" applyNumberFormat="1" applyFont="1" applyBorder="1" applyAlignment="1">
      <alignment vertical="center"/>
    </xf>
    <xf numFmtId="1" fontId="15" fillId="0" borderId="2" xfId="2" applyNumberFormat="1" applyFont="1" applyBorder="1" applyAlignment="1">
      <alignment horizontal="center" vertical="center"/>
    </xf>
    <xf numFmtId="4" fontId="15" fillId="0" borderId="2" xfId="2" applyNumberFormat="1" applyFont="1" applyBorder="1" applyAlignment="1">
      <alignment horizontal="center" vertical="center"/>
    </xf>
    <xf numFmtId="4" fontId="15" fillId="0" borderId="2" xfId="2" applyNumberFormat="1" applyFont="1" applyBorder="1" applyAlignment="1">
      <alignment vertical="center"/>
    </xf>
    <xf numFmtId="4" fontId="15" fillId="0" borderId="6" xfId="2" applyNumberFormat="1" applyFont="1" applyBorder="1" applyAlignment="1">
      <alignment vertical="center"/>
    </xf>
    <xf numFmtId="1" fontId="15" fillId="0" borderId="6" xfId="2" applyNumberFormat="1" applyFont="1" applyBorder="1" applyAlignment="1">
      <alignment horizontal="center" vertical="center"/>
    </xf>
    <xf numFmtId="4" fontId="15" fillId="0" borderId="6" xfId="2" applyNumberFormat="1" applyFont="1" applyBorder="1" applyAlignment="1">
      <alignment horizontal="center" vertical="center"/>
    </xf>
    <xf numFmtId="1" fontId="15" fillId="7" borderId="6" xfId="2" applyNumberFormat="1" applyFont="1" applyFill="1" applyBorder="1" applyAlignment="1">
      <alignment horizontal="center" vertical="center"/>
    </xf>
    <xf numFmtId="4" fontId="15" fillId="7" borderId="6" xfId="2" applyNumberFormat="1" applyFont="1" applyFill="1" applyBorder="1" applyAlignment="1">
      <alignment vertical="center"/>
    </xf>
    <xf numFmtId="0" fontId="15" fillId="0" borderId="0" xfId="2" applyFont="1" applyAlignment="1">
      <alignment horizontal="center" vertical="center" wrapText="1"/>
    </xf>
    <xf numFmtId="4" fontId="15" fillId="0" borderId="27" xfId="2" applyNumberFormat="1" applyFont="1" applyBorder="1" applyAlignment="1">
      <alignment vertical="center"/>
    </xf>
    <xf numFmtId="1" fontId="15" fillId="0" borderId="27" xfId="2" applyNumberFormat="1" applyFont="1" applyBorder="1" applyAlignment="1">
      <alignment horizontal="center" vertical="center"/>
    </xf>
    <xf numFmtId="4" fontId="15" fillId="0" borderId="27" xfId="2" applyNumberFormat="1" applyFont="1" applyBorder="1" applyAlignment="1">
      <alignment horizontal="center" vertical="center"/>
    </xf>
    <xf numFmtId="14" fontId="15" fillId="0" borderId="0" xfId="2" applyNumberFormat="1" applyFont="1" applyAlignment="1">
      <alignment horizontal="center" vertical="center"/>
    </xf>
    <xf numFmtId="1" fontId="15" fillId="0" borderId="0" xfId="2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168" fontId="15" fillId="0" borderId="2" xfId="9" applyNumberFormat="1" applyFont="1" applyBorder="1" applyAlignment="1">
      <alignment horizontal="center" vertical="center"/>
    </xf>
    <xf numFmtId="4" fontId="15" fillId="0" borderId="2" xfId="0" applyNumberFormat="1" applyFont="1" applyBorder="1" applyAlignment="1">
      <alignment horizontal="center" vertical="center"/>
    </xf>
    <xf numFmtId="168" fontId="15" fillId="0" borderId="6" xfId="9" applyNumberFormat="1" applyFont="1" applyBorder="1" applyAlignment="1">
      <alignment horizontal="center" vertical="center"/>
    </xf>
    <xf numFmtId="4" fontId="15" fillId="0" borderId="6" xfId="0" applyNumberFormat="1" applyFont="1" applyBorder="1" applyAlignment="1">
      <alignment horizontal="center" vertical="center"/>
    </xf>
    <xf numFmtId="168" fontId="15" fillId="0" borderId="7" xfId="9" applyNumberFormat="1" applyFont="1" applyBorder="1" applyAlignment="1">
      <alignment horizontal="center" vertical="center"/>
    </xf>
    <xf numFmtId="4" fontId="15" fillId="0" borderId="7" xfId="0" applyNumberFormat="1" applyFont="1" applyBorder="1" applyAlignment="1">
      <alignment horizontal="center" vertical="center"/>
    </xf>
    <xf numFmtId="168" fontId="15" fillId="0" borderId="22" xfId="9" applyNumberFormat="1" applyFont="1" applyBorder="1" applyAlignment="1">
      <alignment horizontal="center" vertical="center"/>
    </xf>
    <xf numFmtId="4" fontId="15" fillId="0" borderId="22" xfId="0" applyNumberFormat="1" applyFont="1" applyBorder="1" applyAlignment="1">
      <alignment horizontal="center" vertical="center"/>
    </xf>
    <xf numFmtId="4" fontId="15" fillId="7" borderId="7" xfId="0" applyNumberFormat="1" applyFont="1" applyFill="1" applyBorder="1" applyAlignment="1">
      <alignment vertical="center"/>
    </xf>
    <xf numFmtId="14" fontId="15" fillId="0" borderId="29" xfId="2" applyNumberFormat="1" applyFont="1" applyBorder="1" applyAlignment="1">
      <alignment horizontal="center" vertical="center"/>
    </xf>
    <xf numFmtId="4" fontId="15" fillId="0" borderId="29" xfId="0" applyNumberFormat="1" applyFont="1" applyBorder="1" applyAlignment="1">
      <alignment vertical="center"/>
    </xf>
    <xf numFmtId="4" fontId="15" fillId="7" borderId="28" xfId="0" applyNumberFormat="1" applyFont="1" applyFill="1" applyBorder="1" applyAlignment="1">
      <alignment vertical="center"/>
    </xf>
    <xf numFmtId="4" fontId="15" fillId="7" borderId="6" xfId="0" applyNumberFormat="1" applyFont="1" applyFill="1" applyBorder="1" applyAlignment="1">
      <alignment vertical="center"/>
    </xf>
    <xf numFmtId="0" fontId="15" fillId="9" borderId="0" xfId="0" applyFont="1" applyFill="1" applyAlignment="1">
      <alignment vertical="center"/>
    </xf>
    <xf numFmtId="0" fontId="15" fillId="9" borderId="0" xfId="0" applyFont="1" applyFill="1" applyAlignment="1">
      <alignment horizontal="left" vertical="center"/>
    </xf>
    <xf numFmtId="4" fontId="15" fillId="9" borderId="0" xfId="0" applyNumberFormat="1" applyFont="1" applyFill="1" applyAlignment="1">
      <alignment vertical="center"/>
    </xf>
    <xf numFmtId="0" fontId="2" fillId="0" borderId="5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 applyProtection="1">
      <alignment horizontal="left" vertical="center"/>
      <protection locked="0"/>
    </xf>
    <xf numFmtId="0" fontId="14" fillId="0" borderId="25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5" xfId="2" applyFont="1" applyBorder="1" applyAlignment="1">
      <alignment horizontal="center" vertical="center"/>
    </xf>
    <xf numFmtId="0" fontId="14" fillId="0" borderId="14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14" fontId="15" fillId="0" borderId="7" xfId="2" applyNumberFormat="1" applyFont="1" applyBorder="1" applyAlignment="1">
      <alignment horizontal="center" vertical="center" wrapText="1"/>
    </xf>
  </cellXfs>
  <cellStyles count="10">
    <cellStyle name="Comma" xfId="1" builtinId="3"/>
    <cellStyle name="Normal" xfId="0" builtinId="0"/>
    <cellStyle name="Normal 2" xfId="2" xr:uid="{CD52879A-1630-4C69-A0C1-480E4F045A1C}"/>
    <cellStyle name="Normal 3" xfId="4" xr:uid="{07B1752B-C246-429F-B9DF-E015BC66B958}"/>
    <cellStyle name="Normal 3 2" xfId="3" xr:uid="{AA0453AF-113C-4273-B7F6-88F104EE57C2}"/>
    <cellStyle name="Normal 4" xfId="5" xr:uid="{61FDBDA4-5CA2-4D09-A5C5-56845CFC135B}"/>
    <cellStyle name="Normal 5" xfId="8" xr:uid="{72455F96-310E-4FEB-B1F0-DB8DAA4D0EA9}"/>
    <cellStyle name="Normal 6" xfId="7" xr:uid="{983348E8-4E07-4490-A82C-CB96570B5AF8}"/>
    <cellStyle name="Normal 7" xfId="6" xr:uid="{C1429992-D510-4466-A8AB-3E6373D07D91}"/>
    <cellStyle name="Per cent" xfId="9" builtinId="5"/>
  </cellStyles>
  <dxfs count="2">
    <dxf>
      <font>
        <color theme="3" tint="0.79998168889431442"/>
      </font>
    </dxf>
    <dxf>
      <font>
        <color theme="0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2324100</xdr:colOff>
      <xdr:row>1</xdr:row>
      <xdr:rowOff>56388</xdr:rowOff>
    </xdr:from>
    <xdr:to>
      <xdr:col>4</xdr:col>
      <xdr:colOff>1009650</xdr:colOff>
      <xdr:row>2</xdr:row>
      <xdr:rowOff>142240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6EB2D6-3C0F-4B60-8E47-46AD78278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237363"/>
          <a:ext cx="2324100" cy="5113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ntral01\Users\Financial%20Sponsors\Library%20&amp;%20Templates%20-%20Models\LBO\Private\old%20versions\blan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y%20Documents\TC%20CUSTOMERS\eircom\Market%20Review\FOOTPRINTS\OCTOBER%202013\eircom%20Inventory%20-%202013%2010%2009%20veirco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ntral01\Users\Documents%20and%20Settings\BrooksCM\Local%20Settings\Temporary%20Internet%20Files\Kingston%20&amp;%20Filtroni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6.%20Programme%20Management\Billing\2019%20Billing%20Files\64.%20Customer%20Invoicing%20-%2019.08.19%20-%20Imagine%20v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ntral01\Users\Documents%20and%20Settings\jsweeney\Local%20Settings\Temporary%20Internet%20Files\OLK1DC\Mastco%20billing%20-%20Hutch%20Oct07-Mar08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s"/>
      <sheetName val="Dates"/>
      <sheetName val="FORECAST"/>
      <sheetName val="Rate Card"/>
      <sheetName val="Dates (3mths notice)"/>
      <sheetName val="eircom TME"/>
      <sheetName val="eircom GIE"/>
      <sheetName val="Sheet3"/>
      <sheetName val="Accrual Calcs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TWW3001</v>
          </cell>
          <cell r="D2" t="str">
            <v>TME</v>
          </cell>
          <cell r="G2">
            <v>39624</v>
          </cell>
          <cell r="H2" t="str">
            <v>Obsolete</v>
          </cell>
          <cell r="J2" t="str">
            <v>Dish</v>
          </cell>
          <cell r="L2">
            <v>2000</v>
          </cell>
        </row>
        <row r="3">
          <cell r="B3" t="str">
            <v>TWW3001</v>
          </cell>
          <cell r="D3" t="str">
            <v>TME</v>
          </cell>
          <cell r="G3">
            <v>39624</v>
          </cell>
          <cell r="H3" t="str">
            <v>Installed</v>
          </cell>
          <cell r="J3" t="str">
            <v>Dish</v>
          </cell>
          <cell r="L3">
            <v>1200</v>
          </cell>
        </row>
        <row r="4">
          <cell r="B4" t="str">
            <v>TWW3001</v>
          </cell>
          <cell r="D4" t="str">
            <v>TME</v>
          </cell>
          <cell r="G4">
            <v>39624</v>
          </cell>
          <cell r="H4" t="str">
            <v>Obsolete</v>
          </cell>
          <cell r="J4" t="str">
            <v>Dish</v>
          </cell>
          <cell r="L4">
            <v>600</v>
          </cell>
        </row>
        <row r="5">
          <cell r="B5" t="str">
            <v>TWW3001</v>
          </cell>
          <cell r="D5" t="str">
            <v>TME</v>
          </cell>
          <cell r="G5">
            <v>39624</v>
          </cell>
          <cell r="H5" t="str">
            <v>Obsolete</v>
          </cell>
          <cell r="J5" t="str">
            <v>Dish</v>
          </cell>
          <cell r="L5">
            <v>2000</v>
          </cell>
        </row>
        <row r="6">
          <cell r="B6" t="str">
            <v>TWW3001</v>
          </cell>
          <cell r="D6" t="str">
            <v>TME</v>
          </cell>
          <cell r="G6">
            <v>41313</v>
          </cell>
          <cell r="H6" t="str">
            <v>Installed</v>
          </cell>
          <cell r="J6" t="str">
            <v>Dish</v>
          </cell>
          <cell r="L6">
            <v>600</v>
          </cell>
        </row>
        <row r="7">
          <cell r="B7" t="str">
            <v>TDL2001</v>
          </cell>
          <cell r="D7" t="str">
            <v>TME</v>
          </cell>
          <cell r="G7">
            <v>39659</v>
          </cell>
          <cell r="H7" t="str">
            <v>Installed</v>
          </cell>
          <cell r="J7" t="str">
            <v>Dish</v>
          </cell>
          <cell r="L7">
            <v>600</v>
          </cell>
        </row>
        <row r="8">
          <cell r="B8" t="str">
            <v>TDL2001</v>
          </cell>
          <cell r="D8" t="str">
            <v>TME</v>
          </cell>
          <cell r="G8">
            <v>41250</v>
          </cell>
          <cell r="H8" t="str">
            <v>Removed</v>
          </cell>
          <cell r="J8" t="str">
            <v>Panel</v>
          </cell>
          <cell r="L8">
            <v>800</v>
          </cell>
        </row>
        <row r="9">
          <cell r="B9" t="str">
            <v>TMO1001</v>
          </cell>
          <cell r="D9" t="str">
            <v>TME</v>
          </cell>
          <cell r="G9">
            <v>39696</v>
          </cell>
          <cell r="H9" t="str">
            <v>Installed</v>
          </cell>
          <cell r="J9" t="str">
            <v>Dish</v>
          </cell>
          <cell r="L9">
            <v>2500</v>
          </cell>
        </row>
        <row r="10">
          <cell r="B10" t="str">
            <v>TMO1001</v>
          </cell>
          <cell r="D10" t="str">
            <v>TME</v>
          </cell>
          <cell r="G10">
            <v>41415</v>
          </cell>
          <cell r="H10" t="str">
            <v>Removed</v>
          </cell>
          <cell r="J10" t="str">
            <v>Dish</v>
          </cell>
          <cell r="L10">
            <v>600</v>
          </cell>
        </row>
        <row r="11">
          <cell r="B11" t="str">
            <v>TMO1001</v>
          </cell>
          <cell r="D11" t="str">
            <v>TME</v>
          </cell>
          <cell r="G11">
            <v>39696</v>
          </cell>
          <cell r="H11" t="str">
            <v>Installed</v>
          </cell>
          <cell r="J11" t="str">
            <v>Dish</v>
          </cell>
          <cell r="L11">
            <v>600</v>
          </cell>
        </row>
        <row r="12">
          <cell r="B12" t="str">
            <v>TMO1001</v>
          </cell>
          <cell r="D12" t="str">
            <v>TME</v>
          </cell>
          <cell r="G12">
            <v>39696</v>
          </cell>
          <cell r="H12" t="str">
            <v>Installed</v>
          </cell>
          <cell r="J12" t="str">
            <v>Dish</v>
          </cell>
          <cell r="L12">
            <v>600</v>
          </cell>
        </row>
        <row r="13">
          <cell r="B13" t="str">
            <v>TMO1001</v>
          </cell>
          <cell r="D13" t="str">
            <v>TME</v>
          </cell>
          <cell r="G13">
            <v>39696</v>
          </cell>
          <cell r="H13" t="str">
            <v>Installed</v>
          </cell>
          <cell r="J13" t="str">
            <v>Dish</v>
          </cell>
          <cell r="L13">
            <v>600</v>
          </cell>
        </row>
        <row r="14">
          <cell r="B14" t="str">
            <v>TMO1001</v>
          </cell>
          <cell r="D14" t="str">
            <v>TME</v>
          </cell>
          <cell r="G14">
            <v>41121</v>
          </cell>
          <cell r="H14" t="str">
            <v>Removed</v>
          </cell>
          <cell r="J14" t="str">
            <v>Dish</v>
          </cell>
          <cell r="L14">
            <v>1300</v>
          </cell>
        </row>
        <row r="15">
          <cell r="B15" t="str">
            <v>TMO1001</v>
          </cell>
          <cell r="D15" t="str">
            <v>TME</v>
          </cell>
          <cell r="G15">
            <v>41121</v>
          </cell>
          <cell r="H15" t="str">
            <v>Removed</v>
          </cell>
          <cell r="J15" t="str">
            <v>Dish</v>
          </cell>
          <cell r="L15">
            <v>600</v>
          </cell>
        </row>
        <row r="16">
          <cell r="B16" t="str">
            <v>TMO1001</v>
          </cell>
          <cell r="D16" t="str">
            <v>TME</v>
          </cell>
          <cell r="G16">
            <v>39696</v>
          </cell>
          <cell r="H16" t="str">
            <v>Installed</v>
          </cell>
          <cell r="J16" t="str">
            <v>Dish</v>
          </cell>
          <cell r="L16">
            <v>600</v>
          </cell>
        </row>
        <row r="17">
          <cell r="B17" t="str">
            <v>TMO1001</v>
          </cell>
          <cell r="D17" t="str">
            <v>TME</v>
          </cell>
          <cell r="G17">
            <v>39696</v>
          </cell>
          <cell r="H17" t="str">
            <v>Installed</v>
          </cell>
          <cell r="J17" t="str">
            <v>Dish</v>
          </cell>
          <cell r="L17">
            <v>600</v>
          </cell>
        </row>
        <row r="18">
          <cell r="B18" t="str">
            <v>TMO1001</v>
          </cell>
          <cell r="D18" t="str">
            <v>TME</v>
          </cell>
          <cell r="G18">
            <v>41121</v>
          </cell>
          <cell r="H18" t="str">
            <v>Removed</v>
          </cell>
          <cell r="J18" t="str">
            <v>Panel</v>
          </cell>
          <cell r="L18">
            <v>840</v>
          </cell>
        </row>
        <row r="19">
          <cell r="B19" t="str">
            <v>TMO1001</v>
          </cell>
          <cell r="D19" t="str">
            <v>TME</v>
          </cell>
          <cell r="G19">
            <v>41121</v>
          </cell>
          <cell r="H19" t="str">
            <v>Removed</v>
          </cell>
          <cell r="J19" t="str">
            <v>Panel</v>
          </cell>
          <cell r="L19">
            <v>840</v>
          </cell>
        </row>
        <row r="20">
          <cell r="B20" t="str">
            <v>TMO1001</v>
          </cell>
          <cell r="D20" t="str">
            <v>TME</v>
          </cell>
          <cell r="G20">
            <v>41121</v>
          </cell>
          <cell r="H20" t="str">
            <v>Removed</v>
          </cell>
          <cell r="J20" t="str">
            <v>Panel</v>
          </cell>
          <cell r="L20">
            <v>840</v>
          </cell>
        </row>
        <row r="21">
          <cell r="B21" t="str">
            <v>TMO1001</v>
          </cell>
          <cell r="D21" t="str">
            <v>TME</v>
          </cell>
          <cell r="G21">
            <v>39855</v>
          </cell>
          <cell r="H21" t="str">
            <v>Removed</v>
          </cell>
          <cell r="J21" t="str">
            <v>Dish</v>
          </cell>
          <cell r="L21">
            <v>2000</v>
          </cell>
        </row>
        <row r="22">
          <cell r="B22" t="str">
            <v>TMO1001</v>
          </cell>
          <cell r="D22" t="str">
            <v>TME</v>
          </cell>
          <cell r="G22">
            <v>39855</v>
          </cell>
          <cell r="H22" t="str">
            <v>Installed</v>
          </cell>
          <cell r="J22" t="str">
            <v>Dish</v>
          </cell>
          <cell r="L22">
            <v>1200</v>
          </cell>
        </row>
        <row r="23">
          <cell r="B23" t="str">
            <v>TMO1001</v>
          </cell>
          <cell r="D23" t="str">
            <v>TME</v>
          </cell>
          <cell r="G23">
            <v>40326</v>
          </cell>
          <cell r="H23" t="str">
            <v>Installed</v>
          </cell>
          <cell r="J23" t="str">
            <v>Dish</v>
          </cell>
          <cell r="L23">
            <v>600</v>
          </cell>
        </row>
        <row r="24">
          <cell r="B24" t="str">
            <v>TMO2002</v>
          </cell>
          <cell r="D24" t="str">
            <v>TME</v>
          </cell>
          <cell r="G24">
            <v>41115</v>
          </cell>
          <cell r="H24" t="str">
            <v>Removed</v>
          </cell>
          <cell r="J24" t="str">
            <v>Dish</v>
          </cell>
          <cell r="L24">
            <v>600</v>
          </cell>
        </row>
        <row r="25">
          <cell r="B25" t="str">
            <v>TMO2002</v>
          </cell>
          <cell r="D25" t="str">
            <v>TME</v>
          </cell>
          <cell r="G25">
            <v>41115</v>
          </cell>
          <cell r="H25" t="str">
            <v>Removed</v>
          </cell>
          <cell r="J25" t="str">
            <v>Dish</v>
          </cell>
          <cell r="L25">
            <v>600</v>
          </cell>
        </row>
        <row r="26">
          <cell r="B26" t="str">
            <v>TMO2002</v>
          </cell>
          <cell r="D26" t="str">
            <v>TME</v>
          </cell>
          <cell r="G26">
            <v>41387</v>
          </cell>
          <cell r="H26" t="str">
            <v>Removed</v>
          </cell>
          <cell r="J26" t="str">
            <v>Dish</v>
          </cell>
          <cell r="L26">
            <v>3000</v>
          </cell>
        </row>
        <row r="27">
          <cell r="B27" t="str">
            <v>TMO2002</v>
          </cell>
          <cell r="D27" t="str">
            <v>TME</v>
          </cell>
          <cell r="G27">
            <v>40067</v>
          </cell>
          <cell r="H27" t="str">
            <v>Removed</v>
          </cell>
          <cell r="J27" t="str">
            <v>Dish</v>
          </cell>
          <cell r="L27">
            <v>3000</v>
          </cell>
        </row>
        <row r="28">
          <cell r="B28" t="str">
            <v>TMO2002</v>
          </cell>
          <cell r="D28" t="str">
            <v>TME</v>
          </cell>
          <cell r="G28">
            <v>39685</v>
          </cell>
          <cell r="H28" t="str">
            <v>Installed</v>
          </cell>
          <cell r="J28" t="str">
            <v>Dish</v>
          </cell>
          <cell r="L28">
            <v>600</v>
          </cell>
        </row>
        <row r="29">
          <cell r="B29" t="str">
            <v>TMO2002</v>
          </cell>
          <cell r="D29" t="str">
            <v>TME</v>
          </cell>
          <cell r="G29">
            <v>39685</v>
          </cell>
          <cell r="H29" t="str">
            <v>Installed</v>
          </cell>
          <cell r="J29" t="str">
            <v>Dish</v>
          </cell>
          <cell r="L29">
            <v>600</v>
          </cell>
        </row>
        <row r="30">
          <cell r="B30" t="str">
            <v>TMO2002</v>
          </cell>
          <cell r="D30" t="str">
            <v>TME</v>
          </cell>
          <cell r="G30">
            <v>41219</v>
          </cell>
          <cell r="H30" t="str">
            <v>Prop Removal</v>
          </cell>
          <cell r="J30" t="str">
            <v>Dish</v>
          </cell>
          <cell r="L30">
            <v>600</v>
          </cell>
        </row>
        <row r="31">
          <cell r="B31" t="str">
            <v>TMO2002</v>
          </cell>
          <cell r="D31" t="str">
            <v>TME</v>
          </cell>
          <cell r="G31">
            <v>39685</v>
          </cell>
          <cell r="H31" t="str">
            <v>Installed</v>
          </cell>
          <cell r="J31" t="str">
            <v>Dish</v>
          </cell>
          <cell r="L31">
            <v>600</v>
          </cell>
        </row>
        <row r="32">
          <cell r="B32" t="str">
            <v>TMO2002</v>
          </cell>
          <cell r="D32" t="str">
            <v>TME</v>
          </cell>
          <cell r="G32">
            <v>41219</v>
          </cell>
          <cell r="H32" t="str">
            <v>Removed</v>
          </cell>
          <cell r="J32" t="str">
            <v>Dish</v>
          </cell>
          <cell r="L32">
            <v>600</v>
          </cell>
        </row>
        <row r="33">
          <cell r="B33" t="str">
            <v>TMO2002</v>
          </cell>
          <cell r="D33" t="str">
            <v>TME</v>
          </cell>
          <cell r="G33">
            <v>41219</v>
          </cell>
          <cell r="H33" t="str">
            <v>Removed</v>
          </cell>
          <cell r="J33" t="str">
            <v>Dish</v>
          </cell>
          <cell r="L33">
            <v>600</v>
          </cell>
        </row>
        <row r="34">
          <cell r="B34" t="str">
            <v>TMO2002</v>
          </cell>
          <cell r="D34" t="str">
            <v>TME</v>
          </cell>
          <cell r="G34">
            <v>41219</v>
          </cell>
          <cell r="H34" t="str">
            <v>Removed</v>
          </cell>
          <cell r="J34" t="str">
            <v>Dish</v>
          </cell>
          <cell r="L34">
            <v>600</v>
          </cell>
        </row>
        <row r="35">
          <cell r="B35" t="str">
            <v>TMO2002</v>
          </cell>
          <cell r="D35" t="str">
            <v>TME</v>
          </cell>
          <cell r="G35">
            <v>41219</v>
          </cell>
          <cell r="H35" t="str">
            <v>Removed</v>
          </cell>
          <cell r="J35" t="str">
            <v>Dish</v>
          </cell>
          <cell r="L35">
            <v>600</v>
          </cell>
        </row>
        <row r="36">
          <cell r="B36" t="str">
            <v>TMO2002</v>
          </cell>
          <cell r="D36" t="str">
            <v>TME</v>
          </cell>
          <cell r="G36">
            <v>40067</v>
          </cell>
          <cell r="H36" t="str">
            <v>Removed</v>
          </cell>
          <cell r="J36" t="str">
            <v>Dish</v>
          </cell>
          <cell r="L36">
            <v>2800</v>
          </cell>
        </row>
        <row r="37">
          <cell r="B37" t="str">
            <v>TMO2002</v>
          </cell>
          <cell r="D37" t="str">
            <v>TME</v>
          </cell>
          <cell r="G37">
            <v>40067</v>
          </cell>
          <cell r="H37" t="str">
            <v>Removed</v>
          </cell>
          <cell r="J37" t="str">
            <v>Dish</v>
          </cell>
          <cell r="L37">
            <v>3000</v>
          </cell>
        </row>
        <row r="38">
          <cell r="B38" t="str">
            <v>TMO2002</v>
          </cell>
          <cell r="D38" t="str">
            <v>TME</v>
          </cell>
          <cell r="G38">
            <v>40067</v>
          </cell>
          <cell r="H38" t="str">
            <v>Removed</v>
          </cell>
          <cell r="J38" t="str">
            <v>Dish</v>
          </cell>
          <cell r="L38">
            <v>2000</v>
          </cell>
        </row>
        <row r="39">
          <cell r="B39" t="str">
            <v>TMO2002</v>
          </cell>
          <cell r="D39" t="str">
            <v>TME</v>
          </cell>
          <cell r="G39">
            <v>41115</v>
          </cell>
          <cell r="H39" t="str">
            <v>Removed</v>
          </cell>
          <cell r="J39" t="str">
            <v>Panel</v>
          </cell>
          <cell r="L39">
            <v>850</v>
          </cell>
        </row>
        <row r="40">
          <cell r="B40" t="str">
            <v>TMO2002</v>
          </cell>
          <cell r="D40" t="str">
            <v>TME</v>
          </cell>
          <cell r="G40">
            <v>41115</v>
          </cell>
          <cell r="H40" t="str">
            <v>Removed</v>
          </cell>
          <cell r="J40" t="str">
            <v>Panel</v>
          </cell>
          <cell r="L40">
            <v>850</v>
          </cell>
        </row>
        <row r="41">
          <cell r="B41" t="str">
            <v>TMO2002</v>
          </cell>
          <cell r="D41" t="str">
            <v>TME</v>
          </cell>
          <cell r="G41">
            <v>40074</v>
          </cell>
          <cell r="H41" t="str">
            <v>Installed</v>
          </cell>
          <cell r="J41" t="str">
            <v>Dish</v>
          </cell>
          <cell r="L41">
            <v>600</v>
          </cell>
        </row>
        <row r="42">
          <cell r="B42" t="str">
            <v>TWW1002</v>
          </cell>
          <cell r="D42" t="str">
            <v>TME</v>
          </cell>
          <cell r="G42">
            <v>39702</v>
          </cell>
          <cell r="H42" t="str">
            <v>Installed</v>
          </cell>
          <cell r="J42" t="str">
            <v>Dish</v>
          </cell>
          <cell r="L42">
            <v>1200</v>
          </cell>
        </row>
        <row r="43">
          <cell r="B43" t="str">
            <v>TWW1002</v>
          </cell>
          <cell r="D43" t="str">
            <v>TME</v>
          </cell>
          <cell r="G43">
            <v>41383</v>
          </cell>
          <cell r="H43" t="str">
            <v>Removed</v>
          </cell>
          <cell r="J43" t="str">
            <v>Dish</v>
          </cell>
          <cell r="L43">
            <v>2000</v>
          </cell>
        </row>
        <row r="44">
          <cell r="B44" t="str">
            <v>TWW1002</v>
          </cell>
          <cell r="D44" t="str">
            <v>TME</v>
          </cell>
          <cell r="G44">
            <v>39702</v>
          </cell>
          <cell r="H44" t="str">
            <v>Installed</v>
          </cell>
          <cell r="J44" t="str">
            <v>Dish</v>
          </cell>
          <cell r="L44">
            <v>2500</v>
          </cell>
        </row>
        <row r="45">
          <cell r="B45" t="str">
            <v>TWW1002</v>
          </cell>
          <cell r="D45" t="str">
            <v>TME</v>
          </cell>
          <cell r="G45">
            <v>41383</v>
          </cell>
          <cell r="H45" t="str">
            <v>Removed</v>
          </cell>
          <cell r="J45" t="str">
            <v>Dish</v>
          </cell>
          <cell r="L45">
            <v>3200</v>
          </cell>
        </row>
        <row r="46">
          <cell r="B46" t="str">
            <v>TWW1002</v>
          </cell>
          <cell r="D46" t="str">
            <v>TME</v>
          </cell>
          <cell r="G46">
            <v>41086</v>
          </cell>
          <cell r="H46" t="str">
            <v>Removed</v>
          </cell>
          <cell r="J46" t="str">
            <v>Omni</v>
          </cell>
          <cell r="L46">
            <v>1000</v>
          </cell>
        </row>
        <row r="47">
          <cell r="B47" t="str">
            <v>TLK1003</v>
          </cell>
          <cell r="D47" t="str">
            <v>TME</v>
          </cell>
          <cell r="G47">
            <v>39699</v>
          </cell>
          <cell r="H47" t="str">
            <v>Installed</v>
          </cell>
          <cell r="J47" t="str">
            <v>Dish</v>
          </cell>
          <cell r="L47">
            <v>1200</v>
          </cell>
        </row>
        <row r="48">
          <cell r="B48" t="str">
            <v>TLK1003</v>
          </cell>
          <cell r="D48" t="str">
            <v>TME</v>
          </cell>
          <cell r="G48">
            <v>39699</v>
          </cell>
          <cell r="H48" t="str">
            <v>Prop Removal</v>
          </cell>
          <cell r="J48" t="str">
            <v>Dish</v>
          </cell>
          <cell r="L48">
            <v>600</v>
          </cell>
        </row>
        <row r="49">
          <cell r="B49" t="str">
            <v>TLK1003</v>
          </cell>
          <cell r="D49" t="str">
            <v>TME</v>
          </cell>
          <cell r="G49">
            <v>39699</v>
          </cell>
          <cell r="H49" t="str">
            <v>Installed</v>
          </cell>
          <cell r="J49" t="str">
            <v>Dish</v>
          </cell>
          <cell r="L49">
            <v>3000</v>
          </cell>
        </row>
        <row r="50">
          <cell r="B50" t="str">
            <v>TLK1003</v>
          </cell>
          <cell r="D50" t="str">
            <v>TME</v>
          </cell>
          <cell r="G50">
            <v>39699</v>
          </cell>
          <cell r="H50" t="str">
            <v>Prop Removal</v>
          </cell>
          <cell r="J50" t="str">
            <v>Dish</v>
          </cell>
          <cell r="L50">
            <v>600</v>
          </cell>
        </row>
        <row r="51">
          <cell r="B51" t="str">
            <v>TLK1003</v>
          </cell>
          <cell r="D51" t="str">
            <v>TME</v>
          </cell>
          <cell r="G51">
            <v>39699</v>
          </cell>
          <cell r="H51" t="str">
            <v>Installed</v>
          </cell>
          <cell r="J51" t="str">
            <v>Dish</v>
          </cell>
          <cell r="L51">
            <v>600</v>
          </cell>
        </row>
        <row r="52">
          <cell r="B52" t="str">
            <v>TLK1003</v>
          </cell>
          <cell r="D52" t="str">
            <v>TME</v>
          </cell>
          <cell r="G52">
            <v>39699</v>
          </cell>
          <cell r="H52" t="str">
            <v>Installed</v>
          </cell>
          <cell r="J52" t="str">
            <v>Dish</v>
          </cell>
          <cell r="L52">
            <v>600</v>
          </cell>
        </row>
        <row r="53">
          <cell r="B53" t="str">
            <v>TLK1003</v>
          </cell>
          <cell r="D53" t="str">
            <v>TME</v>
          </cell>
          <cell r="G53">
            <v>39699</v>
          </cell>
          <cell r="H53" t="str">
            <v>Installed</v>
          </cell>
          <cell r="J53" t="str">
            <v>Dish</v>
          </cell>
          <cell r="L53">
            <v>600</v>
          </cell>
        </row>
        <row r="54">
          <cell r="B54" t="str">
            <v>TLK1003</v>
          </cell>
          <cell r="D54" t="str">
            <v>TME</v>
          </cell>
          <cell r="G54">
            <v>41309</v>
          </cell>
          <cell r="H54" t="str">
            <v>Prop Removal</v>
          </cell>
          <cell r="J54" t="str">
            <v>Dish</v>
          </cell>
          <cell r="L54">
            <v>1000</v>
          </cell>
        </row>
        <row r="55">
          <cell r="B55" t="str">
            <v>TLK1003</v>
          </cell>
          <cell r="D55" t="str">
            <v>TME</v>
          </cell>
          <cell r="G55">
            <v>39727</v>
          </cell>
          <cell r="H55" t="str">
            <v>Removed</v>
          </cell>
          <cell r="J55" t="str">
            <v>Dish</v>
          </cell>
          <cell r="L55">
            <v>1000</v>
          </cell>
        </row>
        <row r="56">
          <cell r="B56" t="str">
            <v>TLK1003</v>
          </cell>
          <cell r="D56" t="str">
            <v>TME</v>
          </cell>
          <cell r="G56">
            <v>39699</v>
          </cell>
          <cell r="H56" t="str">
            <v>Installed</v>
          </cell>
          <cell r="J56" t="str">
            <v>Dish</v>
          </cell>
          <cell r="L56">
            <v>600</v>
          </cell>
        </row>
        <row r="57">
          <cell r="B57" t="str">
            <v>TLK1003</v>
          </cell>
          <cell r="D57" t="str">
            <v>TME</v>
          </cell>
          <cell r="G57">
            <v>41199</v>
          </cell>
          <cell r="H57" t="str">
            <v>Removed</v>
          </cell>
          <cell r="J57" t="str">
            <v>Panel</v>
          </cell>
          <cell r="L57">
            <v>800</v>
          </cell>
        </row>
        <row r="58">
          <cell r="B58" t="str">
            <v>TLK1003</v>
          </cell>
          <cell r="D58" t="str">
            <v>TME</v>
          </cell>
          <cell r="G58">
            <v>39699</v>
          </cell>
          <cell r="H58" t="str">
            <v>Installed</v>
          </cell>
          <cell r="J58" t="str">
            <v>Dish</v>
          </cell>
          <cell r="L58">
            <v>1800</v>
          </cell>
        </row>
        <row r="59">
          <cell r="B59" t="str">
            <v>TLK1003</v>
          </cell>
          <cell r="D59" t="str">
            <v>TME</v>
          </cell>
          <cell r="G59">
            <v>39699</v>
          </cell>
          <cell r="H59" t="str">
            <v>Installed</v>
          </cell>
          <cell r="J59" t="str">
            <v>Dish</v>
          </cell>
          <cell r="L59">
            <v>600</v>
          </cell>
        </row>
        <row r="60">
          <cell r="B60" t="str">
            <v>TLK1003</v>
          </cell>
          <cell r="D60" t="str">
            <v>TME</v>
          </cell>
          <cell r="G60">
            <v>39699</v>
          </cell>
          <cell r="H60" t="str">
            <v>Installed</v>
          </cell>
          <cell r="J60" t="str">
            <v>Dish</v>
          </cell>
          <cell r="L60">
            <v>3000</v>
          </cell>
        </row>
        <row r="61">
          <cell r="B61" t="str">
            <v>TLK1003</v>
          </cell>
          <cell r="D61" t="str">
            <v>TME</v>
          </cell>
          <cell r="G61">
            <v>39699</v>
          </cell>
          <cell r="H61" t="str">
            <v>Installed</v>
          </cell>
          <cell r="J61" t="str">
            <v>Dish</v>
          </cell>
          <cell r="L61">
            <v>600</v>
          </cell>
        </row>
        <row r="62">
          <cell r="B62" t="str">
            <v>TLK1003</v>
          </cell>
          <cell r="D62" t="str">
            <v>TME</v>
          </cell>
          <cell r="G62">
            <v>39699</v>
          </cell>
          <cell r="H62" t="str">
            <v>Installed</v>
          </cell>
          <cell r="J62" t="str">
            <v>Dish</v>
          </cell>
          <cell r="L62">
            <v>600</v>
          </cell>
        </row>
        <row r="63">
          <cell r="B63" t="str">
            <v>TLK1003</v>
          </cell>
          <cell r="D63" t="str">
            <v>TME</v>
          </cell>
          <cell r="G63">
            <v>41309</v>
          </cell>
          <cell r="H63" t="str">
            <v>Prop Removal</v>
          </cell>
          <cell r="J63" t="str">
            <v>Dish</v>
          </cell>
          <cell r="L63">
            <v>1200</v>
          </cell>
        </row>
        <row r="64">
          <cell r="B64" t="str">
            <v>TLK1003</v>
          </cell>
          <cell r="D64" t="str">
            <v>TME</v>
          </cell>
          <cell r="G64">
            <v>39699</v>
          </cell>
          <cell r="H64" t="str">
            <v>Installed</v>
          </cell>
          <cell r="J64" t="str">
            <v>Dish</v>
          </cell>
          <cell r="L64">
            <v>1200</v>
          </cell>
        </row>
        <row r="65">
          <cell r="B65" t="str">
            <v>TLK1003</v>
          </cell>
          <cell r="D65" t="str">
            <v>TME</v>
          </cell>
          <cell r="G65">
            <v>39727</v>
          </cell>
          <cell r="H65" t="str">
            <v>Installed</v>
          </cell>
          <cell r="J65" t="str">
            <v>Dish</v>
          </cell>
          <cell r="L65">
            <v>1000</v>
          </cell>
        </row>
        <row r="66">
          <cell r="B66" t="str">
            <v>TLK1003</v>
          </cell>
          <cell r="D66" t="str">
            <v>TME</v>
          </cell>
          <cell r="G66">
            <v>41309</v>
          </cell>
          <cell r="H66" t="str">
            <v>Licenced</v>
          </cell>
          <cell r="J66" t="str">
            <v>Dish</v>
          </cell>
          <cell r="L66">
            <v>1200</v>
          </cell>
        </row>
        <row r="67">
          <cell r="B67" t="str">
            <v>TCK4002</v>
          </cell>
          <cell r="D67" t="str">
            <v>TME</v>
          </cell>
          <cell r="G67">
            <v>39688</v>
          </cell>
          <cell r="H67" t="str">
            <v>Installed</v>
          </cell>
          <cell r="J67" t="str">
            <v>Dish</v>
          </cell>
          <cell r="L67">
            <v>700</v>
          </cell>
        </row>
        <row r="68">
          <cell r="B68" t="str">
            <v>TCK4002</v>
          </cell>
          <cell r="D68" t="str">
            <v>TME</v>
          </cell>
          <cell r="G68">
            <v>39688</v>
          </cell>
          <cell r="H68" t="str">
            <v>Installed</v>
          </cell>
          <cell r="J68" t="str">
            <v>Dish</v>
          </cell>
          <cell r="L68">
            <v>400</v>
          </cell>
        </row>
        <row r="69">
          <cell r="B69" t="str">
            <v>TCK4002</v>
          </cell>
          <cell r="D69" t="str">
            <v>TME</v>
          </cell>
          <cell r="G69">
            <v>39688</v>
          </cell>
          <cell r="H69" t="str">
            <v>Installed</v>
          </cell>
          <cell r="J69" t="str">
            <v>Dish</v>
          </cell>
          <cell r="L69">
            <v>600</v>
          </cell>
        </row>
        <row r="70">
          <cell r="B70" t="str">
            <v>TCK4002</v>
          </cell>
          <cell r="D70" t="str">
            <v>TME</v>
          </cell>
          <cell r="G70">
            <v>39688</v>
          </cell>
          <cell r="H70" t="str">
            <v>Installed</v>
          </cell>
          <cell r="J70" t="str">
            <v>Dish</v>
          </cell>
          <cell r="L70">
            <v>600</v>
          </cell>
        </row>
        <row r="71">
          <cell r="B71" t="str">
            <v>TKK1004</v>
          </cell>
          <cell r="D71" t="str">
            <v>TME</v>
          </cell>
          <cell r="G71">
            <v>40164</v>
          </cell>
          <cell r="H71" t="str">
            <v>Removed</v>
          </cell>
          <cell r="J71" t="str">
            <v>Dish</v>
          </cell>
          <cell r="L71">
            <v>4000</v>
          </cell>
        </row>
        <row r="72">
          <cell r="B72" t="str">
            <v>TKK1004</v>
          </cell>
          <cell r="D72" t="str">
            <v>TME</v>
          </cell>
          <cell r="G72">
            <v>39678</v>
          </cell>
          <cell r="H72" t="str">
            <v>Request Remove</v>
          </cell>
          <cell r="J72" t="str">
            <v>Dish</v>
          </cell>
          <cell r="L72">
            <v>2000</v>
          </cell>
        </row>
        <row r="73">
          <cell r="B73" t="str">
            <v>TKK1004</v>
          </cell>
          <cell r="D73" t="str">
            <v>TME</v>
          </cell>
          <cell r="G73">
            <v>39678</v>
          </cell>
          <cell r="H73" t="str">
            <v>Request Remove</v>
          </cell>
          <cell r="J73" t="str">
            <v>Dish</v>
          </cell>
          <cell r="L73">
            <v>600</v>
          </cell>
        </row>
        <row r="74">
          <cell r="B74" t="str">
            <v>TKK1004</v>
          </cell>
          <cell r="D74" t="str">
            <v>TME</v>
          </cell>
          <cell r="G74">
            <v>39678</v>
          </cell>
          <cell r="H74" t="str">
            <v>Installed</v>
          </cell>
          <cell r="J74" t="str">
            <v>Dish</v>
          </cell>
          <cell r="L74">
            <v>600</v>
          </cell>
        </row>
        <row r="75">
          <cell r="B75" t="str">
            <v>TKK1004</v>
          </cell>
          <cell r="D75" t="str">
            <v>TME</v>
          </cell>
          <cell r="G75">
            <v>39678</v>
          </cell>
          <cell r="H75" t="str">
            <v>Request Remove</v>
          </cell>
          <cell r="J75" t="str">
            <v>Dish</v>
          </cell>
          <cell r="L75">
            <v>600</v>
          </cell>
        </row>
        <row r="76">
          <cell r="B76" t="str">
            <v>TKK1004</v>
          </cell>
          <cell r="D76" t="str">
            <v>TME</v>
          </cell>
          <cell r="G76">
            <v>39678</v>
          </cell>
          <cell r="H76" t="str">
            <v>Installed</v>
          </cell>
          <cell r="J76" t="str">
            <v>Dish</v>
          </cell>
          <cell r="L76">
            <v>600</v>
          </cell>
        </row>
        <row r="77">
          <cell r="B77" t="str">
            <v>TKK1004</v>
          </cell>
          <cell r="D77" t="str">
            <v>TME</v>
          </cell>
          <cell r="G77">
            <v>39678</v>
          </cell>
          <cell r="H77" t="str">
            <v>Request Remove</v>
          </cell>
          <cell r="J77" t="str">
            <v>Dish</v>
          </cell>
          <cell r="L77">
            <v>2500</v>
          </cell>
        </row>
        <row r="78">
          <cell r="B78" t="str">
            <v>TKK1004</v>
          </cell>
          <cell r="D78" t="str">
            <v>TME</v>
          </cell>
          <cell r="G78">
            <v>39678</v>
          </cell>
          <cell r="H78" t="str">
            <v>Installed</v>
          </cell>
          <cell r="J78" t="str">
            <v>Dish</v>
          </cell>
          <cell r="L78">
            <v>1200</v>
          </cell>
        </row>
        <row r="79">
          <cell r="B79" t="str">
            <v>TKK1004</v>
          </cell>
          <cell r="D79" t="str">
            <v>TME</v>
          </cell>
          <cell r="G79">
            <v>39678</v>
          </cell>
          <cell r="H79" t="str">
            <v>Request Remove</v>
          </cell>
          <cell r="J79" t="str">
            <v>Dish</v>
          </cell>
          <cell r="L79">
            <v>2000</v>
          </cell>
        </row>
        <row r="80">
          <cell r="B80" t="str">
            <v>TKK1004</v>
          </cell>
          <cell r="D80" t="str">
            <v>TME</v>
          </cell>
          <cell r="G80">
            <v>39678</v>
          </cell>
          <cell r="H80" t="str">
            <v>Obsolete</v>
          </cell>
          <cell r="J80" t="str">
            <v>Dish</v>
          </cell>
          <cell r="L80">
            <v>3000</v>
          </cell>
        </row>
        <row r="81">
          <cell r="B81" t="str">
            <v>TKK1004</v>
          </cell>
          <cell r="D81" t="str">
            <v>TME</v>
          </cell>
          <cell r="G81">
            <v>39678</v>
          </cell>
          <cell r="H81" t="str">
            <v>Request Remove</v>
          </cell>
          <cell r="J81" t="str">
            <v>Dish</v>
          </cell>
          <cell r="L81">
            <v>1200</v>
          </cell>
        </row>
        <row r="82">
          <cell r="B82" t="str">
            <v>TKK1004</v>
          </cell>
          <cell r="D82" t="str">
            <v>TME</v>
          </cell>
          <cell r="G82">
            <v>39678</v>
          </cell>
          <cell r="H82" t="str">
            <v>Request Remove</v>
          </cell>
          <cell r="J82" t="str">
            <v>Dish</v>
          </cell>
          <cell r="L82">
            <v>4000</v>
          </cell>
        </row>
        <row r="83">
          <cell r="B83" t="str">
            <v>TKK1004</v>
          </cell>
          <cell r="D83" t="str">
            <v>TME</v>
          </cell>
          <cell r="G83">
            <v>41141</v>
          </cell>
          <cell r="H83" t="str">
            <v>Removed</v>
          </cell>
          <cell r="J83" t="str">
            <v>Panel</v>
          </cell>
          <cell r="L83">
            <v>1000</v>
          </cell>
        </row>
        <row r="84">
          <cell r="B84" t="str">
            <v>TKK1004</v>
          </cell>
          <cell r="D84" t="str">
            <v>TME</v>
          </cell>
          <cell r="G84">
            <v>41037</v>
          </cell>
          <cell r="H84" t="str">
            <v>Installed</v>
          </cell>
          <cell r="J84" t="str">
            <v>Dish</v>
          </cell>
          <cell r="L84">
            <v>600</v>
          </cell>
        </row>
        <row r="85">
          <cell r="B85" t="str">
            <v>TDL1005</v>
          </cell>
          <cell r="D85" t="str">
            <v>TME</v>
          </cell>
          <cell r="G85">
            <v>41410</v>
          </cell>
          <cell r="H85" t="str">
            <v>Removed</v>
          </cell>
          <cell r="J85" t="str">
            <v>Other</v>
          </cell>
          <cell r="L85" t="str">
            <v>-</v>
          </cell>
        </row>
        <row r="86">
          <cell r="B86" t="str">
            <v>TDL1005</v>
          </cell>
          <cell r="D86" t="str">
            <v>TME</v>
          </cell>
          <cell r="G86">
            <v>41410</v>
          </cell>
          <cell r="H86" t="str">
            <v>Removed</v>
          </cell>
          <cell r="J86" t="str">
            <v>Dish</v>
          </cell>
          <cell r="L86">
            <v>500</v>
          </cell>
        </row>
        <row r="87">
          <cell r="B87" t="str">
            <v>TDL1005</v>
          </cell>
          <cell r="D87" t="str">
            <v>TME</v>
          </cell>
          <cell r="G87">
            <v>41410</v>
          </cell>
          <cell r="H87" t="str">
            <v>Removed</v>
          </cell>
          <cell r="J87" t="str">
            <v>Dish</v>
          </cell>
          <cell r="L87">
            <v>2000</v>
          </cell>
        </row>
        <row r="88">
          <cell r="B88" t="str">
            <v>TDL1005</v>
          </cell>
          <cell r="D88" t="str">
            <v>TME</v>
          </cell>
          <cell r="G88">
            <v>39602</v>
          </cell>
          <cell r="H88" t="str">
            <v>Installed</v>
          </cell>
          <cell r="J88" t="str">
            <v>Dish</v>
          </cell>
          <cell r="L88">
            <v>1000</v>
          </cell>
        </row>
        <row r="89">
          <cell r="B89" t="str">
            <v>TDL1005</v>
          </cell>
          <cell r="D89" t="str">
            <v>TME</v>
          </cell>
          <cell r="G89">
            <v>41410</v>
          </cell>
          <cell r="H89" t="str">
            <v>Removed</v>
          </cell>
          <cell r="J89" t="str">
            <v>Dish</v>
          </cell>
          <cell r="L89">
            <v>2500</v>
          </cell>
        </row>
        <row r="90">
          <cell r="B90" t="str">
            <v>TDL1005</v>
          </cell>
          <cell r="D90" t="str">
            <v>TME</v>
          </cell>
          <cell r="G90">
            <v>39602</v>
          </cell>
          <cell r="H90" t="str">
            <v>Installed</v>
          </cell>
          <cell r="J90" t="str">
            <v>Dish</v>
          </cell>
          <cell r="L90">
            <v>2500</v>
          </cell>
        </row>
        <row r="91">
          <cell r="B91" t="str">
            <v>TDL1005</v>
          </cell>
          <cell r="D91" t="str">
            <v>TME</v>
          </cell>
          <cell r="G91">
            <v>41410</v>
          </cell>
          <cell r="H91" t="str">
            <v>Removed</v>
          </cell>
          <cell r="J91" t="str">
            <v>Panel</v>
          </cell>
          <cell r="L91">
            <v>500</v>
          </cell>
        </row>
        <row r="92">
          <cell r="B92" t="str">
            <v>TDL1005</v>
          </cell>
          <cell r="D92" t="str">
            <v>TME</v>
          </cell>
          <cell r="G92">
            <v>41410</v>
          </cell>
          <cell r="H92" t="str">
            <v>Removed</v>
          </cell>
          <cell r="J92" t="str">
            <v>Dish</v>
          </cell>
          <cell r="L92">
            <v>2500</v>
          </cell>
        </row>
        <row r="93">
          <cell r="B93" t="str">
            <v>TDL1005</v>
          </cell>
          <cell r="D93" t="str">
            <v>TME</v>
          </cell>
          <cell r="G93">
            <v>41215</v>
          </cell>
          <cell r="H93" t="str">
            <v>Removed</v>
          </cell>
          <cell r="J93" t="str">
            <v>Panel</v>
          </cell>
          <cell r="L93">
            <v>850</v>
          </cell>
        </row>
        <row r="94">
          <cell r="B94" t="str">
            <v>TDL1005</v>
          </cell>
          <cell r="D94" t="str">
            <v>TME</v>
          </cell>
          <cell r="G94">
            <v>41410</v>
          </cell>
          <cell r="H94" t="str">
            <v>Removed</v>
          </cell>
          <cell r="J94" t="str">
            <v>Omni</v>
          </cell>
          <cell r="L94">
            <v>2000</v>
          </cell>
        </row>
        <row r="95">
          <cell r="B95" t="str">
            <v>TDL1005</v>
          </cell>
          <cell r="D95" t="str">
            <v>TME</v>
          </cell>
          <cell r="G95">
            <v>39602</v>
          </cell>
          <cell r="H95" t="str">
            <v>Installed</v>
          </cell>
          <cell r="J95" t="str">
            <v>Omni</v>
          </cell>
          <cell r="L95">
            <v>1500</v>
          </cell>
        </row>
        <row r="96">
          <cell r="B96" t="str">
            <v>TDL1005</v>
          </cell>
          <cell r="D96" t="str">
            <v>TME</v>
          </cell>
          <cell r="G96">
            <v>41215</v>
          </cell>
          <cell r="H96" t="str">
            <v>Removed</v>
          </cell>
          <cell r="J96" t="str">
            <v>Panel</v>
          </cell>
          <cell r="L96">
            <v>850</v>
          </cell>
        </row>
        <row r="97">
          <cell r="B97" t="str">
            <v>TDL1005</v>
          </cell>
          <cell r="D97" t="str">
            <v>TME</v>
          </cell>
          <cell r="G97">
            <v>41341</v>
          </cell>
          <cell r="H97" t="str">
            <v>Installed</v>
          </cell>
          <cell r="J97" t="str">
            <v>Dish</v>
          </cell>
          <cell r="L97">
            <v>1200</v>
          </cell>
        </row>
        <row r="98">
          <cell r="B98" t="str">
            <v>TDL1005</v>
          </cell>
          <cell r="D98" t="str">
            <v>TME</v>
          </cell>
          <cell r="G98">
            <v>41387</v>
          </cell>
          <cell r="H98" t="str">
            <v>Installed</v>
          </cell>
          <cell r="J98" t="str">
            <v>Dish</v>
          </cell>
          <cell r="L98">
            <v>600</v>
          </cell>
        </row>
        <row r="99">
          <cell r="B99" t="str">
            <v>TCE2003</v>
          </cell>
          <cell r="D99" t="str">
            <v>TME</v>
          </cell>
          <cell r="G99">
            <v>39638</v>
          </cell>
          <cell r="H99" t="str">
            <v>Installed</v>
          </cell>
          <cell r="J99" t="str">
            <v>Dish</v>
          </cell>
          <cell r="L99">
            <v>600</v>
          </cell>
        </row>
        <row r="100">
          <cell r="B100" t="str">
            <v>TCE2003</v>
          </cell>
          <cell r="D100" t="str">
            <v>TME</v>
          </cell>
          <cell r="G100">
            <v>39638</v>
          </cell>
          <cell r="H100" t="str">
            <v>Installed</v>
          </cell>
          <cell r="J100" t="str">
            <v>Dish</v>
          </cell>
          <cell r="L100">
            <v>1200</v>
          </cell>
        </row>
        <row r="101">
          <cell r="B101" t="str">
            <v>TMO2004</v>
          </cell>
          <cell r="D101" t="str">
            <v>TME</v>
          </cell>
          <cell r="G101">
            <v>39626</v>
          </cell>
          <cell r="H101" t="str">
            <v>Installed</v>
          </cell>
          <cell r="J101" t="str">
            <v>Dish</v>
          </cell>
          <cell r="L101">
            <v>2500</v>
          </cell>
        </row>
        <row r="102">
          <cell r="B102" t="str">
            <v>TMO2004</v>
          </cell>
          <cell r="D102" t="str">
            <v>TME</v>
          </cell>
          <cell r="G102">
            <v>39626</v>
          </cell>
          <cell r="H102" t="str">
            <v>Installed</v>
          </cell>
          <cell r="J102" t="str">
            <v>Dish</v>
          </cell>
          <cell r="L102">
            <v>1200</v>
          </cell>
        </row>
        <row r="103">
          <cell r="B103" t="str">
            <v>TMO2004</v>
          </cell>
          <cell r="D103" t="str">
            <v>TME</v>
          </cell>
          <cell r="G103">
            <v>39626</v>
          </cell>
          <cell r="H103" t="str">
            <v>Installed</v>
          </cell>
          <cell r="J103" t="str">
            <v>Dish</v>
          </cell>
          <cell r="L103">
            <v>1000</v>
          </cell>
        </row>
        <row r="104">
          <cell r="B104" t="str">
            <v>TMO2004</v>
          </cell>
          <cell r="D104" t="str">
            <v>TME</v>
          </cell>
          <cell r="G104">
            <v>41534</v>
          </cell>
          <cell r="H104" t="str">
            <v>Prop Removal</v>
          </cell>
          <cell r="J104" t="str">
            <v>Dish</v>
          </cell>
          <cell r="L104">
            <v>600</v>
          </cell>
        </row>
        <row r="105">
          <cell r="B105" t="str">
            <v>TMO2004</v>
          </cell>
          <cell r="D105" t="str">
            <v>TME</v>
          </cell>
          <cell r="G105">
            <v>39626</v>
          </cell>
          <cell r="H105" t="str">
            <v>Installed</v>
          </cell>
          <cell r="J105" t="str">
            <v>Dish</v>
          </cell>
          <cell r="L105">
            <v>600</v>
          </cell>
        </row>
        <row r="106">
          <cell r="B106" t="str">
            <v>TMO2004</v>
          </cell>
          <cell r="D106" t="str">
            <v>TME</v>
          </cell>
          <cell r="G106">
            <v>39626</v>
          </cell>
          <cell r="H106" t="str">
            <v>Installed</v>
          </cell>
          <cell r="J106" t="str">
            <v>Dish</v>
          </cell>
          <cell r="L106">
            <v>1200</v>
          </cell>
        </row>
        <row r="107">
          <cell r="B107" t="str">
            <v>TMO2004</v>
          </cell>
          <cell r="D107" t="str">
            <v>TME</v>
          </cell>
          <cell r="G107">
            <v>41122</v>
          </cell>
          <cell r="H107" t="str">
            <v>Removed</v>
          </cell>
          <cell r="J107" t="str">
            <v>Omni</v>
          </cell>
          <cell r="L107">
            <v>800</v>
          </cell>
        </row>
        <row r="108">
          <cell r="B108" t="str">
            <v>TCE1006</v>
          </cell>
          <cell r="D108" t="str">
            <v>TME</v>
          </cell>
          <cell r="G108">
            <v>40213</v>
          </cell>
          <cell r="H108" t="str">
            <v>Removed</v>
          </cell>
          <cell r="J108" t="str">
            <v>Dish</v>
          </cell>
          <cell r="L108">
            <v>1400</v>
          </cell>
        </row>
        <row r="109">
          <cell r="B109" t="str">
            <v>TCE1006</v>
          </cell>
          <cell r="D109" t="str">
            <v>TME</v>
          </cell>
          <cell r="G109">
            <v>39706</v>
          </cell>
          <cell r="H109" t="str">
            <v>Installed</v>
          </cell>
          <cell r="J109" t="str">
            <v>Dish</v>
          </cell>
          <cell r="L109">
            <v>1200</v>
          </cell>
        </row>
        <row r="110">
          <cell r="B110" t="str">
            <v>TCE1006</v>
          </cell>
          <cell r="D110" t="str">
            <v>TME</v>
          </cell>
          <cell r="G110">
            <v>39706</v>
          </cell>
          <cell r="H110" t="str">
            <v>Installed</v>
          </cell>
          <cell r="J110" t="str">
            <v>Dish</v>
          </cell>
          <cell r="L110">
            <v>600</v>
          </cell>
        </row>
        <row r="111">
          <cell r="B111" t="str">
            <v>TCE1006</v>
          </cell>
          <cell r="D111" t="str">
            <v>TME</v>
          </cell>
          <cell r="G111">
            <v>39706</v>
          </cell>
          <cell r="H111" t="str">
            <v>Installed</v>
          </cell>
          <cell r="J111" t="str">
            <v>Dish</v>
          </cell>
          <cell r="L111">
            <v>600</v>
          </cell>
        </row>
        <row r="112">
          <cell r="B112" t="str">
            <v>TCE1006</v>
          </cell>
          <cell r="D112" t="str">
            <v>TME</v>
          </cell>
          <cell r="G112">
            <v>39706</v>
          </cell>
          <cell r="H112" t="str">
            <v>Installed</v>
          </cell>
          <cell r="J112" t="str">
            <v>Dish</v>
          </cell>
          <cell r="L112">
            <v>600</v>
          </cell>
        </row>
        <row r="113">
          <cell r="B113" t="str">
            <v>TCE1006</v>
          </cell>
          <cell r="D113" t="str">
            <v>TME</v>
          </cell>
          <cell r="G113">
            <v>39706</v>
          </cell>
          <cell r="H113" t="str">
            <v>Installed</v>
          </cell>
          <cell r="J113" t="str">
            <v>Dish</v>
          </cell>
          <cell r="L113">
            <v>600</v>
          </cell>
        </row>
        <row r="114">
          <cell r="B114" t="str">
            <v>TCE1006</v>
          </cell>
          <cell r="D114" t="str">
            <v>TME</v>
          </cell>
          <cell r="G114">
            <v>39706</v>
          </cell>
          <cell r="H114" t="str">
            <v>Installed</v>
          </cell>
          <cell r="J114" t="str">
            <v>Dish</v>
          </cell>
          <cell r="L114">
            <v>2000</v>
          </cell>
        </row>
        <row r="115">
          <cell r="B115" t="str">
            <v>TCE1006</v>
          </cell>
          <cell r="D115" t="str">
            <v>TME</v>
          </cell>
          <cell r="G115">
            <v>39706</v>
          </cell>
          <cell r="H115" t="str">
            <v>Installed</v>
          </cell>
          <cell r="J115" t="str">
            <v>Dish</v>
          </cell>
          <cell r="L115">
            <v>600</v>
          </cell>
        </row>
        <row r="116">
          <cell r="B116" t="str">
            <v>TCE1006</v>
          </cell>
          <cell r="D116" t="str">
            <v>TME</v>
          </cell>
          <cell r="G116">
            <v>39706</v>
          </cell>
          <cell r="H116" t="str">
            <v>Installed</v>
          </cell>
          <cell r="J116" t="str">
            <v>Dish</v>
          </cell>
          <cell r="L116">
            <v>600</v>
          </cell>
        </row>
        <row r="117">
          <cell r="B117" t="str">
            <v>TCE1006</v>
          </cell>
          <cell r="D117" t="str">
            <v>TME</v>
          </cell>
          <cell r="G117">
            <v>39706</v>
          </cell>
          <cell r="H117" t="str">
            <v>Installed</v>
          </cell>
          <cell r="J117" t="str">
            <v>Dish</v>
          </cell>
          <cell r="L117">
            <v>600</v>
          </cell>
        </row>
        <row r="118">
          <cell r="B118" t="str">
            <v>TCE1006</v>
          </cell>
          <cell r="D118" t="str">
            <v>TME</v>
          </cell>
          <cell r="G118">
            <v>39706</v>
          </cell>
          <cell r="H118" t="str">
            <v>Installed</v>
          </cell>
          <cell r="J118" t="str">
            <v>Dish</v>
          </cell>
          <cell r="L118">
            <v>600</v>
          </cell>
        </row>
        <row r="119">
          <cell r="B119" t="str">
            <v>TCE1006</v>
          </cell>
          <cell r="D119" t="str">
            <v>TME</v>
          </cell>
          <cell r="G119">
            <v>39706</v>
          </cell>
          <cell r="H119" t="str">
            <v>Installed</v>
          </cell>
          <cell r="J119" t="str">
            <v>Dish</v>
          </cell>
          <cell r="L119">
            <v>2000</v>
          </cell>
        </row>
        <row r="120">
          <cell r="B120" t="str">
            <v>TCE1006</v>
          </cell>
          <cell r="D120" t="str">
            <v>TME</v>
          </cell>
          <cell r="G120">
            <v>39706</v>
          </cell>
          <cell r="H120" t="str">
            <v>Installed</v>
          </cell>
          <cell r="J120" t="str">
            <v>Dish</v>
          </cell>
          <cell r="L120">
            <v>1200</v>
          </cell>
        </row>
        <row r="121">
          <cell r="B121" t="str">
            <v>TCE1006</v>
          </cell>
          <cell r="D121" t="str">
            <v>TME</v>
          </cell>
          <cell r="G121">
            <v>39706</v>
          </cell>
          <cell r="H121" t="str">
            <v>Installed</v>
          </cell>
          <cell r="J121" t="str">
            <v>Dish</v>
          </cell>
          <cell r="L121">
            <v>2000</v>
          </cell>
        </row>
        <row r="122">
          <cell r="B122" t="str">
            <v>TCE1006</v>
          </cell>
          <cell r="D122" t="str">
            <v>TME</v>
          </cell>
          <cell r="G122">
            <v>39706</v>
          </cell>
          <cell r="H122" t="str">
            <v>Installed</v>
          </cell>
          <cell r="J122" t="str">
            <v>Dish</v>
          </cell>
          <cell r="L122">
            <v>600</v>
          </cell>
        </row>
        <row r="123">
          <cell r="B123" t="str">
            <v>TCE1006</v>
          </cell>
          <cell r="D123" t="str">
            <v>TME</v>
          </cell>
          <cell r="G123">
            <v>39706</v>
          </cell>
          <cell r="H123" t="str">
            <v>Installed</v>
          </cell>
          <cell r="J123" t="str">
            <v>Dish</v>
          </cell>
          <cell r="L123">
            <v>600</v>
          </cell>
        </row>
        <row r="124">
          <cell r="B124" t="str">
            <v>TCE1006</v>
          </cell>
          <cell r="D124" t="str">
            <v>TME</v>
          </cell>
          <cell r="G124">
            <v>39706</v>
          </cell>
          <cell r="H124" t="str">
            <v>Installed</v>
          </cell>
          <cell r="J124" t="str">
            <v>Dish</v>
          </cell>
          <cell r="L124">
            <v>2000</v>
          </cell>
        </row>
        <row r="125">
          <cell r="B125" t="str">
            <v>TCE1006</v>
          </cell>
          <cell r="D125" t="str">
            <v>TME</v>
          </cell>
          <cell r="G125">
            <v>39706</v>
          </cell>
          <cell r="H125" t="str">
            <v>Installed</v>
          </cell>
          <cell r="J125" t="str">
            <v>Dish</v>
          </cell>
          <cell r="L125">
            <v>1400</v>
          </cell>
        </row>
        <row r="126">
          <cell r="B126" t="str">
            <v>TCE1006</v>
          </cell>
          <cell r="D126" t="str">
            <v>TME</v>
          </cell>
          <cell r="G126">
            <v>40213</v>
          </cell>
          <cell r="H126" t="str">
            <v>Removed</v>
          </cell>
          <cell r="J126" t="str">
            <v>Dish</v>
          </cell>
          <cell r="L126">
            <v>1400</v>
          </cell>
        </row>
        <row r="127">
          <cell r="B127" t="str">
            <v>TCE1006</v>
          </cell>
          <cell r="D127" t="str">
            <v>TME</v>
          </cell>
          <cell r="G127">
            <v>39706</v>
          </cell>
          <cell r="H127" t="str">
            <v>Installed</v>
          </cell>
          <cell r="J127" t="str">
            <v>Dish</v>
          </cell>
          <cell r="L127">
            <v>1200</v>
          </cell>
        </row>
        <row r="128">
          <cell r="B128" t="str">
            <v>TCE1006</v>
          </cell>
          <cell r="D128" t="str">
            <v>TME</v>
          </cell>
          <cell r="G128">
            <v>40282</v>
          </cell>
          <cell r="H128" t="str">
            <v>Installed</v>
          </cell>
          <cell r="J128" t="str">
            <v>Dish</v>
          </cell>
          <cell r="L128">
            <v>600</v>
          </cell>
        </row>
        <row r="129">
          <cell r="B129" t="str">
            <v>TCE1006</v>
          </cell>
          <cell r="D129" t="str">
            <v>TME</v>
          </cell>
          <cell r="G129">
            <v>40661</v>
          </cell>
          <cell r="H129" t="str">
            <v>Installed</v>
          </cell>
          <cell r="J129" t="str">
            <v>Dish</v>
          </cell>
          <cell r="L129">
            <v>600</v>
          </cell>
        </row>
        <row r="130">
          <cell r="B130" t="str">
            <v>TWX4003</v>
          </cell>
          <cell r="D130" t="str">
            <v>TME</v>
          </cell>
          <cell r="G130">
            <v>39693</v>
          </cell>
          <cell r="H130" t="str">
            <v>Installed</v>
          </cell>
          <cell r="J130" t="str">
            <v>Dish</v>
          </cell>
          <cell r="L130">
            <v>1200</v>
          </cell>
        </row>
        <row r="131">
          <cell r="B131" t="str">
            <v>TWX4003</v>
          </cell>
          <cell r="D131" t="str">
            <v>TME</v>
          </cell>
          <cell r="G131">
            <v>39693</v>
          </cell>
          <cell r="H131" t="str">
            <v>Installed</v>
          </cell>
          <cell r="J131" t="str">
            <v>Dish</v>
          </cell>
          <cell r="L131">
            <v>600</v>
          </cell>
        </row>
        <row r="132">
          <cell r="B132" t="str">
            <v>TWX4003</v>
          </cell>
          <cell r="D132" t="str">
            <v>TME</v>
          </cell>
          <cell r="G132">
            <v>39693</v>
          </cell>
          <cell r="H132" t="str">
            <v>Installed</v>
          </cell>
          <cell r="J132" t="str">
            <v>Dish</v>
          </cell>
          <cell r="L132">
            <v>600</v>
          </cell>
        </row>
        <row r="133">
          <cell r="B133" t="str">
            <v>TWX4003</v>
          </cell>
          <cell r="D133" t="str">
            <v>TME</v>
          </cell>
          <cell r="G133">
            <v>39888</v>
          </cell>
          <cell r="H133" t="str">
            <v>Installed</v>
          </cell>
          <cell r="J133" t="str">
            <v>Dish</v>
          </cell>
          <cell r="L133">
            <v>600</v>
          </cell>
        </row>
        <row r="134">
          <cell r="B134" t="str">
            <v>TKE2005</v>
          </cell>
          <cell r="D134" t="str">
            <v>TME</v>
          </cell>
          <cell r="G134">
            <v>39657</v>
          </cell>
          <cell r="H134" t="str">
            <v>Installed</v>
          </cell>
          <cell r="J134" t="str">
            <v>Dish</v>
          </cell>
          <cell r="L134">
            <v>1200</v>
          </cell>
        </row>
        <row r="135">
          <cell r="B135" t="str">
            <v>TSO1007</v>
          </cell>
          <cell r="D135" t="str">
            <v>TME</v>
          </cell>
          <cell r="G135">
            <v>41177</v>
          </cell>
          <cell r="H135" t="str">
            <v>Removed</v>
          </cell>
          <cell r="J135" t="str">
            <v>Other</v>
          </cell>
          <cell r="L135">
            <v>1000</v>
          </cell>
        </row>
        <row r="136">
          <cell r="B136" t="str">
            <v>TSO1007</v>
          </cell>
          <cell r="D136" t="str">
            <v>TME</v>
          </cell>
          <cell r="G136">
            <v>41177</v>
          </cell>
          <cell r="H136" t="str">
            <v>Removed</v>
          </cell>
          <cell r="J136" t="str">
            <v>Other</v>
          </cell>
          <cell r="L136">
            <v>3000</v>
          </cell>
        </row>
        <row r="137">
          <cell r="B137" t="str">
            <v>TSO1007</v>
          </cell>
          <cell r="D137" t="str">
            <v>TME</v>
          </cell>
          <cell r="G137">
            <v>41059</v>
          </cell>
          <cell r="H137" t="str">
            <v>Removed</v>
          </cell>
          <cell r="J137" t="str">
            <v>Dish</v>
          </cell>
          <cell r="L137">
            <v>300</v>
          </cell>
        </row>
        <row r="138">
          <cell r="B138" t="str">
            <v>TSO1007</v>
          </cell>
          <cell r="D138" t="str">
            <v>TME</v>
          </cell>
          <cell r="G138">
            <v>40085</v>
          </cell>
          <cell r="H138" t="str">
            <v>Removed</v>
          </cell>
          <cell r="J138" t="str">
            <v>Dish</v>
          </cell>
          <cell r="L138">
            <v>3000</v>
          </cell>
        </row>
        <row r="139">
          <cell r="B139" t="str">
            <v>TSO1007</v>
          </cell>
          <cell r="D139" t="str">
            <v>TME</v>
          </cell>
          <cell r="G139">
            <v>41177</v>
          </cell>
          <cell r="H139" t="str">
            <v>Removed</v>
          </cell>
          <cell r="J139" t="str">
            <v>Dish</v>
          </cell>
          <cell r="L139">
            <v>1000</v>
          </cell>
        </row>
        <row r="140">
          <cell r="B140" t="str">
            <v>TSO1007</v>
          </cell>
          <cell r="D140" t="str">
            <v>TME</v>
          </cell>
          <cell r="G140">
            <v>41396</v>
          </cell>
          <cell r="H140" t="str">
            <v>Removed</v>
          </cell>
          <cell r="J140" t="str">
            <v>Dish</v>
          </cell>
          <cell r="L140">
            <v>600</v>
          </cell>
        </row>
        <row r="141">
          <cell r="B141" t="str">
            <v>TSO1007</v>
          </cell>
          <cell r="D141" t="str">
            <v>TME</v>
          </cell>
          <cell r="G141">
            <v>41396</v>
          </cell>
          <cell r="H141" t="str">
            <v>Removed</v>
          </cell>
          <cell r="J141" t="str">
            <v>Dish</v>
          </cell>
          <cell r="L141">
            <v>1200</v>
          </cell>
        </row>
        <row r="142">
          <cell r="B142" t="str">
            <v>TSO1007</v>
          </cell>
          <cell r="D142" t="str">
            <v>TME</v>
          </cell>
          <cell r="G142">
            <v>39701</v>
          </cell>
          <cell r="H142" t="str">
            <v>Installed</v>
          </cell>
          <cell r="J142" t="str">
            <v>Dish</v>
          </cell>
          <cell r="L142">
            <v>2500</v>
          </cell>
        </row>
        <row r="143">
          <cell r="B143" t="str">
            <v>TSO1007</v>
          </cell>
          <cell r="D143" t="str">
            <v>TME</v>
          </cell>
          <cell r="G143">
            <v>39701</v>
          </cell>
          <cell r="H143" t="str">
            <v>Installed</v>
          </cell>
          <cell r="J143" t="str">
            <v>Dish</v>
          </cell>
          <cell r="L143">
            <v>600</v>
          </cell>
        </row>
        <row r="144">
          <cell r="B144" t="str">
            <v>TSO1007</v>
          </cell>
          <cell r="D144" t="str">
            <v>TME</v>
          </cell>
          <cell r="G144">
            <v>39701</v>
          </cell>
          <cell r="H144" t="str">
            <v>Installed</v>
          </cell>
          <cell r="J144" t="str">
            <v>Dish</v>
          </cell>
          <cell r="L144">
            <v>600</v>
          </cell>
        </row>
        <row r="145">
          <cell r="B145" t="str">
            <v>TSO1007</v>
          </cell>
          <cell r="D145" t="str">
            <v>TME</v>
          </cell>
          <cell r="G145">
            <v>41177</v>
          </cell>
          <cell r="H145" t="str">
            <v>Removed</v>
          </cell>
          <cell r="J145" t="str">
            <v>Dish</v>
          </cell>
          <cell r="L145">
            <v>600</v>
          </cell>
        </row>
        <row r="146">
          <cell r="B146" t="str">
            <v>TSO1007</v>
          </cell>
          <cell r="D146" t="str">
            <v>TME</v>
          </cell>
          <cell r="G146">
            <v>41177</v>
          </cell>
          <cell r="H146" t="str">
            <v>Removed</v>
          </cell>
          <cell r="J146" t="str">
            <v>Dish</v>
          </cell>
          <cell r="L146">
            <v>600</v>
          </cell>
        </row>
        <row r="147">
          <cell r="B147" t="str">
            <v>TSO1007</v>
          </cell>
          <cell r="D147" t="str">
            <v>TME</v>
          </cell>
          <cell r="G147">
            <v>39701</v>
          </cell>
          <cell r="H147" t="str">
            <v>Installed</v>
          </cell>
          <cell r="J147" t="str">
            <v>Dish</v>
          </cell>
          <cell r="L147">
            <v>1200</v>
          </cell>
        </row>
        <row r="148">
          <cell r="B148" t="str">
            <v>TSO1007</v>
          </cell>
          <cell r="D148" t="str">
            <v>TME</v>
          </cell>
          <cell r="G148">
            <v>39701</v>
          </cell>
          <cell r="H148" t="str">
            <v>Removed</v>
          </cell>
          <cell r="J148" t="str">
            <v>Dish</v>
          </cell>
          <cell r="L148">
            <v>2500</v>
          </cell>
        </row>
        <row r="149">
          <cell r="B149" t="str">
            <v>TSO1007</v>
          </cell>
          <cell r="D149" t="str">
            <v>TME</v>
          </cell>
          <cell r="G149">
            <v>41177</v>
          </cell>
          <cell r="H149" t="str">
            <v>Removed</v>
          </cell>
          <cell r="J149" t="str">
            <v>Dish</v>
          </cell>
          <cell r="L149">
            <v>1200</v>
          </cell>
        </row>
        <row r="150">
          <cell r="B150" t="str">
            <v>TSO1007</v>
          </cell>
          <cell r="D150" t="str">
            <v>TME</v>
          </cell>
          <cell r="G150">
            <v>41177</v>
          </cell>
          <cell r="H150" t="str">
            <v>Removed</v>
          </cell>
          <cell r="J150" t="str">
            <v>Dish</v>
          </cell>
          <cell r="L150">
            <v>1200</v>
          </cell>
        </row>
        <row r="151">
          <cell r="B151" t="str">
            <v>TSO1007</v>
          </cell>
          <cell r="D151" t="str">
            <v>TME</v>
          </cell>
          <cell r="G151">
            <v>41247</v>
          </cell>
          <cell r="H151" t="str">
            <v>Removed</v>
          </cell>
          <cell r="J151" t="str">
            <v>Omni</v>
          </cell>
          <cell r="L151">
            <v>1000</v>
          </cell>
        </row>
        <row r="152">
          <cell r="B152" t="str">
            <v>TSO1007</v>
          </cell>
          <cell r="D152" t="str">
            <v>TME</v>
          </cell>
          <cell r="G152">
            <v>41177</v>
          </cell>
          <cell r="H152" t="str">
            <v>Removed</v>
          </cell>
          <cell r="J152" t="str">
            <v>Dish</v>
          </cell>
          <cell r="L152">
            <v>300</v>
          </cell>
        </row>
        <row r="153">
          <cell r="B153" t="str">
            <v>TSO1007</v>
          </cell>
          <cell r="D153" t="str">
            <v>TME</v>
          </cell>
          <cell r="G153">
            <v>40085</v>
          </cell>
          <cell r="H153" t="str">
            <v>Installed</v>
          </cell>
          <cell r="J153" t="str">
            <v>Dish</v>
          </cell>
          <cell r="L153">
            <v>1800</v>
          </cell>
        </row>
        <row r="154">
          <cell r="B154" t="str">
            <v>TSO1007</v>
          </cell>
          <cell r="D154" t="str">
            <v>TME</v>
          </cell>
          <cell r="G154">
            <v>40085</v>
          </cell>
          <cell r="H154" t="str">
            <v>Installed</v>
          </cell>
          <cell r="J154" t="str">
            <v>Dish</v>
          </cell>
          <cell r="L154">
            <v>600</v>
          </cell>
        </row>
        <row r="155">
          <cell r="B155" t="str">
            <v>TSO1007</v>
          </cell>
          <cell r="D155" t="str">
            <v>TME</v>
          </cell>
          <cell r="G155">
            <v>41059</v>
          </cell>
          <cell r="H155" t="str">
            <v>Licenced</v>
          </cell>
          <cell r="J155" t="str">
            <v>Dish</v>
          </cell>
          <cell r="L155">
            <v>600</v>
          </cell>
        </row>
        <row r="156">
          <cell r="B156" t="str">
            <v>TDL2006</v>
          </cell>
          <cell r="D156" t="str">
            <v>TME</v>
          </cell>
          <cell r="G156">
            <v>39653</v>
          </cell>
          <cell r="H156" t="str">
            <v>Request Remove</v>
          </cell>
          <cell r="J156" t="str">
            <v>Dish</v>
          </cell>
          <cell r="L156">
            <v>3000</v>
          </cell>
        </row>
        <row r="157">
          <cell r="B157" t="str">
            <v>TDL2006</v>
          </cell>
          <cell r="D157" t="str">
            <v>TME</v>
          </cell>
          <cell r="G157">
            <v>40157</v>
          </cell>
          <cell r="H157" t="str">
            <v>Installed</v>
          </cell>
          <cell r="J157" t="str">
            <v>Dish</v>
          </cell>
          <cell r="L157">
            <v>300</v>
          </cell>
        </row>
        <row r="158">
          <cell r="B158" t="str">
            <v>TCK3002</v>
          </cell>
          <cell r="D158" t="str">
            <v>TME</v>
          </cell>
          <cell r="G158">
            <v>41408</v>
          </cell>
          <cell r="H158" t="str">
            <v>Removed</v>
          </cell>
          <cell r="J158" t="str">
            <v>Dish</v>
          </cell>
          <cell r="L158">
            <v>600</v>
          </cell>
        </row>
        <row r="159">
          <cell r="B159" t="str">
            <v>TCK3002</v>
          </cell>
          <cell r="D159" t="str">
            <v>TME</v>
          </cell>
          <cell r="G159">
            <v>39630</v>
          </cell>
          <cell r="H159" t="str">
            <v>Installed</v>
          </cell>
          <cell r="J159" t="str">
            <v>Dish</v>
          </cell>
          <cell r="L159">
            <v>600</v>
          </cell>
        </row>
        <row r="160">
          <cell r="B160" t="str">
            <v>TCK3002</v>
          </cell>
          <cell r="D160" t="str">
            <v>TME</v>
          </cell>
          <cell r="G160">
            <v>41415</v>
          </cell>
          <cell r="H160" t="str">
            <v>Prop Removal</v>
          </cell>
          <cell r="J160" t="str">
            <v>Dish</v>
          </cell>
          <cell r="L160">
            <v>600</v>
          </cell>
        </row>
        <row r="161">
          <cell r="B161" t="str">
            <v>TCK3002</v>
          </cell>
          <cell r="D161" t="str">
            <v>TME</v>
          </cell>
          <cell r="G161">
            <v>39630</v>
          </cell>
          <cell r="H161" t="str">
            <v>Installed</v>
          </cell>
          <cell r="J161" t="str">
            <v>Dish</v>
          </cell>
          <cell r="L161">
            <v>2500</v>
          </cell>
        </row>
        <row r="162">
          <cell r="B162" t="str">
            <v>TCK3002</v>
          </cell>
          <cell r="D162" t="str">
            <v>TME</v>
          </cell>
          <cell r="G162">
            <v>39630</v>
          </cell>
          <cell r="H162" t="str">
            <v>Installed</v>
          </cell>
          <cell r="J162" t="str">
            <v>Dish</v>
          </cell>
          <cell r="L162">
            <v>2500</v>
          </cell>
        </row>
        <row r="163">
          <cell r="B163" t="str">
            <v>TCK3002</v>
          </cell>
          <cell r="D163" t="str">
            <v>TME</v>
          </cell>
          <cell r="G163">
            <v>39869</v>
          </cell>
          <cell r="H163" t="str">
            <v>Removed</v>
          </cell>
          <cell r="J163" t="str">
            <v>Dish</v>
          </cell>
          <cell r="L163">
            <v>2000</v>
          </cell>
        </row>
        <row r="164">
          <cell r="B164" t="str">
            <v>TCK3002</v>
          </cell>
          <cell r="D164" t="str">
            <v>TME</v>
          </cell>
          <cell r="G164">
            <v>39869</v>
          </cell>
          <cell r="H164" t="str">
            <v>Removed</v>
          </cell>
          <cell r="J164" t="str">
            <v>Dish</v>
          </cell>
          <cell r="L164">
            <v>2000</v>
          </cell>
        </row>
        <row r="165">
          <cell r="B165" t="str">
            <v>TCK3002</v>
          </cell>
          <cell r="D165" t="str">
            <v>TME</v>
          </cell>
          <cell r="G165">
            <v>41408</v>
          </cell>
          <cell r="H165" t="str">
            <v>Removed</v>
          </cell>
          <cell r="J165" t="str">
            <v>Dish</v>
          </cell>
          <cell r="L165">
            <v>1200</v>
          </cell>
        </row>
        <row r="166">
          <cell r="B166" t="str">
            <v>TCK3002</v>
          </cell>
          <cell r="D166" t="str">
            <v>TME</v>
          </cell>
          <cell r="G166">
            <v>39630</v>
          </cell>
          <cell r="H166" t="str">
            <v>Installed</v>
          </cell>
          <cell r="J166" t="str">
            <v>Dish</v>
          </cell>
          <cell r="L166">
            <v>1200</v>
          </cell>
        </row>
        <row r="167">
          <cell r="B167" t="str">
            <v>TCK3002</v>
          </cell>
          <cell r="D167" t="str">
            <v>TME</v>
          </cell>
          <cell r="G167">
            <v>39630</v>
          </cell>
          <cell r="H167" t="str">
            <v>Installed</v>
          </cell>
          <cell r="J167" t="str">
            <v>Dish</v>
          </cell>
          <cell r="L167">
            <v>600</v>
          </cell>
        </row>
        <row r="168">
          <cell r="B168" t="str">
            <v>TCK3002</v>
          </cell>
          <cell r="D168" t="str">
            <v>TME</v>
          </cell>
          <cell r="G168">
            <v>39630</v>
          </cell>
          <cell r="H168" t="str">
            <v>Installed</v>
          </cell>
          <cell r="J168" t="str">
            <v>Dish</v>
          </cell>
          <cell r="L168">
            <v>600</v>
          </cell>
        </row>
        <row r="169">
          <cell r="B169" t="str">
            <v>TCK3002</v>
          </cell>
          <cell r="D169" t="str">
            <v>TME</v>
          </cell>
          <cell r="G169">
            <v>41408</v>
          </cell>
          <cell r="H169" t="str">
            <v>Removed</v>
          </cell>
          <cell r="J169" t="str">
            <v>Dish</v>
          </cell>
          <cell r="L169">
            <v>600</v>
          </cell>
        </row>
        <row r="170">
          <cell r="B170" t="str">
            <v>TCK3002</v>
          </cell>
          <cell r="D170" t="str">
            <v>TME</v>
          </cell>
          <cell r="G170">
            <v>39630</v>
          </cell>
          <cell r="H170" t="str">
            <v>Installed</v>
          </cell>
          <cell r="J170" t="str">
            <v>Dish</v>
          </cell>
          <cell r="L170">
            <v>600</v>
          </cell>
        </row>
        <row r="171">
          <cell r="B171" t="str">
            <v>TCK3002</v>
          </cell>
          <cell r="D171" t="str">
            <v>TME</v>
          </cell>
          <cell r="G171">
            <v>39869</v>
          </cell>
          <cell r="H171" t="str">
            <v>Removed</v>
          </cell>
          <cell r="J171" t="str">
            <v>Dish</v>
          </cell>
          <cell r="L171">
            <v>2500</v>
          </cell>
        </row>
        <row r="172">
          <cell r="B172" t="str">
            <v>TCK3002</v>
          </cell>
          <cell r="D172" t="str">
            <v>TME</v>
          </cell>
          <cell r="G172">
            <v>39630</v>
          </cell>
          <cell r="H172" t="str">
            <v>Installed</v>
          </cell>
          <cell r="J172" t="str">
            <v>Dish</v>
          </cell>
          <cell r="L172">
            <v>1200</v>
          </cell>
        </row>
        <row r="173">
          <cell r="B173" t="str">
            <v>TCK3002</v>
          </cell>
          <cell r="D173" t="str">
            <v>TME</v>
          </cell>
          <cell r="G173">
            <v>39630</v>
          </cell>
          <cell r="H173" t="str">
            <v>Installed</v>
          </cell>
          <cell r="J173" t="str">
            <v>Dish</v>
          </cell>
          <cell r="L173">
            <v>600</v>
          </cell>
        </row>
        <row r="174">
          <cell r="B174" t="str">
            <v>TCK3002</v>
          </cell>
          <cell r="D174" t="str">
            <v>TME</v>
          </cell>
          <cell r="G174">
            <v>39630</v>
          </cell>
          <cell r="H174" t="str">
            <v>Installed</v>
          </cell>
          <cell r="J174" t="str">
            <v>Dish</v>
          </cell>
          <cell r="L174">
            <v>600</v>
          </cell>
        </row>
        <row r="175">
          <cell r="B175" t="str">
            <v>TCK3002</v>
          </cell>
          <cell r="D175" t="str">
            <v>TME</v>
          </cell>
          <cell r="G175">
            <v>39630</v>
          </cell>
          <cell r="H175" t="str">
            <v>Installed</v>
          </cell>
          <cell r="J175" t="str">
            <v>Dish</v>
          </cell>
          <cell r="L175">
            <v>600</v>
          </cell>
        </row>
        <row r="176">
          <cell r="B176" t="str">
            <v>TCK3002</v>
          </cell>
          <cell r="D176" t="str">
            <v>TME</v>
          </cell>
          <cell r="G176">
            <v>39630</v>
          </cell>
          <cell r="H176" t="str">
            <v>Installed</v>
          </cell>
          <cell r="J176" t="str">
            <v>Dish</v>
          </cell>
          <cell r="L176">
            <v>600</v>
          </cell>
        </row>
        <row r="177">
          <cell r="B177" t="str">
            <v>TCK3002</v>
          </cell>
          <cell r="D177" t="str">
            <v>TME</v>
          </cell>
          <cell r="G177">
            <v>41200</v>
          </cell>
          <cell r="H177" t="str">
            <v>Removed</v>
          </cell>
          <cell r="J177" t="str">
            <v>Omni</v>
          </cell>
          <cell r="L177">
            <v>800</v>
          </cell>
        </row>
        <row r="178">
          <cell r="B178" t="str">
            <v>TCK3002</v>
          </cell>
          <cell r="D178" t="str">
            <v>TME</v>
          </cell>
          <cell r="G178">
            <v>39847</v>
          </cell>
          <cell r="H178" t="str">
            <v>Installed</v>
          </cell>
          <cell r="J178" t="str">
            <v>Dish</v>
          </cell>
          <cell r="L178">
            <v>1200</v>
          </cell>
        </row>
        <row r="179">
          <cell r="B179" t="str">
            <v>TCK3002</v>
          </cell>
          <cell r="D179" t="str">
            <v>TME</v>
          </cell>
          <cell r="G179">
            <v>39847</v>
          </cell>
          <cell r="H179" t="str">
            <v>Installed</v>
          </cell>
          <cell r="J179" t="str">
            <v>Dish</v>
          </cell>
          <cell r="L179">
            <v>1200</v>
          </cell>
        </row>
        <row r="180">
          <cell r="B180" t="str">
            <v>TCK3002</v>
          </cell>
          <cell r="D180" t="str">
            <v>TME</v>
          </cell>
          <cell r="G180">
            <v>39847</v>
          </cell>
          <cell r="H180" t="str">
            <v>Installed</v>
          </cell>
          <cell r="J180" t="str">
            <v>Dish</v>
          </cell>
          <cell r="L180">
            <v>1200</v>
          </cell>
        </row>
        <row r="181">
          <cell r="B181" t="str">
            <v>TKY1008</v>
          </cell>
          <cell r="D181" t="str">
            <v>TME</v>
          </cell>
          <cell r="G181">
            <v>39722</v>
          </cell>
          <cell r="H181" t="str">
            <v>Installed</v>
          </cell>
          <cell r="J181" t="str">
            <v>Dish</v>
          </cell>
          <cell r="L181">
            <v>600</v>
          </cell>
        </row>
        <row r="182">
          <cell r="B182" t="str">
            <v>TKY1008</v>
          </cell>
          <cell r="D182" t="str">
            <v>TME</v>
          </cell>
          <cell r="G182">
            <v>39722</v>
          </cell>
          <cell r="H182" t="str">
            <v>Installed</v>
          </cell>
          <cell r="J182" t="str">
            <v>Dish</v>
          </cell>
          <cell r="L182">
            <v>1200</v>
          </cell>
        </row>
        <row r="183">
          <cell r="B183" t="str">
            <v>TKY1008</v>
          </cell>
          <cell r="D183" t="str">
            <v>TME</v>
          </cell>
          <cell r="G183">
            <v>39722</v>
          </cell>
          <cell r="H183" t="str">
            <v>Installed</v>
          </cell>
          <cell r="J183" t="str">
            <v>Dish</v>
          </cell>
          <cell r="L183">
            <v>600</v>
          </cell>
        </row>
        <row r="184">
          <cell r="B184" t="str">
            <v>TKY1008</v>
          </cell>
          <cell r="D184" t="str">
            <v>TME</v>
          </cell>
          <cell r="G184">
            <v>39722</v>
          </cell>
          <cell r="H184" t="str">
            <v>Installed</v>
          </cell>
          <cell r="J184" t="str">
            <v>Dish</v>
          </cell>
          <cell r="L184">
            <v>1200</v>
          </cell>
        </row>
        <row r="185">
          <cell r="B185" t="str">
            <v>TWX2007</v>
          </cell>
          <cell r="D185" t="str">
            <v>TME</v>
          </cell>
          <cell r="G185">
            <v>39657</v>
          </cell>
          <cell r="H185" t="str">
            <v>Installed</v>
          </cell>
          <cell r="J185" t="str">
            <v>Dish</v>
          </cell>
          <cell r="L185">
            <v>2000</v>
          </cell>
        </row>
        <row r="186">
          <cell r="B186" t="str">
            <v>TWX2007</v>
          </cell>
          <cell r="D186" t="str">
            <v>TME</v>
          </cell>
          <cell r="G186">
            <v>41109</v>
          </cell>
          <cell r="H186" t="str">
            <v>Removed</v>
          </cell>
          <cell r="J186" t="str">
            <v>Omni</v>
          </cell>
          <cell r="L186">
            <v>1000</v>
          </cell>
        </row>
        <row r="187">
          <cell r="B187" t="str">
            <v>TWX2007</v>
          </cell>
          <cell r="D187" t="str">
            <v>TME</v>
          </cell>
          <cell r="G187">
            <v>40095</v>
          </cell>
          <cell r="H187" t="str">
            <v>Installed</v>
          </cell>
          <cell r="J187" t="str">
            <v>Dish</v>
          </cell>
          <cell r="L187">
            <v>300</v>
          </cell>
        </row>
        <row r="188">
          <cell r="B188" t="str">
            <v>TLS1010</v>
          </cell>
          <cell r="D188" t="str">
            <v>TME</v>
          </cell>
          <cell r="G188">
            <v>41220</v>
          </cell>
          <cell r="H188" t="str">
            <v>Removed</v>
          </cell>
          <cell r="J188" t="str">
            <v>Dish</v>
          </cell>
          <cell r="L188">
            <v>600</v>
          </cell>
        </row>
        <row r="189">
          <cell r="B189" t="str">
            <v>TLS1010</v>
          </cell>
          <cell r="D189" t="str">
            <v>TME</v>
          </cell>
          <cell r="G189">
            <v>39698</v>
          </cell>
          <cell r="H189" t="str">
            <v>Installed</v>
          </cell>
          <cell r="J189" t="str">
            <v>Dish</v>
          </cell>
          <cell r="L189">
            <v>600</v>
          </cell>
        </row>
        <row r="190">
          <cell r="B190" t="str">
            <v>TLS1010</v>
          </cell>
          <cell r="D190" t="str">
            <v>TME</v>
          </cell>
          <cell r="G190">
            <v>41220</v>
          </cell>
          <cell r="H190" t="str">
            <v>Removed</v>
          </cell>
          <cell r="J190" t="str">
            <v>Dish</v>
          </cell>
          <cell r="L190">
            <v>600</v>
          </cell>
        </row>
        <row r="191">
          <cell r="B191" t="str">
            <v>TLS1010</v>
          </cell>
          <cell r="D191" t="str">
            <v>TME</v>
          </cell>
          <cell r="G191">
            <v>39698</v>
          </cell>
          <cell r="H191" t="str">
            <v>Installed</v>
          </cell>
          <cell r="J191" t="str">
            <v>Dish</v>
          </cell>
          <cell r="L191">
            <v>600</v>
          </cell>
        </row>
        <row r="192">
          <cell r="B192" t="str">
            <v>TLS1010</v>
          </cell>
          <cell r="D192" t="str">
            <v>TME</v>
          </cell>
          <cell r="G192">
            <v>41220</v>
          </cell>
          <cell r="H192" t="str">
            <v>Removed</v>
          </cell>
          <cell r="J192" t="str">
            <v>Dish</v>
          </cell>
          <cell r="L192">
            <v>600</v>
          </cell>
        </row>
        <row r="193">
          <cell r="B193" t="str">
            <v>TLS1010</v>
          </cell>
          <cell r="D193" t="str">
            <v>TME</v>
          </cell>
          <cell r="G193">
            <v>39698</v>
          </cell>
          <cell r="H193" t="str">
            <v>Installed</v>
          </cell>
          <cell r="J193" t="str">
            <v>Dish</v>
          </cell>
          <cell r="L193">
            <v>600</v>
          </cell>
        </row>
        <row r="194">
          <cell r="B194" t="str">
            <v>TLS1010</v>
          </cell>
          <cell r="D194" t="str">
            <v>TME</v>
          </cell>
          <cell r="G194">
            <v>39698</v>
          </cell>
          <cell r="H194" t="str">
            <v>Installed</v>
          </cell>
          <cell r="J194" t="str">
            <v>Dish</v>
          </cell>
          <cell r="L194">
            <v>2000</v>
          </cell>
        </row>
        <row r="195">
          <cell r="B195" t="str">
            <v>TLS1010</v>
          </cell>
          <cell r="D195" t="str">
            <v>TME</v>
          </cell>
          <cell r="G195">
            <v>39698</v>
          </cell>
          <cell r="H195" t="str">
            <v>Installed</v>
          </cell>
          <cell r="J195" t="str">
            <v>Dish</v>
          </cell>
          <cell r="L195">
            <v>2000</v>
          </cell>
        </row>
        <row r="196">
          <cell r="B196" t="str">
            <v>TLS1010</v>
          </cell>
          <cell r="D196" t="str">
            <v>TME</v>
          </cell>
          <cell r="G196">
            <v>39698</v>
          </cell>
          <cell r="H196" t="str">
            <v>Removed</v>
          </cell>
          <cell r="J196" t="str">
            <v>Omni</v>
          </cell>
          <cell r="L196">
            <v>1000</v>
          </cell>
        </row>
        <row r="197">
          <cell r="B197" t="str">
            <v>TLS1010</v>
          </cell>
          <cell r="D197" t="str">
            <v>TME</v>
          </cell>
          <cell r="G197">
            <v>39698</v>
          </cell>
          <cell r="H197" t="str">
            <v>Removed</v>
          </cell>
          <cell r="J197" t="str">
            <v>Omni</v>
          </cell>
          <cell r="L197">
            <v>1000</v>
          </cell>
        </row>
        <row r="198">
          <cell r="B198" t="str">
            <v>TLS1010</v>
          </cell>
          <cell r="D198" t="str">
            <v>TME</v>
          </cell>
          <cell r="G198">
            <v>39698</v>
          </cell>
          <cell r="H198" t="str">
            <v>Installed</v>
          </cell>
          <cell r="J198" t="str">
            <v>Dish</v>
          </cell>
          <cell r="L198">
            <v>1200</v>
          </cell>
        </row>
        <row r="199">
          <cell r="B199" t="str">
            <v>TLS1010</v>
          </cell>
          <cell r="D199" t="str">
            <v>TME</v>
          </cell>
          <cell r="G199">
            <v>40127</v>
          </cell>
          <cell r="H199" t="str">
            <v>Removed</v>
          </cell>
          <cell r="J199" t="str">
            <v>Dish</v>
          </cell>
          <cell r="L199">
            <v>4000</v>
          </cell>
        </row>
        <row r="200">
          <cell r="B200" t="str">
            <v>TLS1010</v>
          </cell>
          <cell r="D200" t="str">
            <v>TME</v>
          </cell>
          <cell r="G200">
            <v>41128</v>
          </cell>
          <cell r="H200" t="str">
            <v>Removed</v>
          </cell>
          <cell r="J200" t="str">
            <v>Dish</v>
          </cell>
          <cell r="L200">
            <v>700</v>
          </cell>
        </row>
        <row r="201">
          <cell r="B201" t="str">
            <v>TLS1010</v>
          </cell>
          <cell r="D201" t="str">
            <v>TME</v>
          </cell>
          <cell r="G201">
            <v>39698</v>
          </cell>
          <cell r="H201" t="str">
            <v>Installed</v>
          </cell>
          <cell r="J201" t="str">
            <v>Dish</v>
          </cell>
          <cell r="L201">
            <v>2000</v>
          </cell>
        </row>
        <row r="202">
          <cell r="B202" t="str">
            <v>TLS1010</v>
          </cell>
          <cell r="D202" t="str">
            <v>TME</v>
          </cell>
          <cell r="G202">
            <v>41220</v>
          </cell>
          <cell r="H202" t="str">
            <v>Removed</v>
          </cell>
          <cell r="J202" t="str">
            <v>Dish</v>
          </cell>
          <cell r="L202">
            <v>600</v>
          </cell>
        </row>
        <row r="203">
          <cell r="B203" t="str">
            <v>TLS1010</v>
          </cell>
          <cell r="D203" t="str">
            <v>TME</v>
          </cell>
          <cell r="G203">
            <v>39698</v>
          </cell>
          <cell r="H203" t="str">
            <v>Installed</v>
          </cell>
          <cell r="J203" t="str">
            <v>Dish</v>
          </cell>
          <cell r="L203">
            <v>600</v>
          </cell>
        </row>
        <row r="204">
          <cell r="B204" t="str">
            <v>TLS1010</v>
          </cell>
          <cell r="D204" t="str">
            <v>TME</v>
          </cell>
          <cell r="G204">
            <v>39698</v>
          </cell>
          <cell r="H204" t="str">
            <v>Installed</v>
          </cell>
          <cell r="J204" t="str">
            <v>Dish</v>
          </cell>
          <cell r="L204">
            <v>2000</v>
          </cell>
        </row>
        <row r="205">
          <cell r="B205" t="str">
            <v>TLS1010</v>
          </cell>
          <cell r="D205" t="str">
            <v>TME</v>
          </cell>
          <cell r="G205">
            <v>41333</v>
          </cell>
          <cell r="H205" t="str">
            <v>Removed</v>
          </cell>
          <cell r="J205" t="str">
            <v>Dish</v>
          </cell>
          <cell r="L205">
            <v>600</v>
          </cell>
        </row>
        <row r="206">
          <cell r="B206" t="str">
            <v>TLS1010</v>
          </cell>
          <cell r="D206" t="str">
            <v>TME</v>
          </cell>
          <cell r="G206">
            <v>39698</v>
          </cell>
          <cell r="H206" t="str">
            <v>Installed</v>
          </cell>
          <cell r="J206" t="str">
            <v>Dish</v>
          </cell>
          <cell r="L206">
            <v>600</v>
          </cell>
        </row>
        <row r="207">
          <cell r="B207" t="str">
            <v>TLS1010</v>
          </cell>
          <cell r="D207" t="str">
            <v>TME</v>
          </cell>
          <cell r="G207">
            <v>39698</v>
          </cell>
          <cell r="H207" t="str">
            <v>Installed</v>
          </cell>
          <cell r="J207" t="str">
            <v>Dish</v>
          </cell>
          <cell r="L207">
            <v>600</v>
          </cell>
        </row>
        <row r="208">
          <cell r="B208" t="str">
            <v>TLS1010</v>
          </cell>
          <cell r="D208" t="str">
            <v>TME</v>
          </cell>
          <cell r="G208">
            <v>41220</v>
          </cell>
          <cell r="H208" t="str">
            <v>Removed</v>
          </cell>
          <cell r="J208" t="str">
            <v>Dish</v>
          </cell>
          <cell r="L208">
            <v>600</v>
          </cell>
        </row>
        <row r="209">
          <cell r="B209" t="str">
            <v>TLS1010</v>
          </cell>
          <cell r="D209" t="str">
            <v>TME</v>
          </cell>
          <cell r="G209">
            <v>41128</v>
          </cell>
          <cell r="H209" t="str">
            <v>Removed</v>
          </cell>
          <cell r="J209" t="str">
            <v>Dish</v>
          </cell>
          <cell r="L209">
            <v>700</v>
          </cell>
        </row>
        <row r="210">
          <cell r="B210" t="str">
            <v>TLS1010</v>
          </cell>
          <cell r="D210" t="str">
            <v>TME</v>
          </cell>
          <cell r="G210">
            <v>41130</v>
          </cell>
          <cell r="H210" t="str">
            <v>Removed</v>
          </cell>
          <cell r="J210" t="str">
            <v>Dish</v>
          </cell>
          <cell r="L210">
            <v>1400</v>
          </cell>
        </row>
        <row r="211">
          <cell r="B211" t="str">
            <v>TLS1010</v>
          </cell>
          <cell r="D211" t="str">
            <v>TME</v>
          </cell>
          <cell r="G211">
            <v>41128</v>
          </cell>
          <cell r="H211" t="str">
            <v>Removed</v>
          </cell>
          <cell r="J211" t="str">
            <v>Dish</v>
          </cell>
          <cell r="L211">
            <v>600</v>
          </cell>
        </row>
        <row r="212">
          <cell r="B212" t="str">
            <v>TLS1010</v>
          </cell>
          <cell r="D212" t="str">
            <v>TME</v>
          </cell>
          <cell r="G212">
            <v>39698</v>
          </cell>
          <cell r="H212" t="str">
            <v>Installed</v>
          </cell>
          <cell r="J212" t="str">
            <v>Dish</v>
          </cell>
          <cell r="L212">
            <v>2000</v>
          </cell>
        </row>
        <row r="213">
          <cell r="B213" t="str">
            <v>TLS1010</v>
          </cell>
          <cell r="D213" t="str">
            <v>TME</v>
          </cell>
          <cell r="G213">
            <v>41333</v>
          </cell>
          <cell r="H213" t="str">
            <v>Removed</v>
          </cell>
          <cell r="J213" t="str">
            <v>Dish</v>
          </cell>
          <cell r="L213">
            <v>1200</v>
          </cell>
        </row>
        <row r="214">
          <cell r="B214" t="str">
            <v>TLS1010</v>
          </cell>
          <cell r="D214" t="str">
            <v>TME</v>
          </cell>
          <cell r="G214">
            <v>41333</v>
          </cell>
          <cell r="H214" t="str">
            <v>Removed</v>
          </cell>
          <cell r="J214" t="str">
            <v>Dish</v>
          </cell>
          <cell r="L214">
            <v>600</v>
          </cell>
        </row>
        <row r="215">
          <cell r="B215" t="str">
            <v>TLS1010</v>
          </cell>
          <cell r="D215" t="str">
            <v>TME</v>
          </cell>
          <cell r="G215">
            <v>41333</v>
          </cell>
          <cell r="H215" t="str">
            <v>Removed</v>
          </cell>
          <cell r="J215" t="str">
            <v>Dish</v>
          </cell>
          <cell r="L215">
            <v>600</v>
          </cell>
        </row>
        <row r="216">
          <cell r="B216" t="str">
            <v>TLS1010</v>
          </cell>
          <cell r="D216" t="str">
            <v>TME</v>
          </cell>
          <cell r="G216">
            <v>41333</v>
          </cell>
          <cell r="H216" t="str">
            <v>Removed</v>
          </cell>
          <cell r="J216" t="str">
            <v>Dish</v>
          </cell>
          <cell r="L216">
            <v>600</v>
          </cell>
        </row>
        <row r="217">
          <cell r="B217" t="str">
            <v>TLS1010</v>
          </cell>
          <cell r="D217" t="str">
            <v>TME</v>
          </cell>
          <cell r="G217">
            <v>39698</v>
          </cell>
          <cell r="H217" t="str">
            <v>Installed</v>
          </cell>
          <cell r="J217" t="str">
            <v>Dish</v>
          </cell>
          <cell r="L217">
            <v>2400</v>
          </cell>
        </row>
        <row r="218">
          <cell r="B218" t="str">
            <v>TLS1010</v>
          </cell>
          <cell r="D218" t="str">
            <v>TME</v>
          </cell>
          <cell r="G218">
            <v>41128</v>
          </cell>
          <cell r="H218" t="str">
            <v>Removed</v>
          </cell>
          <cell r="J218" t="str">
            <v>Omni</v>
          </cell>
          <cell r="L218">
            <v>1000</v>
          </cell>
        </row>
        <row r="219">
          <cell r="B219" t="str">
            <v>TLS1010</v>
          </cell>
          <cell r="D219" t="str">
            <v>TME</v>
          </cell>
          <cell r="G219">
            <v>41128</v>
          </cell>
          <cell r="H219" t="str">
            <v>Removed</v>
          </cell>
          <cell r="J219" t="str">
            <v>Omni</v>
          </cell>
          <cell r="L219">
            <v>1500</v>
          </cell>
        </row>
        <row r="220">
          <cell r="B220" t="str">
            <v>TLS1010</v>
          </cell>
          <cell r="D220" t="str">
            <v>TME</v>
          </cell>
          <cell r="G220">
            <v>39699</v>
          </cell>
          <cell r="H220" t="str">
            <v>Installed</v>
          </cell>
          <cell r="J220" t="str">
            <v>Dish</v>
          </cell>
          <cell r="L220">
            <v>1200</v>
          </cell>
        </row>
        <row r="221">
          <cell r="B221" t="str">
            <v>TLS1010</v>
          </cell>
          <cell r="D221" t="str">
            <v>TME</v>
          </cell>
          <cell r="G221">
            <v>41463</v>
          </cell>
          <cell r="H221" t="str">
            <v>Removed</v>
          </cell>
          <cell r="J221" t="str">
            <v>Dish</v>
          </cell>
          <cell r="L221">
            <v>1800</v>
          </cell>
        </row>
        <row r="222">
          <cell r="B222" t="str">
            <v>TLS1010</v>
          </cell>
          <cell r="D222" t="str">
            <v>TME</v>
          </cell>
          <cell r="G222">
            <v>39855</v>
          </cell>
          <cell r="H222" t="str">
            <v>Installed</v>
          </cell>
          <cell r="J222" t="str">
            <v>Dish</v>
          </cell>
          <cell r="L222">
            <v>1200</v>
          </cell>
        </row>
        <row r="223">
          <cell r="B223" t="str">
            <v>TLS1010</v>
          </cell>
          <cell r="D223" t="str">
            <v>TME</v>
          </cell>
          <cell r="G223">
            <v>39972</v>
          </cell>
          <cell r="H223" t="str">
            <v>Installed</v>
          </cell>
          <cell r="J223" t="str">
            <v>Dish</v>
          </cell>
          <cell r="L223">
            <v>1200</v>
          </cell>
        </row>
        <row r="224">
          <cell r="B224" t="str">
            <v>TLS1010</v>
          </cell>
          <cell r="D224" t="str">
            <v>TME</v>
          </cell>
          <cell r="G224">
            <v>40051</v>
          </cell>
          <cell r="H224" t="str">
            <v>Installed</v>
          </cell>
          <cell r="J224" t="str">
            <v>Dish</v>
          </cell>
          <cell r="L224">
            <v>600</v>
          </cell>
        </row>
        <row r="225">
          <cell r="B225" t="str">
            <v>TLS1010</v>
          </cell>
          <cell r="D225" t="str">
            <v>TME</v>
          </cell>
          <cell r="G225">
            <v>40052</v>
          </cell>
          <cell r="H225" t="str">
            <v>Installed</v>
          </cell>
          <cell r="J225" t="str">
            <v>Dish</v>
          </cell>
          <cell r="L225">
            <v>600</v>
          </cell>
        </row>
        <row r="226">
          <cell r="B226" t="str">
            <v>TLS1010</v>
          </cell>
          <cell r="D226" t="str">
            <v>TME</v>
          </cell>
          <cell r="G226">
            <v>41317</v>
          </cell>
          <cell r="H226" t="str">
            <v>Installed</v>
          </cell>
          <cell r="J226" t="str">
            <v>Dish</v>
          </cell>
          <cell r="L226">
            <v>900</v>
          </cell>
        </row>
        <row r="227">
          <cell r="B227" t="str">
            <v>TLS1010</v>
          </cell>
          <cell r="D227" t="str">
            <v>TME</v>
          </cell>
          <cell r="G227">
            <v>41463</v>
          </cell>
          <cell r="H227" t="str">
            <v>Installed</v>
          </cell>
          <cell r="J227" t="str">
            <v>Dish</v>
          </cell>
          <cell r="L227">
            <v>1800</v>
          </cell>
        </row>
        <row r="228">
          <cell r="B228" t="str">
            <v>TLS1010</v>
          </cell>
          <cell r="D228" t="str">
            <v>TME</v>
          </cell>
          <cell r="G228">
            <v>41463</v>
          </cell>
          <cell r="H228" t="str">
            <v>Installed</v>
          </cell>
          <cell r="J228" t="str">
            <v>Dish</v>
          </cell>
          <cell r="L228">
            <v>1800</v>
          </cell>
        </row>
        <row r="229">
          <cell r="B229" t="str">
            <v>TKE1009</v>
          </cell>
          <cell r="D229" t="str">
            <v>TME</v>
          </cell>
          <cell r="G229">
            <v>41184</v>
          </cell>
          <cell r="H229" t="str">
            <v>Removed</v>
          </cell>
          <cell r="J229" t="str">
            <v>Panel</v>
          </cell>
          <cell r="L229">
            <v>850</v>
          </cell>
        </row>
        <row r="230">
          <cell r="B230" t="str">
            <v>TKE1009</v>
          </cell>
          <cell r="D230" t="str">
            <v>TME</v>
          </cell>
          <cell r="G230">
            <v>39703</v>
          </cell>
          <cell r="H230" t="str">
            <v>Installed</v>
          </cell>
          <cell r="J230" t="str">
            <v>Dish</v>
          </cell>
          <cell r="L230">
            <v>600</v>
          </cell>
        </row>
        <row r="231">
          <cell r="B231" t="str">
            <v>TKE1009</v>
          </cell>
          <cell r="D231" t="str">
            <v>TME</v>
          </cell>
          <cell r="G231">
            <v>39703</v>
          </cell>
          <cell r="H231" t="str">
            <v>Installed</v>
          </cell>
          <cell r="J231" t="str">
            <v>Dish</v>
          </cell>
          <cell r="L231">
            <v>600</v>
          </cell>
        </row>
        <row r="232">
          <cell r="B232" t="str">
            <v>TKE1009</v>
          </cell>
          <cell r="D232" t="str">
            <v>TME</v>
          </cell>
          <cell r="G232">
            <v>41184</v>
          </cell>
          <cell r="H232" t="str">
            <v>Removed</v>
          </cell>
          <cell r="J232" t="str">
            <v>Panel</v>
          </cell>
          <cell r="L232">
            <v>850</v>
          </cell>
        </row>
        <row r="233">
          <cell r="B233" t="str">
            <v>TKE1009</v>
          </cell>
          <cell r="D233" t="str">
            <v>TME</v>
          </cell>
          <cell r="G233">
            <v>41184</v>
          </cell>
          <cell r="H233" t="str">
            <v>Removed</v>
          </cell>
          <cell r="J233" t="str">
            <v>Dish</v>
          </cell>
          <cell r="L233">
            <v>1500</v>
          </cell>
        </row>
        <row r="234">
          <cell r="B234" t="str">
            <v>TKE1009</v>
          </cell>
          <cell r="D234" t="str">
            <v>TME</v>
          </cell>
          <cell r="G234">
            <v>41184</v>
          </cell>
          <cell r="H234" t="str">
            <v>Removed</v>
          </cell>
          <cell r="J234" t="str">
            <v>Dish</v>
          </cell>
          <cell r="L234">
            <v>600</v>
          </cell>
        </row>
        <row r="235">
          <cell r="B235" t="str">
            <v>TKE1009</v>
          </cell>
          <cell r="D235" t="str">
            <v>TME</v>
          </cell>
          <cell r="G235">
            <v>39703</v>
          </cell>
          <cell r="H235" t="str">
            <v>Installed</v>
          </cell>
          <cell r="J235" t="str">
            <v>Dish</v>
          </cell>
          <cell r="L235">
            <v>2000</v>
          </cell>
        </row>
        <row r="236">
          <cell r="B236" t="str">
            <v>TKE1009</v>
          </cell>
          <cell r="D236" t="str">
            <v>TME</v>
          </cell>
          <cell r="G236">
            <v>41184</v>
          </cell>
          <cell r="H236" t="str">
            <v>Removed</v>
          </cell>
          <cell r="J236" t="str">
            <v>Dish</v>
          </cell>
          <cell r="L236">
            <v>1400</v>
          </cell>
        </row>
        <row r="237">
          <cell r="B237" t="str">
            <v>TKE1009</v>
          </cell>
          <cell r="D237" t="str">
            <v>TME</v>
          </cell>
          <cell r="G237">
            <v>41184</v>
          </cell>
          <cell r="H237" t="str">
            <v>Removed</v>
          </cell>
          <cell r="J237" t="str">
            <v>Panel</v>
          </cell>
          <cell r="L237">
            <v>700</v>
          </cell>
        </row>
        <row r="238">
          <cell r="B238" t="str">
            <v>TKE1009</v>
          </cell>
          <cell r="D238" t="str">
            <v>TME</v>
          </cell>
          <cell r="G238">
            <v>41184</v>
          </cell>
          <cell r="H238" t="str">
            <v>Removed</v>
          </cell>
          <cell r="J238" t="str">
            <v>Panel</v>
          </cell>
          <cell r="L238">
            <v>700</v>
          </cell>
        </row>
        <row r="239">
          <cell r="B239" t="str">
            <v>TKE1009</v>
          </cell>
          <cell r="D239" t="str">
            <v>TME</v>
          </cell>
          <cell r="G239">
            <v>41184</v>
          </cell>
          <cell r="H239" t="str">
            <v>Removed</v>
          </cell>
          <cell r="J239" t="str">
            <v>Panel</v>
          </cell>
          <cell r="L239">
            <v>850</v>
          </cell>
        </row>
        <row r="240">
          <cell r="B240" t="str">
            <v>TKE1009</v>
          </cell>
          <cell r="D240" t="str">
            <v>TME</v>
          </cell>
          <cell r="G240">
            <v>39926</v>
          </cell>
          <cell r="H240" t="str">
            <v>Installed</v>
          </cell>
          <cell r="J240" t="str">
            <v>Dish</v>
          </cell>
          <cell r="L240">
            <v>600</v>
          </cell>
        </row>
        <row r="241">
          <cell r="B241" t="str">
            <v>TKE1009</v>
          </cell>
          <cell r="D241" t="str">
            <v>TME</v>
          </cell>
          <cell r="G241">
            <v>39961</v>
          </cell>
          <cell r="H241" t="str">
            <v>Installed</v>
          </cell>
          <cell r="J241" t="str">
            <v>Dish</v>
          </cell>
          <cell r="L241">
            <v>600</v>
          </cell>
        </row>
        <row r="242">
          <cell r="B242" t="str">
            <v>TKY1011</v>
          </cell>
          <cell r="D242" t="str">
            <v>TME</v>
          </cell>
          <cell r="G242">
            <v>39722</v>
          </cell>
          <cell r="H242" t="str">
            <v>Installed</v>
          </cell>
          <cell r="J242" t="str">
            <v>Dish</v>
          </cell>
          <cell r="L242">
            <v>2000</v>
          </cell>
        </row>
        <row r="243">
          <cell r="B243" t="str">
            <v>TKY1011</v>
          </cell>
          <cell r="D243" t="str">
            <v>TME</v>
          </cell>
          <cell r="G243">
            <v>39722</v>
          </cell>
          <cell r="H243" t="str">
            <v>Installed</v>
          </cell>
          <cell r="J243" t="str">
            <v>Dish</v>
          </cell>
          <cell r="L243">
            <v>700</v>
          </cell>
        </row>
        <row r="244">
          <cell r="B244" t="str">
            <v>TKY1011</v>
          </cell>
          <cell r="D244" t="str">
            <v>TME</v>
          </cell>
          <cell r="G244">
            <v>39722</v>
          </cell>
          <cell r="H244" t="str">
            <v>Installed</v>
          </cell>
          <cell r="J244" t="str">
            <v>Dish</v>
          </cell>
          <cell r="L244">
            <v>700</v>
          </cell>
        </row>
        <row r="245">
          <cell r="B245" t="str">
            <v>TKY1011</v>
          </cell>
          <cell r="D245" t="str">
            <v>TME</v>
          </cell>
          <cell r="G245">
            <v>39722</v>
          </cell>
          <cell r="H245" t="str">
            <v>Installed</v>
          </cell>
          <cell r="J245" t="str">
            <v>Dish</v>
          </cell>
          <cell r="L245">
            <v>600</v>
          </cell>
        </row>
        <row r="246">
          <cell r="B246" t="str">
            <v>TKY1011</v>
          </cell>
          <cell r="D246" t="str">
            <v>TME</v>
          </cell>
          <cell r="G246">
            <v>39722</v>
          </cell>
          <cell r="H246" t="str">
            <v>Installed</v>
          </cell>
          <cell r="J246" t="str">
            <v>Dish</v>
          </cell>
          <cell r="L246">
            <v>2000</v>
          </cell>
        </row>
        <row r="247">
          <cell r="B247" t="str">
            <v>TKY1011</v>
          </cell>
          <cell r="D247" t="str">
            <v>TME</v>
          </cell>
          <cell r="G247">
            <v>39722</v>
          </cell>
          <cell r="H247" t="str">
            <v>Installed</v>
          </cell>
          <cell r="J247" t="str">
            <v>Dish</v>
          </cell>
          <cell r="L247">
            <v>2500</v>
          </cell>
        </row>
        <row r="248">
          <cell r="B248" t="str">
            <v>TKY1011</v>
          </cell>
          <cell r="D248" t="str">
            <v>TME</v>
          </cell>
          <cell r="G248">
            <v>39722</v>
          </cell>
          <cell r="H248" t="str">
            <v>Installed</v>
          </cell>
          <cell r="J248" t="str">
            <v>Dish</v>
          </cell>
          <cell r="L248">
            <v>2000</v>
          </cell>
        </row>
        <row r="249">
          <cell r="B249" t="str">
            <v>TKY1011</v>
          </cell>
          <cell r="D249" t="str">
            <v>TME</v>
          </cell>
          <cell r="G249">
            <v>39722</v>
          </cell>
          <cell r="H249" t="str">
            <v>Installed</v>
          </cell>
          <cell r="J249" t="str">
            <v>Dish</v>
          </cell>
          <cell r="L249">
            <v>2000</v>
          </cell>
        </row>
        <row r="250">
          <cell r="B250" t="str">
            <v>TKY1011</v>
          </cell>
          <cell r="D250" t="str">
            <v>TME</v>
          </cell>
          <cell r="G250">
            <v>41206</v>
          </cell>
          <cell r="H250" t="str">
            <v>Removed</v>
          </cell>
          <cell r="J250" t="str">
            <v>Omni</v>
          </cell>
          <cell r="L250">
            <v>1000</v>
          </cell>
        </row>
        <row r="251">
          <cell r="B251" t="str">
            <v>TGY1046</v>
          </cell>
          <cell r="D251" t="str">
            <v>TME</v>
          </cell>
          <cell r="G251">
            <v>39724</v>
          </cell>
          <cell r="H251" t="str">
            <v>Installed</v>
          </cell>
          <cell r="J251" t="str">
            <v>Dish</v>
          </cell>
          <cell r="L251">
            <v>600</v>
          </cell>
        </row>
        <row r="252">
          <cell r="B252" t="str">
            <v>TGY1046</v>
          </cell>
          <cell r="D252" t="str">
            <v>TME</v>
          </cell>
          <cell r="G252">
            <v>39724</v>
          </cell>
          <cell r="H252" t="str">
            <v>Installed</v>
          </cell>
          <cell r="J252" t="str">
            <v>Dish</v>
          </cell>
          <cell r="L252">
            <v>600</v>
          </cell>
        </row>
        <row r="253">
          <cell r="B253" t="str">
            <v>TGY1046</v>
          </cell>
          <cell r="D253" t="str">
            <v>TME</v>
          </cell>
          <cell r="G253">
            <v>39724</v>
          </cell>
          <cell r="H253" t="str">
            <v>Removed</v>
          </cell>
          <cell r="J253" t="str">
            <v>Dish</v>
          </cell>
          <cell r="L253">
            <v>1200</v>
          </cell>
        </row>
        <row r="254">
          <cell r="B254" t="str">
            <v>TGY1046</v>
          </cell>
          <cell r="D254" t="str">
            <v>TME</v>
          </cell>
          <cell r="G254">
            <v>41313</v>
          </cell>
          <cell r="H254" t="str">
            <v>Removed</v>
          </cell>
          <cell r="J254" t="str">
            <v>Dish</v>
          </cell>
          <cell r="L254">
            <v>3500</v>
          </cell>
        </row>
        <row r="255">
          <cell r="B255" t="str">
            <v>TGY1046</v>
          </cell>
          <cell r="D255" t="str">
            <v>TME</v>
          </cell>
          <cell r="G255">
            <v>39724</v>
          </cell>
          <cell r="H255" t="str">
            <v>Installed</v>
          </cell>
          <cell r="J255" t="str">
            <v>Dish</v>
          </cell>
          <cell r="L255">
            <v>1200</v>
          </cell>
        </row>
        <row r="256">
          <cell r="B256" t="str">
            <v>TGY1046</v>
          </cell>
          <cell r="D256" t="str">
            <v>TME</v>
          </cell>
          <cell r="G256">
            <v>39724</v>
          </cell>
          <cell r="H256" t="str">
            <v>Installed</v>
          </cell>
          <cell r="J256" t="str">
            <v>Dish</v>
          </cell>
          <cell r="L256">
            <v>600</v>
          </cell>
        </row>
        <row r="257">
          <cell r="B257" t="str">
            <v>TGY1046</v>
          </cell>
          <cell r="D257" t="str">
            <v>TME</v>
          </cell>
          <cell r="G257">
            <v>39724</v>
          </cell>
          <cell r="H257" t="str">
            <v>Installed</v>
          </cell>
          <cell r="J257" t="str">
            <v>Dish</v>
          </cell>
          <cell r="L257">
            <v>2600</v>
          </cell>
        </row>
        <row r="258">
          <cell r="B258" t="str">
            <v>TGY1046</v>
          </cell>
          <cell r="D258" t="str">
            <v>TME</v>
          </cell>
          <cell r="G258">
            <v>41313</v>
          </cell>
          <cell r="H258" t="str">
            <v>Removed</v>
          </cell>
          <cell r="J258" t="str">
            <v>Dish</v>
          </cell>
          <cell r="L258">
            <v>3600</v>
          </cell>
        </row>
        <row r="259">
          <cell r="B259" t="str">
            <v>TGY1046</v>
          </cell>
          <cell r="D259" t="str">
            <v>TME</v>
          </cell>
          <cell r="G259">
            <v>41194</v>
          </cell>
          <cell r="H259" t="str">
            <v>Removed</v>
          </cell>
          <cell r="J259" t="str">
            <v>Dish</v>
          </cell>
          <cell r="L259">
            <v>600</v>
          </cell>
        </row>
        <row r="260">
          <cell r="B260" t="str">
            <v>TGY1046</v>
          </cell>
          <cell r="D260" t="str">
            <v>TME</v>
          </cell>
          <cell r="G260">
            <v>41194</v>
          </cell>
          <cell r="H260" t="str">
            <v>Removed</v>
          </cell>
          <cell r="J260" t="str">
            <v>Dish</v>
          </cell>
          <cell r="L260">
            <v>600</v>
          </cell>
        </row>
        <row r="261">
          <cell r="B261" t="str">
            <v>TGY1046</v>
          </cell>
          <cell r="D261" t="str">
            <v>TME</v>
          </cell>
          <cell r="G261">
            <v>41194</v>
          </cell>
          <cell r="H261" t="str">
            <v>Removed</v>
          </cell>
          <cell r="J261" t="str">
            <v>Panel</v>
          </cell>
          <cell r="L261">
            <v>80</v>
          </cell>
        </row>
        <row r="262">
          <cell r="B262" t="str">
            <v>TGY1046</v>
          </cell>
          <cell r="D262" t="str">
            <v>TME</v>
          </cell>
          <cell r="G262">
            <v>41194</v>
          </cell>
          <cell r="H262" t="str">
            <v>Removed</v>
          </cell>
          <cell r="J262" t="str">
            <v>Panel</v>
          </cell>
          <cell r="L262">
            <v>80</v>
          </cell>
        </row>
        <row r="263">
          <cell r="B263" t="str">
            <v>TGY1046</v>
          </cell>
          <cell r="D263" t="str">
            <v>TME</v>
          </cell>
          <cell r="G263">
            <v>41194</v>
          </cell>
          <cell r="H263" t="str">
            <v>Removed</v>
          </cell>
          <cell r="J263" t="str">
            <v>Panel</v>
          </cell>
          <cell r="L263">
            <v>80</v>
          </cell>
        </row>
        <row r="264">
          <cell r="B264" t="str">
            <v>TGY1046</v>
          </cell>
          <cell r="D264" t="str">
            <v>TME</v>
          </cell>
          <cell r="G264">
            <v>39724</v>
          </cell>
          <cell r="H264" t="str">
            <v>Installed</v>
          </cell>
          <cell r="J264" t="str">
            <v>Dish</v>
          </cell>
          <cell r="L264">
            <v>600</v>
          </cell>
        </row>
        <row r="265">
          <cell r="B265" t="str">
            <v>TGY1046</v>
          </cell>
          <cell r="D265" t="str">
            <v>TME</v>
          </cell>
          <cell r="G265">
            <v>39724</v>
          </cell>
          <cell r="H265" t="str">
            <v>Installed</v>
          </cell>
          <cell r="J265" t="str">
            <v>Dish</v>
          </cell>
          <cell r="L265">
            <v>600</v>
          </cell>
        </row>
        <row r="266">
          <cell r="B266" t="str">
            <v>TGY1046</v>
          </cell>
          <cell r="D266" t="str">
            <v>TME</v>
          </cell>
          <cell r="G266">
            <v>39724</v>
          </cell>
          <cell r="H266" t="str">
            <v>Installed</v>
          </cell>
          <cell r="J266" t="str">
            <v>Dish</v>
          </cell>
          <cell r="L266">
            <v>600</v>
          </cell>
        </row>
        <row r="267">
          <cell r="B267" t="str">
            <v>TGY1046</v>
          </cell>
          <cell r="D267" t="str">
            <v>TME</v>
          </cell>
          <cell r="G267">
            <v>41194</v>
          </cell>
          <cell r="H267" t="str">
            <v>Removed</v>
          </cell>
          <cell r="J267" t="str">
            <v>Dish</v>
          </cell>
          <cell r="L267">
            <v>600</v>
          </cell>
        </row>
        <row r="268">
          <cell r="B268" t="str">
            <v>TGY1046</v>
          </cell>
          <cell r="D268" t="str">
            <v>TME</v>
          </cell>
          <cell r="G268">
            <v>41194</v>
          </cell>
          <cell r="H268" t="str">
            <v>Removed</v>
          </cell>
          <cell r="J268" t="str">
            <v>Dish</v>
          </cell>
          <cell r="L268">
            <v>600</v>
          </cell>
        </row>
        <row r="269">
          <cell r="B269" t="str">
            <v>TGY1046</v>
          </cell>
          <cell r="D269" t="str">
            <v>TME</v>
          </cell>
          <cell r="G269">
            <v>41313</v>
          </cell>
          <cell r="H269" t="str">
            <v>Removed</v>
          </cell>
          <cell r="J269" t="str">
            <v>Dish</v>
          </cell>
          <cell r="L269">
            <v>2600</v>
          </cell>
        </row>
        <row r="270">
          <cell r="B270" t="str">
            <v>TGY1046</v>
          </cell>
          <cell r="D270" t="str">
            <v>TME</v>
          </cell>
          <cell r="G270">
            <v>40073</v>
          </cell>
          <cell r="H270" t="str">
            <v>Installed</v>
          </cell>
          <cell r="J270" t="str">
            <v>Dish</v>
          </cell>
          <cell r="L270">
            <v>600</v>
          </cell>
        </row>
        <row r="271">
          <cell r="B271" t="str">
            <v>TCE1013</v>
          </cell>
          <cell r="D271" t="str">
            <v>TME</v>
          </cell>
          <cell r="G271">
            <v>39646</v>
          </cell>
          <cell r="H271" t="str">
            <v>Installed</v>
          </cell>
          <cell r="J271" t="str">
            <v>Dish</v>
          </cell>
          <cell r="L271">
            <v>1000</v>
          </cell>
        </row>
        <row r="272">
          <cell r="B272" t="str">
            <v>TMN2008</v>
          </cell>
          <cell r="D272" t="str">
            <v>TME</v>
          </cell>
          <cell r="G272">
            <v>39596</v>
          </cell>
          <cell r="H272" t="str">
            <v>Obsolete</v>
          </cell>
          <cell r="J272" t="str">
            <v>Other</v>
          </cell>
          <cell r="L272">
            <v>3000</v>
          </cell>
        </row>
        <row r="273">
          <cell r="B273" t="str">
            <v>TMN2008</v>
          </cell>
          <cell r="D273" t="str">
            <v>TME</v>
          </cell>
          <cell r="G273">
            <v>41099</v>
          </cell>
          <cell r="H273" t="str">
            <v>Removed</v>
          </cell>
          <cell r="J273" t="str">
            <v>Omni</v>
          </cell>
          <cell r="L273">
            <v>1000</v>
          </cell>
        </row>
        <row r="274">
          <cell r="B274" t="str">
            <v>TTP3003</v>
          </cell>
          <cell r="D274" t="str">
            <v>TME</v>
          </cell>
          <cell r="G274">
            <v>39604</v>
          </cell>
          <cell r="H274" t="str">
            <v>Installed</v>
          </cell>
          <cell r="J274" t="str">
            <v>Dish</v>
          </cell>
          <cell r="L274">
            <v>2000</v>
          </cell>
        </row>
        <row r="275">
          <cell r="B275" t="str">
            <v>TTP3003</v>
          </cell>
          <cell r="D275" t="str">
            <v>TME</v>
          </cell>
          <cell r="G275">
            <v>39604</v>
          </cell>
          <cell r="H275" t="str">
            <v>Installed</v>
          </cell>
          <cell r="J275" t="str">
            <v>Dish</v>
          </cell>
          <cell r="L275">
            <v>600</v>
          </cell>
        </row>
        <row r="276">
          <cell r="B276" t="str">
            <v>TTP3003</v>
          </cell>
          <cell r="D276" t="str">
            <v>TME</v>
          </cell>
          <cell r="G276">
            <v>39604</v>
          </cell>
          <cell r="H276" t="str">
            <v>Installed</v>
          </cell>
          <cell r="J276" t="str">
            <v>Dish</v>
          </cell>
          <cell r="L276">
            <v>600</v>
          </cell>
        </row>
        <row r="277">
          <cell r="B277" t="str">
            <v>TTP3003</v>
          </cell>
          <cell r="D277" t="str">
            <v>TME</v>
          </cell>
          <cell r="G277">
            <v>40064</v>
          </cell>
          <cell r="H277" t="str">
            <v>Removed</v>
          </cell>
          <cell r="J277" t="str">
            <v>Dish</v>
          </cell>
          <cell r="L277">
            <v>2000</v>
          </cell>
        </row>
        <row r="278">
          <cell r="B278" t="str">
            <v>TTP3003</v>
          </cell>
          <cell r="D278" t="str">
            <v>TME</v>
          </cell>
          <cell r="G278">
            <v>39604</v>
          </cell>
          <cell r="H278" t="str">
            <v>Installed</v>
          </cell>
          <cell r="J278" t="str">
            <v>Dish</v>
          </cell>
          <cell r="L278">
            <v>600</v>
          </cell>
        </row>
        <row r="279">
          <cell r="B279" t="str">
            <v>TTP3003</v>
          </cell>
          <cell r="D279" t="str">
            <v>TME</v>
          </cell>
          <cell r="G279">
            <v>39604</v>
          </cell>
          <cell r="H279" t="str">
            <v>Installed</v>
          </cell>
          <cell r="J279" t="str">
            <v>Dish</v>
          </cell>
          <cell r="L279">
            <v>600</v>
          </cell>
        </row>
        <row r="280">
          <cell r="B280" t="str">
            <v>TTP3003</v>
          </cell>
          <cell r="D280" t="str">
            <v>TME</v>
          </cell>
          <cell r="G280">
            <v>41143</v>
          </cell>
          <cell r="H280" t="str">
            <v>Removed</v>
          </cell>
          <cell r="J280" t="str">
            <v>Panel</v>
          </cell>
          <cell r="L280">
            <v>800</v>
          </cell>
        </row>
        <row r="281">
          <cell r="B281" t="str">
            <v>TTP3003</v>
          </cell>
          <cell r="D281" t="str">
            <v>TME</v>
          </cell>
          <cell r="G281">
            <v>40064</v>
          </cell>
          <cell r="H281" t="str">
            <v>Installed</v>
          </cell>
          <cell r="J281" t="str">
            <v>Dish</v>
          </cell>
          <cell r="L281">
            <v>1200</v>
          </cell>
        </row>
        <row r="282">
          <cell r="B282" t="str">
            <v>TTP3003</v>
          </cell>
          <cell r="D282" t="str">
            <v>TME</v>
          </cell>
          <cell r="G282">
            <v>40064</v>
          </cell>
          <cell r="H282" t="str">
            <v>Installed</v>
          </cell>
          <cell r="J282" t="str">
            <v>Dish</v>
          </cell>
          <cell r="L282">
            <v>600</v>
          </cell>
        </row>
        <row r="283">
          <cell r="B283" t="str">
            <v>TTP3003</v>
          </cell>
          <cell r="D283" t="str">
            <v>TME</v>
          </cell>
          <cell r="G283">
            <v>40527</v>
          </cell>
          <cell r="H283" t="str">
            <v>Installed</v>
          </cell>
          <cell r="J283" t="str">
            <v>Dish</v>
          </cell>
          <cell r="L283">
            <v>600</v>
          </cell>
        </row>
        <row r="284">
          <cell r="B284" t="str">
            <v>TSO2009</v>
          </cell>
          <cell r="D284" t="str">
            <v>TME</v>
          </cell>
          <cell r="G284">
            <v>39710</v>
          </cell>
          <cell r="H284" t="str">
            <v>Installed</v>
          </cell>
          <cell r="J284" t="str">
            <v>Dish</v>
          </cell>
          <cell r="L284">
            <v>3500</v>
          </cell>
        </row>
        <row r="285">
          <cell r="B285" t="str">
            <v>TSO2009</v>
          </cell>
          <cell r="D285" t="str">
            <v>TME</v>
          </cell>
          <cell r="G285">
            <v>39710</v>
          </cell>
          <cell r="H285" t="str">
            <v>Installed</v>
          </cell>
          <cell r="J285" t="str">
            <v>Dish</v>
          </cell>
          <cell r="L285">
            <v>3500</v>
          </cell>
        </row>
        <row r="286">
          <cell r="B286" t="str">
            <v>TSO2009</v>
          </cell>
          <cell r="D286" t="str">
            <v>TME</v>
          </cell>
          <cell r="G286">
            <v>39710</v>
          </cell>
          <cell r="H286" t="str">
            <v>Installed</v>
          </cell>
          <cell r="J286" t="str">
            <v>Dish</v>
          </cell>
          <cell r="L286">
            <v>2000</v>
          </cell>
        </row>
        <row r="287">
          <cell r="B287" t="str">
            <v>TSO2009</v>
          </cell>
          <cell r="D287" t="str">
            <v>TME</v>
          </cell>
          <cell r="G287">
            <v>39710</v>
          </cell>
          <cell r="H287" t="str">
            <v>Installed</v>
          </cell>
          <cell r="J287" t="str">
            <v>Dish</v>
          </cell>
          <cell r="L287">
            <v>600</v>
          </cell>
        </row>
        <row r="288">
          <cell r="B288" t="str">
            <v>TSO2009</v>
          </cell>
          <cell r="D288" t="str">
            <v>TME</v>
          </cell>
          <cell r="G288">
            <v>39710</v>
          </cell>
          <cell r="H288" t="str">
            <v>Installed</v>
          </cell>
          <cell r="J288" t="str">
            <v>Dish</v>
          </cell>
          <cell r="L288">
            <v>600</v>
          </cell>
        </row>
        <row r="289">
          <cell r="B289" t="str">
            <v>TSO2009</v>
          </cell>
          <cell r="D289" t="str">
            <v>TME</v>
          </cell>
          <cell r="G289">
            <v>39710</v>
          </cell>
          <cell r="H289" t="str">
            <v>Installed</v>
          </cell>
          <cell r="J289" t="str">
            <v>Dish</v>
          </cell>
          <cell r="L289">
            <v>600</v>
          </cell>
        </row>
        <row r="290">
          <cell r="B290" t="str">
            <v>TSO2009</v>
          </cell>
          <cell r="D290" t="str">
            <v>TME</v>
          </cell>
          <cell r="G290">
            <v>39710</v>
          </cell>
          <cell r="H290" t="str">
            <v>Installed</v>
          </cell>
          <cell r="J290" t="str">
            <v>Dish</v>
          </cell>
          <cell r="L290">
            <v>600</v>
          </cell>
        </row>
        <row r="291">
          <cell r="B291" t="str">
            <v>TSO2009</v>
          </cell>
          <cell r="D291" t="str">
            <v>TME</v>
          </cell>
          <cell r="G291">
            <v>39710</v>
          </cell>
          <cell r="H291" t="str">
            <v>Installed</v>
          </cell>
          <cell r="J291" t="str">
            <v>Dish</v>
          </cell>
          <cell r="L291">
            <v>1200</v>
          </cell>
        </row>
        <row r="292">
          <cell r="B292" t="str">
            <v>TSO2009</v>
          </cell>
          <cell r="D292" t="str">
            <v>TME</v>
          </cell>
          <cell r="G292">
            <v>39710</v>
          </cell>
          <cell r="H292" t="str">
            <v>Installed</v>
          </cell>
          <cell r="J292" t="str">
            <v>Dish</v>
          </cell>
          <cell r="L292">
            <v>2000</v>
          </cell>
        </row>
        <row r="293">
          <cell r="B293" t="str">
            <v>TSO2009</v>
          </cell>
          <cell r="D293" t="str">
            <v>TME</v>
          </cell>
          <cell r="G293">
            <v>41212</v>
          </cell>
          <cell r="H293" t="str">
            <v>Removed</v>
          </cell>
          <cell r="J293" t="str">
            <v>Omni</v>
          </cell>
          <cell r="L293">
            <v>800</v>
          </cell>
        </row>
        <row r="294">
          <cell r="B294" t="str">
            <v>TMO2010</v>
          </cell>
          <cell r="D294" t="str">
            <v>TME</v>
          </cell>
          <cell r="G294">
            <v>39583</v>
          </cell>
          <cell r="H294" t="str">
            <v>Installed</v>
          </cell>
          <cell r="J294" t="str">
            <v>Dish</v>
          </cell>
          <cell r="L294">
            <v>600</v>
          </cell>
        </row>
        <row r="295">
          <cell r="B295" t="str">
            <v>TMO2010</v>
          </cell>
          <cell r="D295" t="str">
            <v>TME</v>
          </cell>
          <cell r="G295">
            <v>41123</v>
          </cell>
          <cell r="H295" t="str">
            <v>Removed</v>
          </cell>
          <cell r="J295" t="str">
            <v>Other</v>
          </cell>
          <cell r="L295">
            <v>1500</v>
          </cell>
        </row>
        <row r="296">
          <cell r="B296" t="str">
            <v>TMO2010</v>
          </cell>
          <cell r="D296" t="str">
            <v>TME</v>
          </cell>
          <cell r="G296">
            <v>41123</v>
          </cell>
          <cell r="H296" t="str">
            <v>Removed</v>
          </cell>
          <cell r="J296" t="str">
            <v>Other</v>
          </cell>
          <cell r="L296">
            <v>1500</v>
          </cell>
        </row>
        <row r="297">
          <cell r="B297" t="str">
            <v>TMO2010</v>
          </cell>
          <cell r="D297" t="str">
            <v>TME</v>
          </cell>
          <cell r="G297">
            <v>39583</v>
          </cell>
          <cell r="H297" t="str">
            <v>Installed</v>
          </cell>
          <cell r="J297" t="str">
            <v>Dish</v>
          </cell>
          <cell r="L297">
            <v>600</v>
          </cell>
        </row>
        <row r="298">
          <cell r="B298" t="str">
            <v>TMO2010</v>
          </cell>
          <cell r="D298" t="str">
            <v>TME</v>
          </cell>
          <cell r="G298">
            <v>39583</v>
          </cell>
          <cell r="H298" t="str">
            <v>Installed</v>
          </cell>
          <cell r="J298" t="str">
            <v>Dish</v>
          </cell>
          <cell r="L298">
            <v>600</v>
          </cell>
        </row>
        <row r="299">
          <cell r="B299" t="str">
            <v>TMO2010</v>
          </cell>
          <cell r="D299" t="str">
            <v>TME</v>
          </cell>
          <cell r="G299">
            <v>40241</v>
          </cell>
          <cell r="H299" t="str">
            <v>Removed</v>
          </cell>
          <cell r="J299" t="str">
            <v>Other</v>
          </cell>
          <cell r="L299" t="str">
            <v>-</v>
          </cell>
        </row>
        <row r="300">
          <cell r="B300" t="str">
            <v>TMO2010</v>
          </cell>
          <cell r="D300" t="str">
            <v>TME</v>
          </cell>
          <cell r="G300">
            <v>39583</v>
          </cell>
          <cell r="H300" t="str">
            <v>Installed</v>
          </cell>
          <cell r="J300" t="str">
            <v>Dish</v>
          </cell>
          <cell r="L300">
            <v>2000</v>
          </cell>
        </row>
        <row r="301">
          <cell r="B301" t="str">
            <v>TMO2010</v>
          </cell>
          <cell r="D301" t="str">
            <v>TME</v>
          </cell>
          <cell r="G301">
            <v>41123</v>
          </cell>
          <cell r="H301" t="str">
            <v>Removed</v>
          </cell>
          <cell r="J301" t="str">
            <v>Other</v>
          </cell>
          <cell r="L301">
            <v>1500</v>
          </cell>
        </row>
        <row r="302">
          <cell r="B302" t="str">
            <v>TMO2010</v>
          </cell>
          <cell r="D302" t="str">
            <v>TME</v>
          </cell>
          <cell r="G302">
            <v>41123</v>
          </cell>
          <cell r="H302" t="str">
            <v>Removed</v>
          </cell>
          <cell r="J302" t="str">
            <v>Other</v>
          </cell>
          <cell r="L302">
            <v>1500</v>
          </cell>
        </row>
        <row r="303">
          <cell r="B303" t="str">
            <v>TMO2010</v>
          </cell>
          <cell r="D303" t="str">
            <v>TME</v>
          </cell>
          <cell r="G303">
            <v>41123</v>
          </cell>
          <cell r="H303" t="str">
            <v>Removed</v>
          </cell>
          <cell r="J303" t="str">
            <v>Other</v>
          </cell>
          <cell r="L303">
            <v>1500</v>
          </cell>
        </row>
        <row r="304">
          <cell r="B304" t="str">
            <v>TMO2010</v>
          </cell>
          <cell r="D304" t="str">
            <v>TME</v>
          </cell>
          <cell r="G304">
            <v>41123</v>
          </cell>
          <cell r="H304" t="str">
            <v>Removed</v>
          </cell>
          <cell r="J304" t="str">
            <v>Dish</v>
          </cell>
          <cell r="L304">
            <v>2000</v>
          </cell>
        </row>
        <row r="305">
          <cell r="B305" t="str">
            <v>TMO2010</v>
          </cell>
          <cell r="D305" t="str">
            <v>TME</v>
          </cell>
          <cell r="G305">
            <v>39583</v>
          </cell>
          <cell r="H305" t="str">
            <v>Installed</v>
          </cell>
          <cell r="J305" t="str">
            <v>Dish</v>
          </cell>
          <cell r="L305">
            <v>600</v>
          </cell>
        </row>
        <row r="306">
          <cell r="B306" t="str">
            <v>TMO2010</v>
          </cell>
          <cell r="D306" t="str">
            <v>TME</v>
          </cell>
          <cell r="G306">
            <v>39583</v>
          </cell>
          <cell r="H306" t="str">
            <v>Installed</v>
          </cell>
          <cell r="J306" t="str">
            <v>Dish</v>
          </cell>
          <cell r="L306">
            <v>600</v>
          </cell>
        </row>
        <row r="307">
          <cell r="B307" t="str">
            <v>TMO2010</v>
          </cell>
          <cell r="D307" t="str">
            <v>TME</v>
          </cell>
          <cell r="G307">
            <v>39846</v>
          </cell>
          <cell r="H307" t="str">
            <v>Removed</v>
          </cell>
          <cell r="J307" t="str">
            <v>Dish</v>
          </cell>
          <cell r="L307">
            <v>600</v>
          </cell>
        </row>
        <row r="308">
          <cell r="B308" t="str">
            <v>TMO2010</v>
          </cell>
          <cell r="D308" t="str">
            <v>TME</v>
          </cell>
          <cell r="G308">
            <v>39583</v>
          </cell>
          <cell r="H308" t="str">
            <v>Installed</v>
          </cell>
          <cell r="J308" t="str">
            <v>Dish</v>
          </cell>
          <cell r="L308">
            <v>3000</v>
          </cell>
        </row>
        <row r="309">
          <cell r="B309" t="str">
            <v>TMO2010</v>
          </cell>
          <cell r="D309" t="str">
            <v>TME</v>
          </cell>
          <cell r="G309">
            <v>41387</v>
          </cell>
          <cell r="H309" t="str">
            <v>Removed</v>
          </cell>
          <cell r="J309" t="str">
            <v>Dish</v>
          </cell>
          <cell r="L309">
            <v>2400</v>
          </cell>
        </row>
        <row r="310">
          <cell r="B310" t="str">
            <v>TMO2010</v>
          </cell>
          <cell r="D310" t="str">
            <v>TME</v>
          </cell>
          <cell r="G310">
            <v>39583</v>
          </cell>
          <cell r="H310" t="str">
            <v>Installed</v>
          </cell>
          <cell r="J310" t="str">
            <v>Dish</v>
          </cell>
          <cell r="L310">
            <v>2000</v>
          </cell>
        </row>
        <row r="311">
          <cell r="B311" t="str">
            <v>TMO2010</v>
          </cell>
          <cell r="D311" t="str">
            <v>TME</v>
          </cell>
          <cell r="G311">
            <v>39583</v>
          </cell>
          <cell r="H311" t="str">
            <v>Installed</v>
          </cell>
          <cell r="J311" t="str">
            <v>Dish</v>
          </cell>
          <cell r="L311">
            <v>2000</v>
          </cell>
        </row>
        <row r="312">
          <cell r="B312" t="str">
            <v>TMO2010</v>
          </cell>
          <cell r="D312" t="str">
            <v>TME</v>
          </cell>
          <cell r="G312">
            <v>41123</v>
          </cell>
          <cell r="H312" t="str">
            <v>Removed</v>
          </cell>
          <cell r="J312" t="str">
            <v>Panel</v>
          </cell>
          <cell r="L312">
            <v>1000</v>
          </cell>
        </row>
        <row r="313">
          <cell r="B313" t="str">
            <v>TMO2010</v>
          </cell>
          <cell r="D313" t="str">
            <v>TME</v>
          </cell>
          <cell r="G313">
            <v>41123</v>
          </cell>
          <cell r="H313" t="str">
            <v>Removed</v>
          </cell>
          <cell r="J313" t="str">
            <v>Panel</v>
          </cell>
          <cell r="L313">
            <v>1000</v>
          </cell>
        </row>
        <row r="314">
          <cell r="B314" t="str">
            <v>TMO2010</v>
          </cell>
          <cell r="D314" t="str">
            <v>TME</v>
          </cell>
          <cell r="G314">
            <v>39583</v>
          </cell>
          <cell r="H314" t="str">
            <v>Installed</v>
          </cell>
          <cell r="J314" t="str">
            <v>Dish</v>
          </cell>
          <cell r="L314">
            <v>3000</v>
          </cell>
        </row>
        <row r="315">
          <cell r="B315" t="str">
            <v>TMO2010</v>
          </cell>
          <cell r="D315" t="str">
            <v>TME</v>
          </cell>
          <cell r="G315">
            <v>41123</v>
          </cell>
          <cell r="H315" t="str">
            <v>Removed</v>
          </cell>
          <cell r="J315" t="str">
            <v>Panel</v>
          </cell>
          <cell r="L315">
            <v>1000</v>
          </cell>
        </row>
        <row r="316">
          <cell r="B316" t="str">
            <v>TMO2010</v>
          </cell>
          <cell r="D316" t="str">
            <v>TME</v>
          </cell>
          <cell r="G316">
            <v>39583</v>
          </cell>
          <cell r="H316" t="str">
            <v>Installed</v>
          </cell>
          <cell r="J316" t="str">
            <v>Dish</v>
          </cell>
          <cell r="L316">
            <v>2000</v>
          </cell>
        </row>
        <row r="317">
          <cell r="B317" t="str">
            <v>TMO2010</v>
          </cell>
          <cell r="D317" t="str">
            <v>TME</v>
          </cell>
          <cell r="G317">
            <v>41387</v>
          </cell>
          <cell r="H317" t="str">
            <v>Removed</v>
          </cell>
          <cell r="J317" t="str">
            <v>Dish</v>
          </cell>
          <cell r="L317">
            <v>2000</v>
          </cell>
        </row>
        <row r="318">
          <cell r="B318" t="str">
            <v>TMO2010</v>
          </cell>
          <cell r="D318" t="str">
            <v>TME</v>
          </cell>
          <cell r="G318">
            <v>39583</v>
          </cell>
          <cell r="H318" t="str">
            <v>Obsolete</v>
          </cell>
          <cell r="J318" t="str">
            <v>Panel</v>
          </cell>
          <cell r="L318">
            <v>200</v>
          </cell>
        </row>
        <row r="319">
          <cell r="B319" t="str">
            <v>TMO2010</v>
          </cell>
          <cell r="D319" t="str">
            <v>TME</v>
          </cell>
          <cell r="G319">
            <v>39583</v>
          </cell>
          <cell r="H319" t="str">
            <v>Obsolete</v>
          </cell>
          <cell r="J319" t="str">
            <v>Panel</v>
          </cell>
          <cell r="L319">
            <v>200</v>
          </cell>
        </row>
        <row r="320">
          <cell r="B320" t="str">
            <v>TMO2010</v>
          </cell>
          <cell r="D320" t="str">
            <v>TME</v>
          </cell>
          <cell r="G320">
            <v>39583</v>
          </cell>
          <cell r="H320" t="str">
            <v>Obsolete</v>
          </cell>
          <cell r="J320" t="str">
            <v>Panel</v>
          </cell>
          <cell r="L320">
            <v>200</v>
          </cell>
        </row>
        <row r="321">
          <cell r="B321" t="str">
            <v>TMO2010</v>
          </cell>
          <cell r="D321" t="str">
            <v>TME</v>
          </cell>
          <cell r="G321">
            <v>40241</v>
          </cell>
          <cell r="H321" t="str">
            <v>Removed</v>
          </cell>
          <cell r="J321" t="str">
            <v>Other</v>
          </cell>
          <cell r="L321" t="str">
            <v>-</v>
          </cell>
        </row>
        <row r="322">
          <cell r="B322" t="str">
            <v>TMO2010</v>
          </cell>
          <cell r="D322" t="str">
            <v>TME</v>
          </cell>
          <cell r="G322">
            <v>40241</v>
          </cell>
          <cell r="H322" t="str">
            <v>Removed</v>
          </cell>
          <cell r="J322" t="str">
            <v>Other</v>
          </cell>
          <cell r="L322" t="str">
            <v>-</v>
          </cell>
        </row>
        <row r="323">
          <cell r="B323" t="str">
            <v>TMO2010</v>
          </cell>
          <cell r="D323" t="str">
            <v>TME</v>
          </cell>
          <cell r="G323">
            <v>39583</v>
          </cell>
          <cell r="H323" t="str">
            <v>Installed</v>
          </cell>
          <cell r="J323" t="str">
            <v>Omni</v>
          </cell>
          <cell r="L323">
            <v>2000</v>
          </cell>
        </row>
        <row r="324">
          <cell r="B324" t="str">
            <v>TMO2010</v>
          </cell>
          <cell r="D324" t="str">
            <v>TME</v>
          </cell>
          <cell r="G324">
            <v>39846</v>
          </cell>
          <cell r="H324" t="str">
            <v>Installed</v>
          </cell>
          <cell r="J324" t="str">
            <v>Dish</v>
          </cell>
          <cell r="L324">
            <v>1200</v>
          </cell>
        </row>
        <row r="325">
          <cell r="B325" t="str">
            <v>TMO2010</v>
          </cell>
          <cell r="D325" t="str">
            <v>TME</v>
          </cell>
          <cell r="G325">
            <v>41319</v>
          </cell>
          <cell r="H325" t="str">
            <v>Installed</v>
          </cell>
          <cell r="J325" t="str">
            <v>Dish</v>
          </cell>
          <cell r="L325">
            <v>600</v>
          </cell>
        </row>
        <row r="326">
          <cell r="B326" t="str">
            <v>TCK2011</v>
          </cell>
          <cell r="D326" t="str">
            <v>TME</v>
          </cell>
          <cell r="G326">
            <v>41220</v>
          </cell>
          <cell r="H326" t="str">
            <v>Removed</v>
          </cell>
          <cell r="J326" t="str">
            <v>Dish</v>
          </cell>
          <cell r="L326">
            <v>2000</v>
          </cell>
        </row>
        <row r="327">
          <cell r="B327" t="str">
            <v>TCK2011</v>
          </cell>
          <cell r="D327" t="str">
            <v>TME</v>
          </cell>
          <cell r="G327">
            <v>39632</v>
          </cell>
          <cell r="H327" t="str">
            <v>Installed</v>
          </cell>
          <cell r="J327" t="str">
            <v>Dish</v>
          </cell>
          <cell r="L327">
            <v>2500</v>
          </cell>
        </row>
        <row r="328">
          <cell r="B328" t="str">
            <v>TCK2011</v>
          </cell>
          <cell r="D328" t="str">
            <v>TME</v>
          </cell>
          <cell r="G328">
            <v>39632</v>
          </cell>
          <cell r="H328" t="str">
            <v>Installed</v>
          </cell>
          <cell r="J328" t="str">
            <v>Dish</v>
          </cell>
          <cell r="L328">
            <v>600</v>
          </cell>
        </row>
        <row r="329">
          <cell r="B329" t="str">
            <v>TCK2011</v>
          </cell>
          <cell r="D329" t="str">
            <v>TME</v>
          </cell>
          <cell r="G329">
            <v>41380</v>
          </cell>
          <cell r="H329" t="str">
            <v>Removed</v>
          </cell>
          <cell r="J329" t="str">
            <v>Dish</v>
          </cell>
          <cell r="L329">
            <v>600</v>
          </cell>
        </row>
        <row r="330">
          <cell r="B330" t="str">
            <v>TCK2011</v>
          </cell>
          <cell r="D330" t="str">
            <v>TME</v>
          </cell>
          <cell r="G330">
            <v>39632</v>
          </cell>
          <cell r="H330" t="str">
            <v>Installed</v>
          </cell>
          <cell r="J330" t="str">
            <v>Dish</v>
          </cell>
          <cell r="L330">
            <v>300</v>
          </cell>
        </row>
        <row r="331">
          <cell r="B331" t="str">
            <v>TCK2011</v>
          </cell>
          <cell r="D331" t="str">
            <v>TME</v>
          </cell>
          <cell r="G331">
            <v>41380</v>
          </cell>
          <cell r="H331" t="str">
            <v>Removed</v>
          </cell>
          <cell r="J331" t="str">
            <v>Dish</v>
          </cell>
          <cell r="L331">
            <v>300</v>
          </cell>
        </row>
        <row r="332">
          <cell r="B332" t="str">
            <v>TCK2011</v>
          </cell>
          <cell r="D332" t="str">
            <v>TME</v>
          </cell>
          <cell r="G332">
            <v>41220</v>
          </cell>
          <cell r="H332" t="str">
            <v>Installed</v>
          </cell>
          <cell r="J332" t="str">
            <v>Dish</v>
          </cell>
          <cell r="L332">
            <v>900</v>
          </cell>
        </row>
        <row r="333">
          <cell r="B333" t="str">
            <v>TCK2012</v>
          </cell>
          <cell r="D333" t="str">
            <v>TME</v>
          </cell>
          <cell r="G333">
            <v>39688</v>
          </cell>
          <cell r="H333" t="str">
            <v>Installed</v>
          </cell>
          <cell r="J333" t="str">
            <v>Dish</v>
          </cell>
          <cell r="L333">
            <v>1000</v>
          </cell>
        </row>
        <row r="334">
          <cell r="B334" t="str">
            <v>TCK2012</v>
          </cell>
          <cell r="D334" t="str">
            <v>TME</v>
          </cell>
          <cell r="G334">
            <v>39688</v>
          </cell>
          <cell r="H334" t="str">
            <v>Installed</v>
          </cell>
          <cell r="J334" t="str">
            <v>Dish</v>
          </cell>
          <cell r="L334">
            <v>3000</v>
          </cell>
        </row>
        <row r="335">
          <cell r="B335" t="str">
            <v>TCK2012</v>
          </cell>
          <cell r="D335" t="str">
            <v>TME</v>
          </cell>
          <cell r="G335">
            <v>39688</v>
          </cell>
          <cell r="H335" t="str">
            <v>Installed</v>
          </cell>
          <cell r="J335" t="str">
            <v>Dish</v>
          </cell>
          <cell r="L335">
            <v>600</v>
          </cell>
        </row>
        <row r="336">
          <cell r="B336" t="str">
            <v>TCK2012</v>
          </cell>
          <cell r="D336" t="str">
            <v>TME</v>
          </cell>
          <cell r="G336">
            <v>39688</v>
          </cell>
          <cell r="H336" t="str">
            <v>Installed</v>
          </cell>
          <cell r="J336" t="str">
            <v>Dish</v>
          </cell>
          <cell r="L336">
            <v>600</v>
          </cell>
        </row>
        <row r="337">
          <cell r="B337" t="str">
            <v>TCK2012</v>
          </cell>
          <cell r="D337" t="str">
            <v>TME</v>
          </cell>
          <cell r="G337">
            <v>39688</v>
          </cell>
          <cell r="H337" t="str">
            <v>Installed</v>
          </cell>
          <cell r="J337" t="str">
            <v>Dish</v>
          </cell>
          <cell r="L337">
            <v>600</v>
          </cell>
        </row>
        <row r="338">
          <cell r="B338" t="str">
            <v>TCK2012</v>
          </cell>
          <cell r="D338" t="str">
            <v>TME</v>
          </cell>
          <cell r="G338">
            <v>39688</v>
          </cell>
          <cell r="H338" t="str">
            <v>Installed</v>
          </cell>
          <cell r="J338" t="str">
            <v>Dish</v>
          </cell>
          <cell r="L338">
            <v>600</v>
          </cell>
        </row>
        <row r="339">
          <cell r="B339" t="str">
            <v>TCK2012</v>
          </cell>
          <cell r="D339" t="str">
            <v>TME</v>
          </cell>
          <cell r="G339">
            <v>40568</v>
          </cell>
          <cell r="H339" t="str">
            <v>Removed</v>
          </cell>
          <cell r="J339" t="str">
            <v>Dish</v>
          </cell>
          <cell r="L339">
            <v>2000</v>
          </cell>
        </row>
        <row r="340">
          <cell r="B340" t="str">
            <v>TCK2012</v>
          </cell>
          <cell r="D340" t="str">
            <v>TME</v>
          </cell>
          <cell r="G340">
            <v>39688</v>
          </cell>
          <cell r="H340" t="str">
            <v>Installed</v>
          </cell>
          <cell r="J340" t="str">
            <v>Dish</v>
          </cell>
          <cell r="L340">
            <v>600</v>
          </cell>
        </row>
        <row r="341">
          <cell r="B341" t="str">
            <v>TCK2012</v>
          </cell>
          <cell r="D341" t="str">
            <v>TME</v>
          </cell>
          <cell r="G341">
            <v>39688</v>
          </cell>
          <cell r="H341" t="str">
            <v>Installed</v>
          </cell>
          <cell r="J341" t="str">
            <v>Dish</v>
          </cell>
          <cell r="L341">
            <v>600</v>
          </cell>
        </row>
        <row r="342">
          <cell r="B342" t="str">
            <v>TCK2012</v>
          </cell>
          <cell r="D342" t="str">
            <v>TME</v>
          </cell>
          <cell r="G342">
            <v>39688</v>
          </cell>
          <cell r="H342" t="str">
            <v>Installed</v>
          </cell>
          <cell r="J342" t="str">
            <v>Dish</v>
          </cell>
          <cell r="L342">
            <v>2600</v>
          </cell>
        </row>
        <row r="343">
          <cell r="B343" t="str">
            <v>TCK2012</v>
          </cell>
          <cell r="D343" t="str">
            <v>TME</v>
          </cell>
          <cell r="G343">
            <v>41240</v>
          </cell>
          <cell r="H343" t="str">
            <v>Removed</v>
          </cell>
          <cell r="J343" t="str">
            <v>Panel</v>
          </cell>
          <cell r="L343">
            <v>1000</v>
          </cell>
        </row>
        <row r="344">
          <cell r="B344" t="str">
            <v>TCK2012</v>
          </cell>
          <cell r="D344" t="str">
            <v>TME</v>
          </cell>
          <cell r="G344">
            <v>39688</v>
          </cell>
          <cell r="H344" t="str">
            <v>Removed</v>
          </cell>
          <cell r="J344" t="str">
            <v>Dish</v>
          </cell>
          <cell r="L344">
            <v>1000</v>
          </cell>
        </row>
        <row r="345">
          <cell r="B345" t="str">
            <v>TCK2012</v>
          </cell>
          <cell r="D345" t="str">
            <v>TME</v>
          </cell>
          <cell r="G345">
            <v>41240</v>
          </cell>
          <cell r="H345" t="str">
            <v>Removed</v>
          </cell>
          <cell r="J345" t="str">
            <v>Panel</v>
          </cell>
          <cell r="L345">
            <v>1000</v>
          </cell>
        </row>
        <row r="346">
          <cell r="B346" t="str">
            <v>TCK2012</v>
          </cell>
          <cell r="D346" t="str">
            <v>TME</v>
          </cell>
          <cell r="G346">
            <v>39688</v>
          </cell>
          <cell r="H346" t="str">
            <v>Removed</v>
          </cell>
          <cell r="J346" t="str">
            <v>Dish</v>
          </cell>
          <cell r="L346">
            <v>3000</v>
          </cell>
        </row>
        <row r="347">
          <cell r="B347" t="str">
            <v>TCK2012</v>
          </cell>
          <cell r="D347" t="str">
            <v>TME</v>
          </cell>
          <cell r="G347">
            <v>39688</v>
          </cell>
          <cell r="H347" t="str">
            <v>Installed</v>
          </cell>
          <cell r="J347" t="str">
            <v>Dish</v>
          </cell>
          <cell r="L347">
            <v>600</v>
          </cell>
        </row>
        <row r="348">
          <cell r="B348" t="str">
            <v>TCK2012</v>
          </cell>
          <cell r="D348" t="str">
            <v>TME</v>
          </cell>
          <cell r="G348">
            <v>39688</v>
          </cell>
          <cell r="H348" t="str">
            <v>Installed</v>
          </cell>
          <cell r="J348" t="str">
            <v>Dish</v>
          </cell>
          <cell r="L348">
            <v>600</v>
          </cell>
        </row>
        <row r="349">
          <cell r="B349" t="str">
            <v>TCK2012</v>
          </cell>
          <cell r="D349" t="str">
            <v>TME</v>
          </cell>
          <cell r="G349">
            <v>39688</v>
          </cell>
          <cell r="H349" t="str">
            <v>Removed</v>
          </cell>
          <cell r="J349" t="str">
            <v>Dish</v>
          </cell>
          <cell r="L349">
            <v>4000</v>
          </cell>
        </row>
        <row r="350">
          <cell r="B350" t="str">
            <v>TCK2012</v>
          </cell>
          <cell r="D350" t="str">
            <v>TME</v>
          </cell>
          <cell r="G350">
            <v>40394</v>
          </cell>
          <cell r="H350" t="str">
            <v>Removed</v>
          </cell>
          <cell r="J350" t="str">
            <v>Panel</v>
          </cell>
          <cell r="L350">
            <v>900</v>
          </cell>
        </row>
        <row r="351">
          <cell r="B351" t="str">
            <v>TCK2012</v>
          </cell>
          <cell r="D351" t="str">
            <v>TME</v>
          </cell>
          <cell r="G351">
            <v>40394</v>
          </cell>
          <cell r="H351" t="str">
            <v>Removed</v>
          </cell>
          <cell r="J351" t="str">
            <v>Panel</v>
          </cell>
          <cell r="L351">
            <v>900</v>
          </cell>
        </row>
        <row r="352">
          <cell r="B352" t="str">
            <v>TCK2012</v>
          </cell>
          <cell r="D352" t="str">
            <v>TME</v>
          </cell>
          <cell r="G352">
            <v>40394</v>
          </cell>
          <cell r="H352" t="str">
            <v>Removed</v>
          </cell>
          <cell r="J352" t="str">
            <v>Panel</v>
          </cell>
          <cell r="L352">
            <v>900</v>
          </cell>
        </row>
        <row r="353">
          <cell r="B353" t="str">
            <v>TCK2012</v>
          </cell>
          <cell r="D353" t="str">
            <v>TME</v>
          </cell>
          <cell r="G353" t="str">
            <v>-</v>
          </cell>
          <cell r="H353" t="str">
            <v>Installed</v>
          </cell>
          <cell r="J353" t="str">
            <v>Dish</v>
          </cell>
          <cell r="L353">
            <v>1800</v>
          </cell>
        </row>
        <row r="354">
          <cell r="B354" t="str">
            <v>TCK2012</v>
          </cell>
          <cell r="D354" t="str">
            <v>TME</v>
          </cell>
          <cell r="G354" t="str">
            <v>-</v>
          </cell>
          <cell r="H354" t="str">
            <v>Installed</v>
          </cell>
          <cell r="J354" t="str">
            <v>Dish</v>
          </cell>
          <cell r="L354">
            <v>1800</v>
          </cell>
        </row>
        <row r="355">
          <cell r="B355" t="str">
            <v>TCK2012</v>
          </cell>
          <cell r="D355" t="str">
            <v>TME</v>
          </cell>
          <cell r="G355">
            <v>39671</v>
          </cell>
          <cell r="H355" t="str">
            <v>Installed</v>
          </cell>
          <cell r="J355" t="str">
            <v>Dish</v>
          </cell>
          <cell r="L355">
            <v>600</v>
          </cell>
        </row>
        <row r="356">
          <cell r="B356" t="str">
            <v>TCK2012</v>
          </cell>
          <cell r="D356" t="str">
            <v>TME</v>
          </cell>
          <cell r="G356" t="str">
            <v>-</v>
          </cell>
          <cell r="H356" t="str">
            <v>Installed</v>
          </cell>
          <cell r="J356" t="str">
            <v>Dish</v>
          </cell>
          <cell r="L356">
            <v>1200</v>
          </cell>
        </row>
        <row r="357">
          <cell r="B357" t="str">
            <v>TCK2012</v>
          </cell>
          <cell r="D357" t="str">
            <v>TME</v>
          </cell>
          <cell r="G357">
            <v>39857</v>
          </cell>
          <cell r="H357" t="str">
            <v>Installed</v>
          </cell>
          <cell r="J357" t="str">
            <v>Dish</v>
          </cell>
          <cell r="L357">
            <v>600</v>
          </cell>
        </row>
        <row r="358">
          <cell r="B358" t="str">
            <v>TCK2012</v>
          </cell>
          <cell r="D358" t="str">
            <v>TME</v>
          </cell>
          <cell r="G358">
            <v>39951</v>
          </cell>
          <cell r="H358" t="str">
            <v>Installed</v>
          </cell>
          <cell r="J358" t="str">
            <v>Dish</v>
          </cell>
          <cell r="L358">
            <v>240</v>
          </cell>
        </row>
        <row r="359">
          <cell r="B359" t="str">
            <v>TCK2012</v>
          </cell>
          <cell r="D359" t="str">
            <v>TME</v>
          </cell>
          <cell r="G359">
            <v>39951</v>
          </cell>
          <cell r="H359" t="str">
            <v>Installed</v>
          </cell>
          <cell r="J359" t="str">
            <v>Dish</v>
          </cell>
          <cell r="L359">
            <v>600</v>
          </cell>
        </row>
        <row r="360">
          <cell r="B360" t="str">
            <v>TCK2012</v>
          </cell>
          <cell r="D360" t="str">
            <v>TME</v>
          </cell>
          <cell r="G360">
            <v>40009</v>
          </cell>
          <cell r="H360" t="str">
            <v>Installed</v>
          </cell>
          <cell r="J360" t="str">
            <v>Dish</v>
          </cell>
          <cell r="L360">
            <v>300</v>
          </cell>
        </row>
        <row r="361">
          <cell r="B361" t="str">
            <v>TCK2012</v>
          </cell>
          <cell r="D361" t="str">
            <v>TME</v>
          </cell>
          <cell r="G361">
            <v>40009</v>
          </cell>
          <cell r="H361" t="str">
            <v>Installed</v>
          </cell>
          <cell r="J361" t="str">
            <v>Dish</v>
          </cell>
          <cell r="L361">
            <v>300</v>
          </cell>
        </row>
        <row r="362">
          <cell r="B362" t="str">
            <v>TCK2012</v>
          </cell>
          <cell r="D362" t="str">
            <v>TME</v>
          </cell>
          <cell r="G362">
            <v>40604</v>
          </cell>
          <cell r="H362" t="str">
            <v>Installed</v>
          </cell>
          <cell r="J362" t="str">
            <v>Dish</v>
          </cell>
          <cell r="L362">
            <v>1200</v>
          </cell>
        </row>
        <row r="363">
          <cell r="B363" t="str">
            <v>TDU4004</v>
          </cell>
          <cell r="D363" t="str">
            <v>TME</v>
          </cell>
          <cell r="G363">
            <v>41079</v>
          </cell>
          <cell r="H363" t="str">
            <v>Removed</v>
          </cell>
          <cell r="J363" t="str">
            <v>Panel</v>
          </cell>
          <cell r="L363">
            <v>840</v>
          </cell>
        </row>
        <row r="364">
          <cell r="B364" t="str">
            <v>TDU4004</v>
          </cell>
          <cell r="D364" t="str">
            <v>TME</v>
          </cell>
          <cell r="G364">
            <v>40037</v>
          </cell>
          <cell r="H364" t="str">
            <v>Removed</v>
          </cell>
          <cell r="J364" t="str">
            <v>Other</v>
          </cell>
          <cell r="L364">
            <v>750</v>
          </cell>
        </row>
        <row r="365">
          <cell r="B365" t="str">
            <v>TDU4004</v>
          </cell>
          <cell r="D365" t="str">
            <v>TME</v>
          </cell>
          <cell r="G365">
            <v>39708</v>
          </cell>
          <cell r="H365" t="str">
            <v>Installed</v>
          </cell>
          <cell r="J365" t="str">
            <v>Other</v>
          </cell>
          <cell r="L365">
            <v>760</v>
          </cell>
        </row>
        <row r="366">
          <cell r="B366" t="str">
            <v>TDU4004</v>
          </cell>
          <cell r="D366" t="str">
            <v>TME</v>
          </cell>
          <cell r="G366">
            <v>40247</v>
          </cell>
          <cell r="H366" t="str">
            <v>Removed</v>
          </cell>
          <cell r="J366" t="str">
            <v>Other</v>
          </cell>
          <cell r="L366">
            <v>750</v>
          </cell>
        </row>
        <row r="367">
          <cell r="B367" t="str">
            <v>TDU4004</v>
          </cell>
          <cell r="D367" t="str">
            <v>TME</v>
          </cell>
          <cell r="G367">
            <v>40247</v>
          </cell>
          <cell r="H367" t="str">
            <v>Removed</v>
          </cell>
          <cell r="J367" t="str">
            <v>Other</v>
          </cell>
          <cell r="L367">
            <v>750</v>
          </cell>
        </row>
        <row r="368">
          <cell r="B368" t="str">
            <v>TDU4004</v>
          </cell>
          <cell r="D368" t="str">
            <v>TME</v>
          </cell>
          <cell r="G368">
            <v>40247</v>
          </cell>
          <cell r="H368" t="str">
            <v>Removed</v>
          </cell>
          <cell r="J368" t="str">
            <v>Other</v>
          </cell>
          <cell r="L368">
            <v>750</v>
          </cell>
        </row>
        <row r="369">
          <cell r="B369" t="str">
            <v>TDU4004</v>
          </cell>
          <cell r="D369" t="str">
            <v>TME</v>
          </cell>
          <cell r="G369">
            <v>40037</v>
          </cell>
          <cell r="H369" t="str">
            <v>Installed</v>
          </cell>
          <cell r="J369" t="str">
            <v>Dish</v>
          </cell>
          <cell r="L369">
            <v>300</v>
          </cell>
        </row>
        <row r="370">
          <cell r="B370" t="str">
            <v>TGY1014</v>
          </cell>
          <cell r="D370" t="str">
            <v>TME</v>
          </cell>
          <cell r="G370">
            <v>39700</v>
          </cell>
          <cell r="H370" t="str">
            <v>Installed</v>
          </cell>
          <cell r="J370" t="str">
            <v>Dish</v>
          </cell>
          <cell r="L370">
            <v>600</v>
          </cell>
        </row>
        <row r="371">
          <cell r="B371" t="str">
            <v>TGY1014</v>
          </cell>
          <cell r="D371" t="str">
            <v>TME</v>
          </cell>
          <cell r="G371">
            <v>39700</v>
          </cell>
          <cell r="H371" t="str">
            <v>Installed</v>
          </cell>
          <cell r="J371" t="str">
            <v>Dish</v>
          </cell>
          <cell r="L371">
            <v>600</v>
          </cell>
        </row>
        <row r="372">
          <cell r="B372" t="str">
            <v>TGY1014</v>
          </cell>
          <cell r="D372" t="str">
            <v>TME</v>
          </cell>
          <cell r="G372">
            <v>41116</v>
          </cell>
          <cell r="H372" t="str">
            <v>Removed</v>
          </cell>
          <cell r="J372" t="str">
            <v>Omni</v>
          </cell>
          <cell r="L372">
            <v>800</v>
          </cell>
        </row>
        <row r="373">
          <cell r="B373" t="str">
            <v>TGY1014</v>
          </cell>
          <cell r="D373" t="str">
            <v>TME</v>
          </cell>
          <cell r="G373">
            <v>39700</v>
          </cell>
          <cell r="H373" t="str">
            <v>Installed</v>
          </cell>
          <cell r="J373" t="str">
            <v>Dish</v>
          </cell>
          <cell r="L373">
            <v>2000</v>
          </cell>
        </row>
        <row r="374">
          <cell r="B374" t="str">
            <v>TGY1014</v>
          </cell>
          <cell r="D374" t="str">
            <v>TME</v>
          </cell>
          <cell r="G374">
            <v>39700</v>
          </cell>
          <cell r="H374" t="str">
            <v>Installed</v>
          </cell>
          <cell r="J374" t="str">
            <v>Dish</v>
          </cell>
          <cell r="L374">
            <v>2500</v>
          </cell>
        </row>
        <row r="375">
          <cell r="B375" t="str">
            <v>TGY1014</v>
          </cell>
          <cell r="D375" t="str">
            <v>TME</v>
          </cell>
          <cell r="G375">
            <v>39700</v>
          </cell>
          <cell r="H375" t="str">
            <v>Installed</v>
          </cell>
          <cell r="J375" t="str">
            <v>Dish</v>
          </cell>
          <cell r="L375">
            <v>2000</v>
          </cell>
        </row>
        <row r="376">
          <cell r="B376" t="str">
            <v>TGY1014</v>
          </cell>
          <cell r="D376" t="str">
            <v>TME</v>
          </cell>
          <cell r="G376">
            <v>41116</v>
          </cell>
          <cell r="H376" t="str">
            <v>Removed</v>
          </cell>
          <cell r="J376" t="str">
            <v>Other</v>
          </cell>
          <cell r="L376">
            <v>1000</v>
          </cell>
        </row>
        <row r="377">
          <cell r="B377" t="str">
            <v>TGY1014</v>
          </cell>
          <cell r="D377" t="str">
            <v>TME</v>
          </cell>
          <cell r="G377">
            <v>39700</v>
          </cell>
          <cell r="H377" t="str">
            <v>Installed</v>
          </cell>
          <cell r="J377" t="str">
            <v>Dish</v>
          </cell>
          <cell r="L377">
            <v>600</v>
          </cell>
        </row>
        <row r="378">
          <cell r="B378" t="str">
            <v>TGY1014</v>
          </cell>
          <cell r="D378" t="str">
            <v>TME</v>
          </cell>
          <cell r="G378">
            <v>39700</v>
          </cell>
          <cell r="H378" t="str">
            <v>Installed</v>
          </cell>
          <cell r="J378" t="str">
            <v>Dish</v>
          </cell>
          <cell r="L378">
            <v>600</v>
          </cell>
        </row>
        <row r="379">
          <cell r="B379" t="str">
            <v>TGY1014</v>
          </cell>
          <cell r="D379" t="str">
            <v>TME</v>
          </cell>
          <cell r="G379">
            <v>39700</v>
          </cell>
          <cell r="H379" t="str">
            <v>Installed</v>
          </cell>
          <cell r="J379" t="str">
            <v>Dish</v>
          </cell>
          <cell r="L379">
            <v>4000</v>
          </cell>
        </row>
        <row r="380">
          <cell r="B380" t="str">
            <v>TGY1014</v>
          </cell>
          <cell r="D380" t="str">
            <v>TME</v>
          </cell>
          <cell r="G380">
            <v>41116</v>
          </cell>
          <cell r="H380" t="str">
            <v>Removed</v>
          </cell>
          <cell r="J380" t="str">
            <v>Omni</v>
          </cell>
          <cell r="L380">
            <v>1000</v>
          </cell>
        </row>
        <row r="381">
          <cell r="B381" t="str">
            <v>TGY1014</v>
          </cell>
          <cell r="D381" t="str">
            <v>TME</v>
          </cell>
          <cell r="G381">
            <v>41116</v>
          </cell>
          <cell r="H381" t="str">
            <v>Removed</v>
          </cell>
          <cell r="J381" t="str">
            <v>Omni</v>
          </cell>
          <cell r="L381">
            <v>1000</v>
          </cell>
        </row>
        <row r="382">
          <cell r="B382" t="str">
            <v>TGY1014</v>
          </cell>
          <cell r="D382" t="str">
            <v>TME</v>
          </cell>
          <cell r="G382">
            <v>40155</v>
          </cell>
          <cell r="H382" t="str">
            <v>Installed</v>
          </cell>
          <cell r="J382" t="str">
            <v>Dish</v>
          </cell>
          <cell r="L382">
            <v>1200</v>
          </cell>
        </row>
        <row r="383">
          <cell r="B383" t="str">
            <v>TGY1014</v>
          </cell>
          <cell r="D383" t="str">
            <v>TME</v>
          </cell>
          <cell r="G383">
            <v>41445</v>
          </cell>
          <cell r="H383" t="str">
            <v>Installed</v>
          </cell>
          <cell r="J383" t="str">
            <v>Dish</v>
          </cell>
          <cell r="L383">
            <v>900</v>
          </cell>
        </row>
        <row r="384">
          <cell r="B384" t="str">
            <v>TDU2013</v>
          </cell>
          <cell r="D384" t="str">
            <v>TME</v>
          </cell>
          <cell r="G384">
            <v>41394</v>
          </cell>
          <cell r="H384" t="str">
            <v>Removed</v>
          </cell>
          <cell r="J384" t="str">
            <v>Dish</v>
          </cell>
          <cell r="L384">
            <v>4000</v>
          </cell>
        </row>
        <row r="385">
          <cell r="B385" t="str">
            <v>TDU2013</v>
          </cell>
          <cell r="D385" t="str">
            <v>TME</v>
          </cell>
          <cell r="G385">
            <v>39707</v>
          </cell>
          <cell r="H385" t="str">
            <v>Installed</v>
          </cell>
          <cell r="J385" t="str">
            <v>Dish</v>
          </cell>
          <cell r="L385">
            <v>600</v>
          </cell>
        </row>
        <row r="386">
          <cell r="B386" t="str">
            <v>TDU2013</v>
          </cell>
          <cell r="D386" t="str">
            <v>TME</v>
          </cell>
          <cell r="G386">
            <v>39707</v>
          </cell>
          <cell r="H386" t="str">
            <v>Installed</v>
          </cell>
          <cell r="J386" t="str">
            <v>Dish</v>
          </cell>
          <cell r="L386">
            <v>600</v>
          </cell>
        </row>
        <row r="387">
          <cell r="B387" t="str">
            <v>TDU2013</v>
          </cell>
          <cell r="D387" t="str">
            <v>TME</v>
          </cell>
          <cell r="G387">
            <v>39707</v>
          </cell>
          <cell r="H387" t="str">
            <v>Installed</v>
          </cell>
          <cell r="J387" t="str">
            <v>Dish</v>
          </cell>
          <cell r="L387">
            <v>1400</v>
          </cell>
        </row>
        <row r="388">
          <cell r="B388" t="str">
            <v>TDU2013</v>
          </cell>
          <cell r="D388" t="str">
            <v>TME</v>
          </cell>
          <cell r="G388">
            <v>39707</v>
          </cell>
          <cell r="H388" t="str">
            <v>Removed</v>
          </cell>
          <cell r="J388" t="str">
            <v>Dish</v>
          </cell>
          <cell r="L388">
            <v>6000</v>
          </cell>
        </row>
        <row r="389">
          <cell r="B389" t="str">
            <v>TDU2013</v>
          </cell>
          <cell r="D389" t="str">
            <v>TME</v>
          </cell>
          <cell r="G389">
            <v>41394</v>
          </cell>
          <cell r="H389" t="str">
            <v>Removed</v>
          </cell>
          <cell r="J389" t="str">
            <v>Dish</v>
          </cell>
          <cell r="L389">
            <v>1200</v>
          </cell>
        </row>
        <row r="390">
          <cell r="B390" t="str">
            <v>TDU2013</v>
          </cell>
          <cell r="D390" t="str">
            <v>TME</v>
          </cell>
          <cell r="G390">
            <v>39707</v>
          </cell>
          <cell r="H390" t="str">
            <v>Installed</v>
          </cell>
          <cell r="J390" t="str">
            <v>Dish</v>
          </cell>
          <cell r="L390">
            <v>3000</v>
          </cell>
        </row>
        <row r="391">
          <cell r="B391" t="str">
            <v>TDU2013</v>
          </cell>
          <cell r="D391" t="str">
            <v>TME</v>
          </cell>
          <cell r="G391">
            <v>39707</v>
          </cell>
          <cell r="H391" t="str">
            <v>Installed</v>
          </cell>
          <cell r="J391" t="str">
            <v>Dish</v>
          </cell>
          <cell r="L391">
            <v>2500</v>
          </cell>
        </row>
        <row r="392">
          <cell r="B392" t="str">
            <v>TDU2013</v>
          </cell>
          <cell r="D392" t="str">
            <v>TME</v>
          </cell>
          <cell r="G392">
            <v>39707</v>
          </cell>
          <cell r="H392" t="str">
            <v>Installed</v>
          </cell>
          <cell r="J392" t="str">
            <v>Dish</v>
          </cell>
          <cell r="L392">
            <v>600</v>
          </cell>
        </row>
        <row r="393">
          <cell r="B393" t="str">
            <v>TDU2013</v>
          </cell>
          <cell r="D393" t="str">
            <v>TME</v>
          </cell>
          <cell r="G393">
            <v>39707</v>
          </cell>
          <cell r="H393" t="str">
            <v>Installed</v>
          </cell>
          <cell r="J393" t="str">
            <v>Dish</v>
          </cell>
          <cell r="L393">
            <v>600</v>
          </cell>
        </row>
        <row r="394">
          <cell r="B394" t="str">
            <v>TDU2013</v>
          </cell>
          <cell r="D394" t="str">
            <v>TME</v>
          </cell>
          <cell r="G394">
            <v>39707</v>
          </cell>
          <cell r="H394" t="str">
            <v>Installed</v>
          </cell>
          <cell r="J394" t="str">
            <v>Dish</v>
          </cell>
          <cell r="L394">
            <v>2000</v>
          </cell>
        </row>
        <row r="395">
          <cell r="B395" t="str">
            <v>TDU2013</v>
          </cell>
          <cell r="D395" t="str">
            <v>TME</v>
          </cell>
          <cell r="G395">
            <v>41394</v>
          </cell>
          <cell r="H395" t="str">
            <v>Removed</v>
          </cell>
          <cell r="J395" t="str">
            <v>Dish</v>
          </cell>
          <cell r="L395">
            <v>2000</v>
          </cell>
        </row>
        <row r="396">
          <cell r="B396" t="str">
            <v>TDU2013</v>
          </cell>
          <cell r="D396" t="str">
            <v>TME</v>
          </cell>
          <cell r="G396">
            <v>39707</v>
          </cell>
          <cell r="H396" t="str">
            <v>Installed</v>
          </cell>
          <cell r="J396" t="str">
            <v>Dish</v>
          </cell>
          <cell r="L396">
            <v>600</v>
          </cell>
        </row>
        <row r="397">
          <cell r="B397" t="str">
            <v>TDU2013</v>
          </cell>
          <cell r="D397" t="str">
            <v>TME</v>
          </cell>
          <cell r="G397">
            <v>40231</v>
          </cell>
          <cell r="H397" t="str">
            <v>Removed</v>
          </cell>
          <cell r="J397" t="str">
            <v>Other</v>
          </cell>
          <cell r="L397">
            <v>750</v>
          </cell>
        </row>
        <row r="398">
          <cell r="B398" t="str">
            <v>TDU2013</v>
          </cell>
          <cell r="D398" t="str">
            <v>TME</v>
          </cell>
          <cell r="G398">
            <v>40231</v>
          </cell>
          <cell r="H398" t="str">
            <v>Removed</v>
          </cell>
          <cell r="J398" t="str">
            <v>Other</v>
          </cell>
          <cell r="L398">
            <v>750</v>
          </cell>
        </row>
        <row r="399">
          <cell r="B399" t="str">
            <v>TDU2013</v>
          </cell>
          <cell r="D399" t="str">
            <v>TME</v>
          </cell>
          <cell r="G399">
            <v>40359</v>
          </cell>
          <cell r="H399" t="str">
            <v>Removed</v>
          </cell>
          <cell r="J399" t="str">
            <v>Dish</v>
          </cell>
          <cell r="L399">
            <v>600</v>
          </cell>
        </row>
        <row r="400">
          <cell r="B400" t="str">
            <v>TDU2013</v>
          </cell>
          <cell r="D400" t="str">
            <v>TME</v>
          </cell>
          <cell r="G400">
            <v>40359</v>
          </cell>
          <cell r="H400" t="str">
            <v>Removed</v>
          </cell>
          <cell r="J400" t="str">
            <v>Dish</v>
          </cell>
          <cell r="L400">
            <v>600</v>
          </cell>
        </row>
        <row r="401">
          <cell r="B401" t="str">
            <v>TDU2013</v>
          </cell>
          <cell r="D401" t="str">
            <v>TME</v>
          </cell>
          <cell r="G401">
            <v>39707</v>
          </cell>
          <cell r="H401" t="str">
            <v>Installed</v>
          </cell>
          <cell r="J401" t="str">
            <v>Dish</v>
          </cell>
          <cell r="L401">
            <v>600</v>
          </cell>
        </row>
        <row r="402">
          <cell r="B402" t="str">
            <v>TDU2013</v>
          </cell>
          <cell r="D402" t="str">
            <v>TME</v>
          </cell>
          <cell r="G402">
            <v>41394</v>
          </cell>
          <cell r="H402" t="str">
            <v>Removed</v>
          </cell>
          <cell r="J402" t="str">
            <v>Dish</v>
          </cell>
          <cell r="L402">
            <v>3400</v>
          </cell>
        </row>
        <row r="403">
          <cell r="B403" t="str">
            <v>TDU2013</v>
          </cell>
          <cell r="D403" t="str">
            <v>TME</v>
          </cell>
          <cell r="G403">
            <v>39707</v>
          </cell>
          <cell r="H403" t="str">
            <v>Installed</v>
          </cell>
          <cell r="J403" t="str">
            <v>Dish</v>
          </cell>
          <cell r="L403">
            <v>600</v>
          </cell>
        </row>
        <row r="404">
          <cell r="B404" t="str">
            <v>TDU2013</v>
          </cell>
          <cell r="D404" t="str">
            <v>TME</v>
          </cell>
          <cell r="G404">
            <v>39707</v>
          </cell>
          <cell r="H404" t="str">
            <v>Installed</v>
          </cell>
          <cell r="J404" t="str">
            <v>Dish</v>
          </cell>
          <cell r="L404">
            <v>2000</v>
          </cell>
        </row>
        <row r="405">
          <cell r="B405" t="str">
            <v>TDU2013</v>
          </cell>
          <cell r="D405" t="str">
            <v>TME</v>
          </cell>
          <cell r="G405">
            <v>40350</v>
          </cell>
          <cell r="H405" t="str">
            <v>Removed</v>
          </cell>
          <cell r="J405" t="str">
            <v>Dish</v>
          </cell>
          <cell r="L405">
            <v>600</v>
          </cell>
        </row>
        <row r="406">
          <cell r="B406" t="str">
            <v>TDU2013</v>
          </cell>
          <cell r="D406" t="str">
            <v>TME</v>
          </cell>
          <cell r="G406">
            <v>39707</v>
          </cell>
          <cell r="H406" t="str">
            <v>Installed</v>
          </cell>
          <cell r="J406" t="str">
            <v>Dish</v>
          </cell>
          <cell r="L406">
            <v>2000</v>
          </cell>
        </row>
        <row r="407">
          <cell r="B407" t="str">
            <v>TDU2013</v>
          </cell>
          <cell r="D407" t="str">
            <v>TME</v>
          </cell>
          <cell r="G407">
            <v>40401</v>
          </cell>
          <cell r="H407" t="str">
            <v>Removed</v>
          </cell>
          <cell r="J407" t="str">
            <v>Other</v>
          </cell>
          <cell r="L407">
            <v>750</v>
          </cell>
        </row>
        <row r="408">
          <cell r="B408" t="str">
            <v>TDU2013</v>
          </cell>
          <cell r="D408" t="str">
            <v>TME</v>
          </cell>
          <cell r="G408">
            <v>41394</v>
          </cell>
          <cell r="H408" t="str">
            <v>Removed</v>
          </cell>
          <cell r="J408" t="str">
            <v>Dish</v>
          </cell>
          <cell r="L408">
            <v>2000</v>
          </cell>
        </row>
        <row r="409">
          <cell r="B409" t="str">
            <v>TDU2013</v>
          </cell>
          <cell r="D409" t="str">
            <v>TME</v>
          </cell>
          <cell r="G409">
            <v>40401</v>
          </cell>
          <cell r="H409" t="str">
            <v>Removed</v>
          </cell>
          <cell r="J409" t="str">
            <v>Other</v>
          </cell>
          <cell r="L409">
            <v>750</v>
          </cell>
        </row>
        <row r="410">
          <cell r="B410" t="str">
            <v>TDU2013</v>
          </cell>
          <cell r="D410" t="str">
            <v>TME</v>
          </cell>
          <cell r="G410">
            <v>41162</v>
          </cell>
          <cell r="H410" t="str">
            <v>Removed</v>
          </cell>
          <cell r="J410" t="str">
            <v>Panel</v>
          </cell>
          <cell r="L410">
            <v>750</v>
          </cell>
        </row>
        <row r="411">
          <cell r="B411" t="str">
            <v>TDU2013</v>
          </cell>
          <cell r="D411" t="str">
            <v>TME</v>
          </cell>
          <cell r="G411">
            <v>39707</v>
          </cell>
          <cell r="H411" t="str">
            <v>Installed</v>
          </cell>
          <cell r="J411" t="str">
            <v>Dish</v>
          </cell>
          <cell r="L411">
            <v>600</v>
          </cell>
        </row>
        <row r="412">
          <cell r="B412" t="str">
            <v>TDU2013</v>
          </cell>
          <cell r="D412" t="str">
            <v>TME</v>
          </cell>
          <cell r="G412">
            <v>41162</v>
          </cell>
          <cell r="H412" t="str">
            <v>Removed</v>
          </cell>
          <cell r="J412" t="str">
            <v>Panel</v>
          </cell>
          <cell r="L412">
            <v>700</v>
          </cell>
        </row>
        <row r="413">
          <cell r="B413" t="str">
            <v>TDU2013</v>
          </cell>
          <cell r="D413" t="str">
            <v>TME</v>
          </cell>
          <cell r="G413">
            <v>41394</v>
          </cell>
          <cell r="H413" t="str">
            <v>Removed</v>
          </cell>
          <cell r="J413" t="str">
            <v>Dish</v>
          </cell>
          <cell r="L413">
            <v>3000</v>
          </cell>
        </row>
        <row r="414">
          <cell r="B414" t="str">
            <v>TDU2013</v>
          </cell>
          <cell r="D414" t="str">
            <v>TME</v>
          </cell>
          <cell r="G414">
            <v>41162</v>
          </cell>
          <cell r="H414" t="str">
            <v>Removed</v>
          </cell>
          <cell r="J414" t="str">
            <v>Panel</v>
          </cell>
          <cell r="L414">
            <v>700</v>
          </cell>
        </row>
        <row r="415">
          <cell r="B415" t="str">
            <v>TDU2013</v>
          </cell>
          <cell r="D415" t="str">
            <v>TME</v>
          </cell>
          <cell r="G415">
            <v>41394</v>
          </cell>
          <cell r="H415" t="str">
            <v>Removed</v>
          </cell>
          <cell r="J415" t="str">
            <v>Dish</v>
          </cell>
          <cell r="L415">
            <v>2000</v>
          </cell>
        </row>
        <row r="416">
          <cell r="B416" t="str">
            <v>TDU2013</v>
          </cell>
          <cell r="D416" t="str">
            <v>TME</v>
          </cell>
          <cell r="G416">
            <v>40401</v>
          </cell>
          <cell r="H416" t="str">
            <v>Removed</v>
          </cell>
          <cell r="J416" t="str">
            <v>Dish</v>
          </cell>
          <cell r="L416">
            <v>600</v>
          </cell>
        </row>
        <row r="417">
          <cell r="B417" t="str">
            <v>TDU2013</v>
          </cell>
          <cell r="D417" t="str">
            <v>TME</v>
          </cell>
          <cell r="G417">
            <v>41394</v>
          </cell>
          <cell r="H417" t="str">
            <v>Removed</v>
          </cell>
          <cell r="J417" t="str">
            <v>Dish</v>
          </cell>
          <cell r="L417">
            <v>1500</v>
          </cell>
        </row>
        <row r="418">
          <cell r="B418" t="str">
            <v>TDU2013</v>
          </cell>
          <cell r="D418" t="str">
            <v>TME</v>
          </cell>
          <cell r="G418">
            <v>40401</v>
          </cell>
          <cell r="H418" t="str">
            <v>Removed</v>
          </cell>
          <cell r="J418" t="str">
            <v>Other</v>
          </cell>
          <cell r="L418">
            <v>750</v>
          </cell>
        </row>
        <row r="419">
          <cell r="B419" t="str">
            <v>TCK1015</v>
          </cell>
          <cell r="D419" t="str">
            <v>TME</v>
          </cell>
          <cell r="G419">
            <v>39632</v>
          </cell>
          <cell r="H419" t="str">
            <v>Installed</v>
          </cell>
          <cell r="J419" t="str">
            <v>Dish</v>
          </cell>
          <cell r="L419">
            <v>1200</v>
          </cell>
        </row>
        <row r="420">
          <cell r="B420" t="str">
            <v>TCK1015</v>
          </cell>
          <cell r="D420" t="str">
            <v>TME</v>
          </cell>
          <cell r="G420">
            <v>39632</v>
          </cell>
          <cell r="H420" t="str">
            <v>Installed</v>
          </cell>
          <cell r="J420" t="str">
            <v>Dish</v>
          </cell>
          <cell r="L420">
            <v>600</v>
          </cell>
        </row>
        <row r="421">
          <cell r="B421" t="str">
            <v>TCK1015</v>
          </cell>
          <cell r="D421" t="str">
            <v>TME</v>
          </cell>
          <cell r="G421">
            <v>39632</v>
          </cell>
          <cell r="H421" t="str">
            <v>Installed</v>
          </cell>
          <cell r="J421" t="str">
            <v>Dish</v>
          </cell>
          <cell r="L421">
            <v>600</v>
          </cell>
        </row>
        <row r="422">
          <cell r="B422" t="str">
            <v>TCK1015</v>
          </cell>
          <cell r="D422" t="str">
            <v>TME</v>
          </cell>
          <cell r="G422">
            <v>39632</v>
          </cell>
          <cell r="H422" t="str">
            <v>Installed</v>
          </cell>
          <cell r="J422" t="str">
            <v>Dish</v>
          </cell>
          <cell r="L422">
            <v>1500</v>
          </cell>
        </row>
        <row r="423">
          <cell r="B423" t="str">
            <v>TCK1015</v>
          </cell>
          <cell r="D423" t="str">
            <v>TME</v>
          </cell>
          <cell r="G423">
            <v>39632</v>
          </cell>
          <cell r="H423" t="str">
            <v>Installed</v>
          </cell>
          <cell r="J423" t="str">
            <v>Dish</v>
          </cell>
          <cell r="L423">
            <v>1200</v>
          </cell>
        </row>
        <row r="424">
          <cell r="B424" t="str">
            <v>TCK1015</v>
          </cell>
          <cell r="D424" t="str">
            <v>TME</v>
          </cell>
          <cell r="G424">
            <v>39632</v>
          </cell>
          <cell r="H424" t="str">
            <v>Installed</v>
          </cell>
          <cell r="J424" t="str">
            <v>Dish</v>
          </cell>
          <cell r="L424">
            <v>1000</v>
          </cell>
        </row>
        <row r="425">
          <cell r="B425" t="str">
            <v>TCK1015</v>
          </cell>
          <cell r="D425" t="str">
            <v>TME</v>
          </cell>
          <cell r="G425">
            <v>40255</v>
          </cell>
          <cell r="H425" t="str">
            <v>Installed</v>
          </cell>
          <cell r="J425" t="str">
            <v>Dish</v>
          </cell>
          <cell r="L425">
            <v>300</v>
          </cell>
        </row>
        <row r="426">
          <cell r="B426" t="str">
            <v>TLS4005</v>
          </cell>
          <cell r="D426" t="str">
            <v>TME</v>
          </cell>
          <cell r="G426">
            <v>39694</v>
          </cell>
          <cell r="H426" t="str">
            <v>Installed</v>
          </cell>
          <cell r="J426" t="str">
            <v>Dish</v>
          </cell>
          <cell r="L426">
            <v>1400</v>
          </cell>
        </row>
        <row r="427">
          <cell r="B427" t="str">
            <v>TKY1016</v>
          </cell>
          <cell r="D427" t="str">
            <v>TME</v>
          </cell>
          <cell r="G427">
            <v>39721</v>
          </cell>
          <cell r="H427" t="str">
            <v>Installed</v>
          </cell>
          <cell r="J427" t="str">
            <v>Dish</v>
          </cell>
          <cell r="L427">
            <v>1200</v>
          </cell>
        </row>
        <row r="428">
          <cell r="B428" t="str">
            <v>TKY1016</v>
          </cell>
          <cell r="D428" t="str">
            <v>TME</v>
          </cell>
          <cell r="G428">
            <v>39721</v>
          </cell>
          <cell r="H428" t="str">
            <v>Installed</v>
          </cell>
          <cell r="J428" t="str">
            <v>Dish</v>
          </cell>
          <cell r="L428">
            <v>600</v>
          </cell>
        </row>
        <row r="429">
          <cell r="B429" t="str">
            <v>TKY1016</v>
          </cell>
          <cell r="D429" t="str">
            <v>TME</v>
          </cell>
          <cell r="G429">
            <v>39721</v>
          </cell>
          <cell r="H429" t="str">
            <v>Installed</v>
          </cell>
          <cell r="J429" t="str">
            <v>Dish</v>
          </cell>
          <cell r="L429">
            <v>600</v>
          </cell>
        </row>
        <row r="430">
          <cell r="B430" t="str">
            <v>TKY1016</v>
          </cell>
          <cell r="D430" t="str">
            <v>TME</v>
          </cell>
          <cell r="G430">
            <v>39721</v>
          </cell>
          <cell r="H430" t="str">
            <v>Installed</v>
          </cell>
          <cell r="J430" t="str">
            <v>Dish</v>
          </cell>
          <cell r="L430">
            <v>2500</v>
          </cell>
        </row>
        <row r="431">
          <cell r="B431" t="str">
            <v>TKY1016</v>
          </cell>
          <cell r="D431" t="str">
            <v>TME</v>
          </cell>
          <cell r="G431">
            <v>39721</v>
          </cell>
          <cell r="H431" t="str">
            <v>Installed</v>
          </cell>
          <cell r="J431" t="str">
            <v>Dish</v>
          </cell>
          <cell r="L431">
            <v>2500</v>
          </cell>
        </row>
        <row r="432">
          <cell r="B432" t="str">
            <v>TKY1016</v>
          </cell>
          <cell r="D432" t="str">
            <v>TME</v>
          </cell>
          <cell r="G432">
            <v>41197</v>
          </cell>
          <cell r="H432" t="str">
            <v>Removed</v>
          </cell>
          <cell r="J432" t="str">
            <v>Panel</v>
          </cell>
          <cell r="L432">
            <v>950</v>
          </cell>
        </row>
        <row r="433">
          <cell r="B433" t="str">
            <v>TKY1016</v>
          </cell>
          <cell r="D433" t="str">
            <v>TME</v>
          </cell>
          <cell r="G433">
            <v>41197</v>
          </cell>
          <cell r="H433" t="str">
            <v>Removed</v>
          </cell>
          <cell r="J433" t="str">
            <v>Panel</v>
          </cell>
          <cell r="L433">
            <v>950</v>
          </cell>
        </row>
        <row r="434">
          <cell r="B434" t="str">
            <v>TKY1016</v>
          </cell>
          <cell r="D434" t="str">
            <v>TME</v>
          </cell>
          <cell r="G434">
            <v>39721</v>
          </cell>
          <cell r="H434" t="str">
            <v>Installed</v>
          </cell>
          <cell r="J434" t="str">
            <v>Dish</v>
          </cell>
          <cell r="L434">
            <v>600</v>
          </cell>
        </row>
        <row r="435">
          <cell r="B435" t="str">
            <v>TKY1016</v>
          </cell>
          <cell r="D435" t="str">
            <v>TME</v>
          </cell>
          <cell r="G435">
            <v>39721</v>
          </cell>
          <cell r="H435" t="str">
            <v>Installed</v>
          </cell>
          <cell r="J435" t="str">
            <v>Dish</v>
          </cell>
          <cell r="L435">
            <v>600</v>
          </cell>
        </row>
        <row r="436">
          <cell r="B436" t="str">
            <v>TKY1016</v>
          </cell>
          <cell r="D436" t="str">
            <v>TME</v>
          </cell>
          <cell r="G436">
            <v>40213</v>
          </cell>
          <cell r="H436" t="str">
            <v>Installed</v>
          </cell>
          <cell r="J436" t="str">
            <v>Dish</v>
          </cell>
          <cell r="L436">
            <v>1200</v>
          </cell>
        </row>
        <row r="437">
          <cell r="B437" t="str">
            <v>TKY1016</v>
          </cell>
          <cell r="D437" t="str">
            <v>TME</v>
          </cell>
          <cell r="G437">
            <v>40231</v>
          </cell>
          <cell r="H437" t="str">
            <v>Installed</v>
          </cell>
          <cell r="J437" t="str">
            <v>Dish</v>
          </cell>
          <cell r="L437">
            <v>1200</v>
          </cell>
        </row>
        <row r="438">
          <cell r="B438" t="str">
            <v>TKY1016</v>
          </cell>
          <cell r="D438" t="str">
            <v>TME</v>
          </cell>
          <cell r="G438">
            <v>40617</v>
          </cell>
          <cell r="H438" t="str">
            <v>Installed</v>
          </cell>
          <cell r="J438" t="str">
            <v>Dish</v>
          </cell>
          <cell r="L438">
            <v>600</v>
          </cell>
        </row>
        <row r="439">
          <cell r="B439" t="str">
            <v>TDU3004</v>
          </cell>
          <cell r="D439" t="str">
            <v>TME</v>
          </cell>
          <cell r="G439">
            <v>40406</v>
          </cell>
          <cell r="H439" t="str">
            <v>Removed</v>
          </cell>
          <cell r="J439" t="str">
            <v>Other</v>
          </cell>
          <cell r="L439">
            <v>760</v>
          </cell>
        </row>
        <row r="440">
          <cell r="B440" t="str">
            <v>TDU3004</v>
          </cell>
          <cell r="D440" t="str">
            <v>TME</v>
          </cell>
          <cell r="G440">
            <v>40406</v>
          </cell>
          <cell r="H440" t="str">
            <v>Removed</v>
          </cell>
          <cell r="J440" t="str">
            <v>Other</v>
          </cell>
          <cell r="L440">
            <v>760</v>
          </cell>
        </row>
        <row r="441">
          <cell r="B441" t="str">
            <v>TDU3004</v>
          </cell>
          <cell r="D441" t="str">
            <v>TME</v>
          </cell>
          <cell r="G441">
            <v>40406</v>
          </cell>
          <cell r="H441" t="str">
            <v>Removed</v>
          </cell>
          <cell r="J441" t="str">
            <v>Other</v>
          </cell>
          <cell r="L441">
            <v>760</v>
          </cell>
        </row>
        <row r="442">
          <cell r="B442" t="str">
            <v>TDU3004</v>
          </cell>
          <cell r="D442" t="str">
            <v>TME</v>
          </cell>
          <cell r="G442">
            <v>39554</v>
          </cell>
          <cell r="H442" t="str">
            <v>Installed</v>
          </cell>
          <cell r="J442" t="str">
            <v>Dish</v>
          </cell>
          <cell r="L442">
            <v>600</v>
          </cell>
        </row>
        <row r="443">
          <cell r="B443" t="str">
            <v>TDU3004</v>
          </cell>
          <cell r="D443" t="str">
            <v>TME</v>
          </cell>
          <cell r="G443">
            <v>40259</v>
          </cell>
          <cell r="H443" t="str">
            <v>Removed</v>
          </cell>
          <cell r="J443" t="str">
            <v>Other</v>
          </cell>
          <cell r="L443" t="str">
            <v>-</v>
          </cell>
        </row>
        <row r="444">
          <cell r="B444" t="str">
            <v>TDU3004</v>
          </cell>
          <cell r="D444" t="str">
            <v>TME</v>
          </cell>
          <cell r="G444">
            <v>40259</v>
          </cell>
          <cell r="H444" t="str">
            <v>Removed</v>
          </cell>
          <cell r="J444" t="str">
            <v>Other</v>
          </cell>
          <cell r="L444" t="str">
            <v>-</v>
          </cell>
        </row>
        <row r="445">
          <cell r="B445" t="str">
            <v>TDU3004</v>
          </cell>
          <cell r="D445" t="str">
            <v>TME</v>
          </cell>
          <cell r="G445">
            <v>40259</v>
          </cell>
          <cell r="H445" t="str">
            <v>Removed</v>
          </cell>
          <cell r="J445" t="str">
            <v>Other</v>
          </cell>
          <cell r="L445" t="str">
            <v>-</v>
          </cell>
        </row>
        <row r="446">
          <cell r="B446" t="str">
            <v>TDU3004</v>
          </cell>
          <cell r="D446" t="str">
            <v>TME</v>
          </cell>
          <cell r="G446">
            <v>40259</v>
          </cell>
          <cell r="H446" t="str">
            <v>Removed</v>
          </cell>
          <cell r="J446" t="str">
            <v>Other</v>
          </cell>
          <cell r="L446" t="str">
            <v>-</v>
          </cell>
        </row>
        <row r="447">
          <cell r="B447" t="str">
            <v>TDU3004</v>
          </cell>
          <cell r="D447" t="str">
            <v>TME</v>
          </cell>
          <cell r="G447">
            <v>41451</v>
          </cell>
          <cell r="H447" t="str">
            <v>Removed</v>
          </cell>
          <cell r="J447" t="str">
            <v>Dish</v>
          </cell>
          <cell r="L447">
            <v>300</v>
          </cell>
        </row>
        <row r="448">
          <cell r="B448" t="str">
            <v>TDU3004</v>
          </cell>
          <cell r="D448" t="str">
            <v>TME</v>
          </cell>
          <cell r="G448">
            <v>39825</v>
          </cell>
          <cell r="H448" t="str">
            <v>Installed</v>
          </cell>
          <cell r="J448" t="str">
            <v>Dish</v>
          </cell>
          <cell r="L448">
            <v>300</v>
          </cell>
        </row>
        <row r="449">
          <cell r="B449" t="str">
            <v>TDU3004</v>
          </cell>
          <cell r="D449" t="str">
            <v>TME</v>
          </cell>
          <cell r="G449">
            <v>39881</v>
          </cell>
          <cell r="H449" t="str">
            <v>Installed</v>
          </cell>
          <cell r="J449" t="str">
            <v>Dish</v>
          </cell>
          <cell r="L449">
            <v>240</v>
          </cell>
        </row>
        <row r="450">
          <cell r="B450" t="str">
            <v>TDU3004</v>
          </cell>
          <cell r="D450" t="str">
            <v>TME</v>
          </cell>
          <cell r="G450">
            <v>40071</v>
          </cell>
          <cell r="H450" t="str">
            <v>Installed</v>
          </cell>
          <cell r="J450" t="str">
            <v>Dish</v>
          </cell>
          <cell r="L450">
            <v>300</v>
          </cell>
        </row>
        <row r="451">
          <cell r="B451" t="str">
            <v>TKY1017</v>
          </cell>
          <cell r="D451" t="str">
            <v>TME</v>
          </cell>
          <cell r="G451">
            <v>39639</v>
          </cell>
          <cell r="H451" t="str">
            <v>Installed</v>
          </cell>
          <cell r="J451" t="str">
            <v>Dish</v>
          </cell>
          <cell r="L451">
            <v>700</v>
          </cell>
        </row>
        <row r="452">
          <cell r="B452" t="str">
            <v>TKY1017</v>
          </cell>
          <cell r="D452" t="str">
            <v>TME</v>
          </cell>
          <cell r="G452">
            <v>39639</v>
          </cell>
          <cell r="H452" t="str">
            <v>Installed</v>
          </cell>
          <cell r="J452" t="str">
            <v>Dish</v>
          </cell>
          <cell r="L452">
            <v>1200</v>
          </cell>
        </row>
        <row r="453">
          <cell r="B453" t="str">
            <v>TKY1017</v>
          </cell>
          <cell r="D453" t="str">
            <v>TME</v>
          </cell>
          <cell r="G453">
            <v>39639</v>
          </cell>
          <cell r="H453" t="str">
            <v>Installed</v>
          </cell>
          <cell r="J453" t="str">
            <v>Dish</v>
          </cell>
          <cell r="L453">
            <v>1200</v>
          </cell>
        </row>
        <row r="454">
          <cell r="B454" t="str">
            <v>TKY1017</v>
          </cell>
          <cell r="D454" t="str">
            <v>TME</v>
          </cell>
          <cell r="G454">
            <v>39639</v>
          </cell>
          <cell r="H454" t="str">
            <v>Installed</v>
          </cell>
          <cell r="J454" t="str">
            <v>Omni</v>
          </cell>
          <cell r="L454">
            <v>1500</v>
          </cell>
        </row>
        <row r="455">
          <cell r="B455" t="str">
            <v>TKY1017</v>
          </cell>
          <cell r="D455" t="str">
            <v>TME</v>
          </cell>
          <cell r="G455">
            <v>40241</v>
          </cell>
          <cell r="H455" t="str">
            <v>Installed</v>
          </cell>
          <cell r="J455" t="str">
            <v>Dish</v>
          </cell>
          <cell r="L455">
            <v>600</v>
          </cell>
        </row>
        <row r="456">
          <cell r="B456" t="str">
            <v>TKY2014</v>
          </cell>
          <cell r="D456" t="str">
            <v>TME</v>
          </cell>
          <cell r="G456">
            <v>39619</v>
          </cell>
          <cell r="H456" t="str">
            <v>Installed</v>
          </cell>
          <cell r="J456" t="str">
            <v>Dish</v>
          </cell>
          <cell r="L456">
            <v>2000</v>
          </cell>
        </row>
        <row r="457">
          <cell r="B457" t="str">
            <v>TKY2014</v>
          </cell>
          <cell r="D457" t="str">
            <v>TME</v>
          </cell>
          <cell r="G457">
            <v>39619</v>
          </cell>
          <cell r="H457" t="str">
            <v>Installed</v>
          </cell>
          <cell r="J457" t="str">
            <v>Dish</v>
          </cell>
          <cell r="L457">
            <v>300</v>
          </cell>
        </row>
        <row r="458">
          <cell r="B458" t="str">
            <v>TKY2014</v>
          </cell>
          <cell r="D458" t="str">
            <v>TME</v>
          </cell>
          <cell r="G458">
            <v>39622</v>
          </cell>
          <cell r="H458" t="str">
            <v>Installed</v>
          </cell>
          <cell r="J458" t="str">
            <v>Dish</v>
          </cell>
          <cell r="L458">
            <v>1200</v>
          </cell>
        </row>
        <row r="459">
          <cell r="B459" t="str">
            <v>TDL3005</v>
          </cell>
          <cell r="D459" t="str">
            <v>TME</v>
          </cell>
          <cell r="G459">
            <v>41400</v>
          </cell>
          <cell r="H459" t="str">
            <v>Removed</v>
          </cell>
          <cell r="J459" t="str">
            <v>Dish</v>
          </cell>
          <cell r="L459">
            <v>2400</v>
          </cell>
        </row>
        <row r="460">
          <cell r="B460" t="str">
            <v>TDL3005</v>
          </cell>
          <cell r="D460" t="str">
            <v>TME</v>
          </cell>
          <cell r="G460">
            <v>41400</v>
          </cell>
          <cell r="H460" t="str">
            <v>Installed</v>
          </cell>
          <cell r="J460" t="str">
            <v>Dish</v>
          </cell>
          <cell r="L460">
            <v>1200</v>
          </cell>
        </row>
        <row r="461">
          <cell r="B461" t="str">
            <v>TWX1018</v>
          </cell>
          <cell r="D461" t="str">
            <v>TME</v>
          </cell>
          <cell r="G461">
            <v>41101</v>
          </cell>
          <cell r="H461" t="str">
            <v>Removed</v>
          </cell>
          <cell r="J461" t="str">
            <v>Dish</v>
          </cell>
          <cell r="L461">
            <v>3600</v>
          </cell>
        </row>
        <row r="462">
          <cell r="B462" t="str">
            <v>TWX1018</v>
          </cell>
          <cell r="D462" t="str">
            <v>TME</v>
          </cell>
          <cell r="G462">
            <v>39702</v>
          </cell>
          <cell r="H462" t="str">
            <v>Installed</v>
          </cell>
          <cell r="J462" t="str">
            <v>Dish</v>
          </cell>
          <cell r="L462">
            <v>2000</v>
          </cell>
        </row>
        <row r="463">
          <cell r="B463" t="str">
            <v>TWX1018</v>
          </cell>
          <cell r="D463" t="str">
            <v>TME</v>
          </cell>
          <cell r="G463">
            <v>41101</v>
          </cell>
          <cell r="H463" t="str">
            <v>Removed</v>
          </cell>
          <cell r="J463" t="str">
            <v>Dish</v>
          </cell>
          <cell r="L463">
            <v>2500</v>
          </cell>
        </row>
        <row r="464">
          <cell r="B464" t="str">
            <v>TWX1018</v>
          </cell>
          <cell r="D464" t="str">
            <v>TME</v>
          </cell>
          <cell r="G464">
            <v>39702</v>
          </cell>
          <cell r="H464" t="str">
            <v>Installed</v>
          </cell>
          <cell r="J464" t="str">
            <v>Dish</v>
          </cell>
          <cell r="L464">
            <v>1200</v>
          </cell>
        </row>
        <row r="465">
          <cell r="B465" t="str">
            <v>TWX1018</v>
          </cell>
          <cell r="D465" t="str">
            <v>TME</v>
          </cell>
          <cell r="G465">
            <v>41101</v>
          </cell>
          <cell r="H465" t="str">
            <v>Removed</v>
          </cell>
          <cell r="J465" t="str">
            <v>Dish</v>
          </cell>
          <cell r="L465">
            <v>1000</v>
          </cell>
        </row>
        <row r="466">
          <cell r="B466" t="str">
            <v>TWX1018</v>
          </cell>
          <cell r="D466" t="str">
            <v>TME</v>
          </cell>
          <cell r="G466">
            <v>41101</v>
          </cell>
          <cell r="H466" t="str">
            <v>Removed</v>
          </cell>
          <cell r="J466" t="str">
            <v>Omni</v>
          </cell>
          <cell r="L466">
            <v>1000</v>
          </cell>
        </row>
        <row r="467">
          <cell r="B467" t="str">
            <v>TLH2015</v>
          </cell>
          <cell r="D467" t="str">
            <v>TME</v>
          </cell>
          <cell r="G467">
            <v>39548</v>
          </cell>
          <cell r="H467" t="str">
            <v>Installed</v>
          </cell>
          <cell r="J467" t="str">
            <v>Dish</v>
          </cell>
          <cell r="L467">
            <v>1200</v>
          </cell>
        </row>
        <row r="468">
          <cell r="B468" t="str">
            <v>TLH2015</v>
          </cell>
          <cell r="D468" t="str">
            <v>TME</v>
          </cell>
          <cell r="G468">
            <v>39548</v>
          </cell>
          <cell r="H468" t="str">
            <v>Installed</v>
          </cell>
          <cell r="J468" t="str">
            <v>Dish</v>
          </cell>
          <cell r="L468">
            <v>1000</v>
          </cell>
        </row>
        <row r="469">
          <cell r="B469" t="str">
            <v>TLH2015</v>
          </cell>
          <cell r="D469" t="str">
            <v>TME</v>
          </cell>
          <cell r="G469">
            <v>39548</v>
          </cell>
          <cell r="H469" t="str">
            <v>Request Remove</v>
          </cell>
          <cell r="J469" t="str">
            <v>Dish</v>
          </cell>
          <cell r="L469">
            <v>2000</v>
          </cell>
        </row>
        <row r="470">
          <cell r="B470" t="str">
            <v>TLH2015</v>
          </cell>
          <cell r="D470" t="str">
            <v>TME</v>
          </cell>
          <cell r="G470">
            <v>40864</v>
          </cell>
          <cell r="H470" t="str">
            <v>Removed</v>
          </cell>
          <cell r="J470" t="str">
            <v>Dish</v>
          </cell>
          <cell r="L470">
            <v>2600</v>
          </cell>
        </row>
        <row r="471">
          <cell r="B471" t="str">
            <v>TLH2015</v>
          </cell>
          <cell r="D471" t="str">
            <v>TME</v>
          </cell>
          <cell r="G471">
            <v>40864</v>
          </cell>
          <cell r="H471" t="str">
            <v>Removed</v>
          </cell>
          <cell r="J471" t="str">
            <v>Dish</v>
          </cell>
          <cell r="L471">
            <v>3200</v>
          </cell>
        </row>
        <row r="472">
          <cell r="B472" t="str">
            <v>TLH2015</v>
          </cell>
          <cell r="D472" t="str">
            <v>TME</v>
          </cell>
          <cell r="G472">
            <v>40255</v>
          </cell>
          <cell r="H472" t="str">
            <v>Removed</v>
          </cell>
          <cell r="J472" t="str">
            <v>Other</v>
          </cell>
          <cell r="L472">
            <v>200</v>
          </cell>
        </row>
        <row r="473">
          <cell r="B473" t="str">
            <v>TLH2015</v>
          </cell>
          <cell r="D473" t="str">
            <v>TME</v>
          </cell>
          <cell r="G473">
            <v>40255</v>
          </cell>
          <cell r="H473" t="str">
            <v>Removed</v>
          </cell>
          <cell r="J473" t="str">
            <v>Other</v>
          </cell>
          <cell r="L473">
            <v>200</v>
          </cell>
        </row>
        <row r="474">
          <cell r="B474" t="str">
            <v>TLH2015</v>
          </cell>
          <cell r="D474" t="str">
            <v>TME</v>
          </cell>
          <cell r="G474">
            <v>39548</v>
          </cell>
          <cell r="H474" t="str">
            <v>Removed</v>
          </cell>
          <cell r="J474" t="str">
            <v>Dish</v>
          </cell>
          <cell r="L474">
            <v>2400</v>
          </cell>
        </row>
        <row r="475">
          <cell r="B475" t="str">
            <v>TLH2015</v>
          </cell>
          <cell r="D475" t="str">
            <v>TME</v>
          </cell>
          <cell r="G475">
            <v>40255</v>
          </cell>
          <cell r="H475" t="str">
            <v>Removed</v>
          </cell>
          <cell r="J475" t="str">
            <v>Other</v>
          </cell>
          <cell r="L475">
            <v>200</v>
          </cell>
        </row>
        <row r="476">
          <cell r="B476" t="str">
            <v>TLH2015</v>
          </cell>
          <cell r="D476" t="str">
            <v>TME</v>
          </cell>
          <cell r="G476">
            <v>40255</v>
          </cell>
          <cell r="H476" t="str">
            <v>Removed</v>
          </cell>
          <cell r="J476" t="str">
            <v>Other</v>
          </cell>
          <cell r="L476">
            <v>200</v>
          </cell>
        </row>
        <row r="477">
          <cell r="B477" t="str">
            <v>TLH2015</v>
          </cell>
          <cell r="D477" t="str">
            <v>TME</v>
          </cell>
          <cell r="G477">
            <v>41192</v>
          </cell>
          <cell r="H477" t="str">
            <v>Removed</v>
          </cell>
          <cell r="J477" t="str">
            <v>Panel</v>
          </cell>
          <cell r="L477">
            <v>900</v>
          </cell>
        </row>
        <row r="478">
          <cell r="B478" t="str">
            <v>TLH2015</v>
          </cell>
          <cell r="D478" t="str">
            <v>TME</v>
          </cell>
          <cell r="G478">
            <v>41192</v>
          </cell>
          <cell r="H478" t="str">
            <v>Removed</v>
          </cell>
          <cell r="J478" t="str">
            <v>Panel</v>
          </cell>
          <cell r="L478">
            <v>900</v>
          </cell>
        </row>
        <row r="479">
          <cell r="B479" t="str">
            <v>TLH2015</v>
          </cell>
          <cell r="D479" t="str">
            <v>TME</v>
          </cell>
          <cell r="G479">
            <v>41192</v>
          </cell>
          <cell r="H479" t="str">
            <v>Removed</v>
          </cell>
          <cell r="J479" t="str">
            <v>Panel</v>
          </cell>
          <cell r="L479">
            <v>900</v>
          </cell>
        </row>
        <row r="480">
          <cell r="B480" t="str">
            <v>TLH2015</v>
          </cell>
          <cell r="D480" t="str">
            <v>TME</v>
          </cell>
          <cell r="G480">
            <v>39918</v>
          </cell>
          <cell r="H480" t="str">
            <v>Installed</v>
          </cell>
          <cell r="J480" t="str">
            <v>Dish</v>
          </cell>
          <cell r="L480">
            <v>240</v>
          </cell>
        </row>
        <row r="481">
          <cell r="B481" t="str">
            <v>TDL2016</v>
          </cell>
          <cell r="D481" t="str">
            <v>TME</v>
          </cell>
          <cell r="G481">
            <v>41213</v>
          </cell>
          <cell r="H481" t="str">
            <v>Removed</v>
          </cell>
          <cell r="J481" t="str">
            <v>Panel</v>
          </cell>
          <cell r="L481">
            <v>850</v>
          </cell>
        </row>
        <row r="482">
          <cell r="B482" t="str">
            <v>TDL2016</v>
          </cell>
          <cell r="D482" t="str">
            <v>TME</v>
          </cell>
          <cell r="G482">
            <v>39597</v>
          </cell>
          <cell r="H482" t="str">
            <v>Installed</v>
          </cell>
          <cell r="J482" t="str">
            <v>Dish</v>
          </cell>
          <cell r="L482">
            <v>1000</v>
          </cell>
        </row>
        <row r="483">
          <cell r="B483" t="str">
            <v>TDL2016</v>
          </cell>
          <cell r="D483" t="str">
            <v>TME</v>
          </cell>
          <cell r="G483">
            <v>41213</v>
          </cell>
          <cell r="H483" t="str">
            <v>Removed</v>
          </cell>
          <cell r="J483" t="str">
            <v>Panel</v>
          </cell>
          <cell r="L483">
            <v>850</v>
          </cell>
        </row>
        <row r="484">
          <cell r="B484" t="str">
            <v>TDL2016</v>
          </cell>
          <cell r="D484" t="str">
            <v>TME</v>
          </cell>
          <cell r="G484">
            <v>39597</v>
          </cell>
          <cell r="H484" t="str">
            <v>Installed</v>
          </cell>
          <cell r="J484" t="str">
            <v>Dish</v>
          </cell>
          <cell r="L484">
            <v>2000</v>
          </cell>
        </row>
        <row r="485">
          <cell r="B485" t="str">
            <v>TDL2016</v>
          </cell>
          <cell r="D485" t="str">
            <v>TME</v>
          </cell>
          <cell r="G485">
            <v>39597</v>
          </cell>
          <cell r="H485" t="str">
            <v>Installed</v>
          </cell>
          <cell r="J485" t="str">
            <v>Dish</v>
          </cell>
          <cell r="L485">
            <v>2500</v>
          </cell>
        </row>
        <row r="486">
          <cell r="B486" t="str">
            <v>TDL2016</v>
          </cell>
          <cell r="D486" t="str">
            <v>TME</v>
          </cell>
          <cell r="G486">
            <v>39597</v>
          </cell>
          <cell r="H486" t="str">
            <v>Installed</v>
          </cell>
          <cell r="J486" t="str">
            <v>Dish</v>
          </cell>
          <cell r="L486">
            <v>3000</v>
          </cell>
        </row>
        <row r="487">
          <cell r="B487" t="str">
            <v>TDL2016</v>
          </cell>
          <cell r="D487" t="str">
            <v>TME</v>
          </cell>
          <cell r="G487">
            <v>39597</v>
          </cell>
          <cell r="H487" t="str">
            <v>Installed</v>
          </cell>
          <cell r="J487" t="str">
            <v>Omni</v>
          </cell>
          <cell r="L487">
            <v>1000</v>
          </cell>
        </row>
        <row r="488">
          <cell r="B488" t="str">
            <v>TDL2016</v>
          </cell>
          <cell r="D488" t="str">
            <v>TME</v>
          </cell>
          <cell r="G488">
            <v>39597</v>
          </cell>
          <cell r="H488" t="str">
            <v>Installed</v>
          </cell>
          <cell r="J488" t="str">
            <v>Panel</v>
          </cell>
          <cell r="L488">
            <v>250</v>
          </cell>
        </row>
        <row r="489">
          <cell r="B489" t="str">
            <v>TDL2016</v>
          </cell>
          <cell r="D489" t="str">
            <v>TME</v>
          </cell>
          <cell r="G489">
            <v>39597</v>
          </cell>
          <cell r="H489" t="str">
            <v>Installed</v>
          </cell>
          <cell r="J489" t="str">
            <v>Omni</v>
          </cell>
          <cell r="L489">
            <v>1000</v>
          </cell>
        </row>
        <row r="490">
          <cell r="B490" t="str">
            <v>TDL2016</v>
          </cell>
          <cell r="D490" t="str">
            <v>TME</v>
          </cell>
          <cell r="G490">
            <v>41486</v>
          </cell>
          <cell r="H490" t="str">
            <v>Removed</v>
          </cell>
          <cell r="J490" t="str">
            <v>Dish</v>
          </cell>
          <cell r="L490">
            <v>600</v>
          </cell>
        </row>
        <row r="491">
          <cell r="B491" t="str">
            <v>TKE1019</v>
          </cell>
          <cell r="D491" t="str">
            <v>TME</v>
          </cell>
          <cell r="G491">
            <v>41225</v>
          </cell>
          <cell r="H491" t="str">
            <v>Removed</v>
          </cell>
          <cell r="J491" t="str">
            <v>Dish</v>
          </cell>
          <cell r="L491">
            <v>600</v>
          </cell>
        </row>
        <row r="492">
          <cell r="B492" t="str">
            <v>TKE1019</v>
          </cell>
          <cell r="D492" t="str">
            <v>TME</v>
          </cell>
          <cell r="G492">
            <v>39698</v>
          </cell>
          <cell r="H492" t="str">
            <v>Installed</v>
          </cell>
          <cell r="J492" t="str">
            <v>Dish</v>
          </cell>
          <cell r="L492">
            <v>600</v>
          </cell>
        </row>
        <row r="493">
          <cell r="B493" t="str">
            <v>TKE1019</v>
          </cell>
          <cell r="D493" t="str">
            <v>TME</v>
          </cell>
          <cell r="G493">
            <v>39698</v>
          </cell>
          <cell r="H493" t="str">
            <v>Installed</v>
          </cell>
          <cell r="J493" t="str">
            <v>Dish</v>
          </cell>
          <cell r="L493">
            <v>3200</v>
          </cell>
        </row>
        <row r="494">
          <cell r="B494" t="str">
            <v>TKE1019</v>
          </cell>
          <cell r="D494" t="str">
            <v>TME</v>
          </cell>
          <cell r="G494">
            <v>41225</v>
          </cell>
          <cell r="H494" t="str">
            <v>Removed</v>
          </cell>
          <cell r="J494" t="str">
            <v>Dish</v>
          </cell>
          <cell r="L494">
            <v>600</v>
          </cell>
        </row>
        <row r="495">
          <cell r="B495" t="str">
            <v>TKE1019</v>
          </cell>
          <cell r="D495" t="str">
            <v>TME</v>
          </cell>
          <cell r="G495">
            <v>39698</v>
          </cell>
          <cell r="H495" t="str">
            <v>Installed</v>
          </cell>
          <cell r="J495" t="str">
            <v>Dish</v>
          </cell>
          <cell r="L495">
            <v>600</v>
          </cell>
        </row>
        <row r="496">
          <cell r="B496" t="str">
            <v>TKE1019</v>
          </cell>
          <cell r="D496" t="str">
            <v>TME</v>
          </cell>
          <cell r="G496">
            <v>41225</v>
          </cell>
          <cell r="H496" t="str">
            <v>Removed</v>
          </cell>
          <cell r="J496" t="str">
            <v>Dish</v>
          </cell>
          <cell r="L496">
            <v>1200</v>
          </cell>
        </row>
        <row r="497">
          <cell r="B497" t="str">
            <v>TKE1019</v>
          </cell>
          <cell r="D497" t="str">
            <v>TME</v>
          </cell>
          <cell r="G497">
            <v>39698</v>
          </cell>
          <cell r="H497" t="str">
            <v>Installed</v>
          </cell>
          <cell r="J497" t="str">
            <v>Dish</v>
          </cell>
          <cell r="L497">
            <v>600</v>
          </cell>
        </row>
        <row r="498">
          <cell r="B498" t="str">
            <v>TKE1019</v>
          </cell>
          <cell r="D498" t="str">
            <v>TME</v>
          </cell>
          <cell r="G498">
            <v>41087</v>
          </cell>
          <cell r="H498" t="str">
            <v>Removed</v>
          </cell>
          <cell r="J498" t="str">
            <v>Dish</v>
          </cell>
          <cell r="L498">
            <v>2400</v>
          </cell>
        </row>
        <row r="499">
          <cell r="B499" t="str">
            <v>TKE1019</v>
          </cell>
          <cell r="D499" t="str">
            <v>TME</v>
          </cell>
          <cell r="G499">
            <v>41225</v>
          </cell>
          <cell r="H499" t="str">
            <v>Removed</v>
          </cell>
          <cell r="J499" t="str">
            <v>Dish</v>
          </cell>
          <cell r="L499">
            <v>600</v>
          </cell>
        </row>
        <row r="500">
          <cell r="B500" t="str">
            <v>TKE1019</v>
          </cell>
          <cell r="D500" t="str">
            <v>TME</v>
          </cell>
          <cell r="G500">
            <v>39698</v>
          </cell>
          <cell r="H500" t="str">
            <v>Installed</v>
          </cell>
          <cell r="J500" t="str">
            <v>Dish</v>
          </cell>
          <cell r="L500">
            <v>600</v>
          </cell>
        </row>
        <row r="501">
          <cell r="B501" t="str">
            <v>TKE1019</v>
          </cell>
          <cell r="D501" t="str">
            <v>TME</v>
          </cell>
          <cell r="G501">
            <v>39698</v>
          </cell>
          <cell r="H501" t="str">
            <v>Installed</v>
          </cell>
          <cell r="J501" t="str">
            <v>Dish</v>
          </cell>
          <cell r="L501">
            <v>600</v>
          </cell>
        </row>
        <row r="502">
          <cell r="B502" t="str">
            <v>TKE1019</v>
          </cell>
          <cell r="D502" t="str">
            <v>TME</v>
          </cell>
          <cell r="G502">
            <v>41225</v>
          </cell>
          <cell r="H502" t="str">
            <v>Removed</v>
          </cell>
          <cell r="J502" t="str">
            <v>Dish</v>
          </cell>
          <cell r="L502">
            <v>600</v>
          </cell>
        </row>
        <row r="503">
          <cell r="B503" t="str">
            <v>TKE1019</v>
          </cell>
          <cell r="D503" t="str">
            <v>TME</v>
          </cell>
          <cell r="G503">
            <v>41410</v>
          </cell>
          <cell r="H503" t="str">
            <v>Removed</v>
          </cell>
          <cell r="J503" t="str">
            <v>Dish</v>
          </cell>
          <cell r="L503">
            <v>3400</v>
          </cell>
        </row>
        <row r="504">
          <cell r="B504" t="str">
            <v>TKE1019</v>
          </cell>
          <cell r="D504" t="str">
            <v>TME</v>
          </cell>
          <cell r="G504">
            <v>41410</v>
          </cell>
          <cell r="H504" t="str">
            <v>Removed</v>
          </cell>
          <cell r="J504" t="str">
            <v>Dish</v>
          </cell>
          <cell r="L504">
            <v>3400</v>
          </cell>
        </row>
        <row r="505">
          <cell r="B505" t="str">
            <v>TKE1019</v>
          </cell>
          <cell r="D505" t="str">
            <v>TME</v>
          </cell>
          <cell r="G505">
            <v>41087</v>
          </cell>
          <cell r="H505" t="str">
            <v>Removed</v>
          </cell>
          <cell r="J505" t="str">
            <v>Omni</v>
          </cell>
          <cell r="L505">
            <v>1000</v>
          </cell>
        </row>
        <row r="506">
          <cell r="B506" t="str">
            <v>TKE1019</v>
          </cell>
          <cell r="D506" t="str">
            <v>TME</v>
          </cell>
          <cell r="G506">
            <v>40070</v>
          </cell>
          <cell r="H506" t="str">
            <v>Removed</v>
          </cell>
          <cell r="J506" t="str">
            <v>Dish</v>
          </cell>
          <cell r="L506">
            <v>1200</v>
          </cell>
        </row>
        <row r="507">
          <cell r="B507" t="str">
            <v>TKE1019</v>
          </cell>
          <cell r="D507" t="str">
            <v>TME</v>
          </cell>
          <cell r="G507">
            <v>40375</v>
          </cell>
          <cell r="H507" t="str">
            <v>Removed</v>
          </cell>
          <cell r="J507" t="str">
            <v>Dish</v>
          </cell>
          <cell r="L507">
            <v>600</v>
          </cell>
        </row>
        <row r="508">
          <cell r="B508" t="str">
            <v>TKE1019</v>
          </cell>
          <cell r="D508" t="str">
            <v>TME</v>
          </cell>
          <cell r="G508">
            <v>41170</v>
          </cell>
          <cell r="H508" t="str">
            <v>Licenced</v>
          </cell>
          <cell r="J508" t="str">
            <v>Dish</v>
          </cell>
          <cell r="L508">
            <v>600</v>
          </cell>
        </row>
        <row r="509">
          <cell r="B509" t="str">
            <v>TKE1019</v>
          </cell>
          <cell r="D509" t="str">
            <v>TME</v>
          </cell>
          <cell r="G509">
            <v>41520</v>
          </cell>
          <cell r="H509" t="str">
            <v>Installed</v>
          </cell>
          <cell r="J509" t="str">
            <v>Dish</v>
          </cell>
          <cell r="L509">
            <v>600</v>
          </cell>
        </row>
        <row r="510">
          <cell r="B510" t="str">
            <v>TCK2017</v>
          </cell>
          <cell r="D510" t="str">
            <v>TME</v>
          </cell>
          <cell r="G510">
            <v>39630</v>
          </cell>
          <cell r="H510" t="str">
            <v>Obsolete</v>
          </cell>
          <cell r="J510" t="str">
            <v>Dish</v>
          </cell>
          <cell r="L510">
            <v>3000</v>
          </cell>
        </row>
        <row r="511">
          <cell r="B511" t="str">
            <v>TCK2017</v>
          </cell>
          <cell r="D511" t="str">
            <v>TME</v>
          </cell>
          <cell r="G511">
            <v>39630</v>
          </cell>
          <cell r="H511" t="str">
            <v>Obsolete</v>
          </cell>
          <cell r="J511" t="str">
            <v>Dish</v>
          </cell>
          <cell r="L511">
            <v>3000</v>
          </cell>
        </row>
        <row r="512">
          <cell r="B512" t="str">
            <v>TCE3006</v>
          </cell>
          <cell r="D512" t="str">
            <v>TME</v>
          </cell>
          <cell r="G512">
            <v>39603</v>
          </cell>
          <cell r="H512" t="str">
            <v>Installed</v>
          </cell>
          <cell r="J512" t="str">
            <v>Dish</v>
          </cell>
          <cell r="L512">
            <v>600</v>
          </cell>
        </row>
        <row r="513">
          <cell r="B513" t="str">
            <v>TCE3006</v>
          </cell>
          <cell r="D513" t="str">
            <v>TME</v>
          </cell>
          <cell r="G513">
            <v>39603</v>
          </cell>
          <cell r="H513" t="str">
            <v>Installed</v>
          </cell>
          <cell r="J513" t="str">
            <v>Dish</v>
          </cell>
          <cell r="L513">
            <v>1200</v>
          </cell>
        </row>
        <row r="514">
          <cell r="B514" t="str">
            <v>TCE3006</v>
          </cell>
          <cell r="D514" t="str">
            <v>TME</v>
          </cell>
          <cell r="G514">
            <v>39603</v>
          </cell>
          <cell r="H514" t="str">
            <v>Installed</v>
          </cell>
          <cell r="J514" t="str">
            <v>Dish</v>
          </cell>
          <cell r="L514">
            <v>1200</v>
          </cell>
        </row>
        <row r="515">
          <cell r="B515" t="str">
            <v>TCE3006</v>
          </cell>
          <cell r="D515" t="str">
            <v>TME</v>
          </cell>
          <cell r="G515">
            <v>40212</v>
          </cell>
          <cell r="H515" t="str">
            <v>Removed</v>
          </cell>
          <cell r="J515" t="str">
            <v>Dish</v>
          </cell>
          <cell r="L515">
            <v>1200</v>
          </cell>
        </row>
        <row r="516">
          <cell r="B516" t="str">
            <v>TCE3006</v>
          </cell>
          <cell r="D516" t="str">
            <v>TME</v>
          </cell>
          <cell r="G516">
            <v>39603</v>
          </cell>
          <cell r="H516" t="str">
            <v>Installed</v>
          </cell>
          <cell r="J516" t="str">
            <v>Dish</v>
          </cell>
          <cell r="L516">
            <v>2000</v>
          </cell>
        </row>
        <row r="517">
          <cell r="B517" t="str">
            <v>TWX2018</v>
          </cell>
          <cell r="D517" t="str">
            <v>TME</v>
          </cell>
          <cell r="G517">
            <v>39608</v>
          </cell>
          <cell r="H517" t="str">
            <v>Installed</v>
          </cell>
          <cell r="J517" t="str">
            <v>Dish</v>
          </cell>
          <cell r="L517">
            <v>1200</v>
          </cell>
        </row>
        <row r="518">
          <cell r="B518" t="str">
            <v>TWX2018</v>
          </cell>
          <cell r="D518" t="str">
            <v>TME</v>
          </cell>
          <cell r="G518">
            <v>39608</v>
          </cell>
          <cell r="H518" t="str">
            <v>Obsolete</v>
          </cell>
          <cell r="J518" t="str">
            <v>Dish</v>
          </cell>
          <cell r="L518">
            <v>2500</v>
          </cell>
        </row>
        <row r="519">
          <cell r="B519" t="str">
            <v>TWX2018</v>
          </cell>
          <cell r="D519" t="str">
            <v>TME</v>
          </cell>
          <cell r="G519">
            <v>39608</v>
          </cell>
          <cell r="H519" t="str">
            <v>Obsolete</v>
          </cell>
          <cell r="J519" t="str">
            <v>Dish</v>
          </cell>
          <cell r="L519">
            <v>2500</v>
          </cell>
        </row>
        <row r="520">
          <cell r="B520" t="str">
            <v>TWX2018</v>
          </cell>
          <cell r="D520" t="str">
            <v>TME</v>
          </cell>
          <cell r="G520">
            <v>39608</v>
          </cell>
          <cell r="H520" t="str">
            <v>Obsolete</v>
          </cell>
          <cell r="J520" t="str">
            <v>Dish</v>
          </cell>
          <cell r="L520">
            <v>600</v>
          </cell>
        </row>
        <row r="521">
          <cell r="B521" t="str">
            <v>TWX2018</v>
          </cell>
          <cell r="D521" t="str">
            <v>TME</v>
          </cell>
          <cell r="G521">
            <v>40999</v>
          </cell>
          <cell r="H521" t="str">
            <v>Removed</v>
          </cell>
          <cell r="J521" t="str">
            <v>Dish</v>
          </cell>
          <cell r="L521">
            <v>600</v>
          </cell>
        </row>
        <row r="522">
          <cell r="B522" t="str">
            <v>TWX2018</v>
          </cell>
          <cell r="D522" t="str">
            <v>TME</v>
          </cell>
          <cell r="G522">
            <v>39608</v>
          </cell>
          <cell r="H522" t="str">
            <v>Installed</v>
          </cell>
          <cell r="J522" t="str">
            <v>Dish</v>
          </cell>
          <cell r="L522">
            <v>600</v>
          </cell>
        </row>
        <row r="523">
          <cell r="B523" t="str">
            <v>TCK2019</v>
          </cell>
          <cell r="D523" t="str">
            <v>TME</v>
          </cell>
          <cell r="G523">
            <v>39611</v>
          </cell>
          <cell r="H523" t="str">
            <v>Obsolete</v>
          </cell>
          <cell r="J523" t="str">
            <v>Dish</v>
          </cell>
          <cell r="L523">
            <v>2000</v>
          </cell>
        </row>
        <row r="524">
          <cell r="B524" t="str">
            <v>TMH1020</v>
          </cell>
          <cell r="D524" t="str">
            <v>TME</v>
          </cell>
          <cell r="G524">
            <v>39697</v>
          </cell>
          <cell r="H524" t="str">
            <v>Installed</v>
          </cell>
          <cell r="J524" t="str">
            <v>Dish</v>
          </cell>
          <cell r="L524">
            <v>2500</v>
          </cell>
        </row>
        <row r="525">
          <cell r="B525" t="str">
            <v>TMH1020</v>
          </cell>
          <cell r="D525" t="str">
            <v>TME</v>
          </cell>
          <cell r="G525">
            <v>39697</v>
          </cell>
          <cell r="H525" t="str">
            <v>Removed</v>
          </cell>
          <cell r="J525" t="str">
            <v>Dish</v>
          </cell>
          <cell r="L525">
            <v>2800</v>
          </cell>
        </row>
        <row r="526">
          <cell r="B526" t="str">
            <v>TMH1020</v>
          </cell>
          <cell r="D526" t="str">
            <v>TME</v>
          </cell>
          <cell r="G526">
            <v>39697</v>
          </cell>
          <cell r="H526" t="str">
            <v>Removed</v>
          </cell>
          <cell r="J526" t="str">
            <v>Dish</v>
          </cell>
          <cell r="L526">
            <v>2800</v>
          </cell>
        </row>
        <row r="527">
          <cell r="B527" t="str">
            <v>TMH1020</v>
          </cell>
          <cell r="D527" t="str">
            <v>TME</v>
          </cell>
          <cell r="G527">
            <v>39697</v>
          </cell>
          <cell r="H527" t="str">
            <v>Removed</v>
          </cell>
          <cell r="J527" t="str">
            <v>Dish</v>
          </cell>
          <cell r="L527">
            <v>2000</v>
          </cell>
        </row>
        <row r="528">
          <cell r="B528" t="str">
            <v>TMH1020</v>
          </cell>
          <cell r="D528" t="str">
            <v>TME</v>
          </cell>
          <cell r="G528">
            <v>39697</v>
          </cell>
          <cell r="H528" t="str">
            <v>Installed</v>
          </cell>
          <cell r="J528" t="str">
            <v>Dish</v>
          </cell>
          <cell r="L528">
            <v>1400</v>
          </cell>
        </row>
        <row r="529">
          <cell r="B529" t="str">
            <v>TMH1020</v>
          </cell>
          <cell r="D529" t="str">
            <v>TME</v>
          </cell>
          <cell r="G529">
            <v>41155</v>
          </cell>
          <cell r="H529" t="str">
            <v>Removed</v>
          </cell>
          <cell r="J529" t="str">
            <v>Panel</v>
          </cell>
          <cell r="L529">
            <v>800</v>
          </cell>
        </row>
        <row r="530">
          <cell r="B530" t="str">
            <v>TMH1020</v>
          </cell>
          <cell r="D530" t="str">
            <v>TME</v>
          </cell>
          <cell r="G530">
            <v>41155</v>
          </cell>
          <cell r="H530" t="str">
            <v>Removed</v>
          </cell>
          <cell r="J530" t="str">
            <v>Panel</v>
          </cell>
          <cell r="L530">
            <v>800</v>
          </cell>
        </row>
        <row r="531">
          <cell r="B531" t="str">
            <v>TMH1020</v>
          </cell>
          <cell r="D531" t="str">
            <v>TME</v>
          </cell>
          <cell r="G531">
            <v>39697</v>
          </cell>
          <cell r="H531" t="str">
            <v>Installed</v>
          </cell>
          <cell r="J531" t="str">
            <v>Dish</v>
          </cell>
          <cell r="L531">
            <v>600</v>
          </cell>
        </row>
        <row r="532">
          <cell r="B532" t="str">
            <v>TMH1020</v>
          </cell>
          <cell r="D532" t="str">
            <v>TME</v>
          </cell>
          <cell r="G532">
            <v>41155</v>
          </cell>
          <cell r="H532" t="str">
            <v>Removed</v>
          </cell>
          <cell r="J532" t="str">
            <v>Panel</v>
          </cell>
          <cell r="L532">
            <v>800</v>
          </cell>
        </row>
        <row r="533">
          <cell r="B533" t="str">
            <v>TMH1020</v>
          </cell>
          <cell r="D533" t="str">
            <v>TME</v>
          </cell>
          <cell r="G533">
            <v>39904</v>
          </cell>
          <cell r="H533" t="str">
            <v>Installed</v>
          </cell>
          <cell r="J533" t="str">
            <v>Dish</v>
          </cell>
          <cell r="L533">
            <v>600</v>
          </cell>
        </row>
        <row r="534">
          <cell r="B534" t="str">
            <v>TWD2020</v>
          </cell>
          <cell r="D534" t="str">
            <v>TME</v>
          </cell>
          <cell r="G534">
            <v>39609</v>
          </cell>
          <cell r="H534" t="str">
            <v>Installed</v>
          </cell>
          <cell r="J534" t="str">
            <v>Dish</v>
          </cell>
          <cell r="L534">
            <v>2500</v>
          </cell>
        </row>
        <row r="535">
          <cell r="B535" t="str">
            <v>TWD2020</v>
          </cell>
          <cell r="D535" t="str">
            <v>TME</v>
          </cell>
          <cell r="G535">
            <v>40057</v>
          </cell>
          <cell r="H535" t="str">
            <v>Removed</v>
          </cell>
          <cell r="J535" t="str">
            <v>Dish</v>
          </cell>
          <cell r="L535">
            <v>1500</v>
          </cell>
        </row>
        <row r="536">
          <cell r="B536" t="str">
            <v>TWD2020</v>
          </cell>
          <cell r="D536" t="str">
            <v>TME</v>
          </cell>
          <cell r="G536">
            <v>41254</v>
          </cell>
          <cell r="H536" t="str">
            <v>Removed</v>
          </cell>
          <cell r="J536" t="str">
            <v>Dish</v>
          </cell>
          <cell r="L536">
            <v>1500</v>
          </cell>
        </row>
        <row r="537">
          <cell r="B537" t="str">
            <v>TWD2020</v>
          </cell>
          <cell r="D537" t="str">
            <v>TME</v>
          </cell>
          <cell r="G537">
            <v>41254</v>
          </cell>
          <cell r="H537" t="str">
            <v>Removed</v>
          </cell>
          <cell r="J537" t="str">
            <v>Dish</v>
          </cell>
          <cell r="L537">
            <v>2500</v>
          </cell>
        </row>
        <row r="538">
          <cell r="B538" t="str">
            <v>TWD2020</v>
          </cell>
          <cell r="D538" t="str">
            <v>TME</v>
          </cell>
          <cell r="G538">
            <v>39609</v>
          </cell>
          <cell r="H538" t="str">
            <v>Installed</v>
          </cell>
          <cell r="J538" t="str">
            <v>Dish</v>
          </cell>
          <cell r="L538">
            <v>1200</v>
          </cell>
        </row>
        <row r="539">
          <cell r="B539" t="str">
            <v>TWD2020</v>
          </cell>
          <cell r="D539" t="str">
            <v>TME</v>
          </cell>
          <cell r="G539">
            <v>41254</v>
          </cell>
          <cell r="H539" t="str">
            <v>Removed</v>
          </cell>
          <cell r="J539" t="str">
            <v>Dish</v>
          </cell>
          <cell r="L539">
            <v>600</v>
          </cell>
        </row>
        <row r="540">
          <cell r="B540" t="str">
            <v>TWD2020</v>
          </cell>
          <cell r="D540" t="str">
            <v>TME</v>
          </cell>
          <cell r="G540">
            <v>39609</v>
          </cell>
          <cell r="H540" t="str">
            <v>Installed</v>
          </cell>
          <cell r="J540" t="str">
            <v>Dish</v>
          </cell>
          <cell r="L540">
            <v>600</v>
          </cell>
        </row>
        <row r="541">
          <cell r="B541" t="str">
            <v>TWD2020</v>
          </cell>
          <cell r="D541" t="str">
            <v>TME</v>
          </cell>
          <cell r="G541">
            <v>39609</v>
          </cell>
          <cell r="H541" t="str">
            <v>Installed</v>
          </cell>
          <cell r="J541" t="str">
            <v>Dish</v>
          </cell>
          <cell r="L541">
            <v>1200</v>
          </cell>
        </row>
        <row r="542">
          <cell r="B542" t="str">
            <v>TWD2020</v>
          </cell>
          <cell r="D542" t="str">
            <v>TME</v>
          </cell>
          <cell r="G542">
            <v>41254</v>
          </cell>
          <cell r="H542" t="str">
            <v>Removed</v>
          </cell>
          <cell r="J542" t="str">
            <v>Dish</v>
          </cell>
          <cell r="L542">
            <v>1000</v>
          </cell>
        </row>
        <row r="543">
          <cell r="B543" t="str">
            <v>TWD2020</v>
          </cell>
          <cell r="D543" t="str">
            <v>TME</v>
          </cell>
          <cell r="G543">
            <v>39609</v>
          </cell>
          <cell r="H543" t="str">
            <v>Installed</v>
          </cell>
          <cell r="J543" t="str">
            <v>Dish</v>
          </cell>
          <cell r="L543">
            <v>1500</v>
          </cell>
        </row>
        <row r="544">
          <cell r="B544" t="str">
            <v>TWD2020</v>
          </cell>
          <cell r="D544" t="str">
            <v>TME</v>
          </cell>
          <cell r="G544">
            <v>39609</v>
          </cell>
          <cell r="H544" t="str">
            <v>Installed</v>
          </cell>
          <cell r="J544" t="str">
            <v>Dish</v>
          </cell>
          <cell r="L544">
            <v>600</v>
          </cell>
        </row>
        <row r="545">
          <cell r="B545" t="str">
            <v>TWD2020</v>
          </cell>
          <cell r="D545" t="str">
            <v>TME</v>
          </cell>
          <cell r="G545">
            <v>41254</v>
          </cell>
          <cell r="H545" t="str">
            <v>Removed</v>
          </cell>
          <cell r="J545" t="str">
            <v>Panel</v>
          </cell>
          <cell r="L545">
            <v>600</v>
          </cell>
        </row>
        <row r="546">
          <cell r="B546" t="str">
            <v>TWD2020</v>
          </cell>
          <cell r="D546" t="str">
            <v>TME</v>
          </cell>
          <cell r="G546">
            <v>40234</v>
          </cell>
          <cell r="H546" t="str">
            <v>Removed</v>
          </cell>
          <cell r="J546" t="str">
            <v>Dish</v>
          </cell>
          <cell r="L546">
            <v>150</v>
          </cell>
        </row>
        <row r="547">
          <cell r="B547" t="str">
            <v>TWD2020</v>
          </cell>
          <cell r="D547" t="str">
            <v>TME</v>
          </cell>
          <cell r="G547">
            <v>40234</v>
          </cell>
          <cell r="H547" t="str">
            <v>Removed</v>
          </cell>
          <cell r="J547" t="str">
            <v>Dish</v>
          </cell>
          <cell r="L547">
            <v>150</v>
          </cell>
        </row>
        <row r="548">
          <cell r="B548" t="str">
            <v>TWD2020</v>
          </cell>
          <cell r="D548" t="str">
            <v>TME</v>
          </cell>
          <cell r="G548">
            <v>41254</v>
          </cell>
          <cell r="H548" t="str">
            <v>Removed</v>
          </cell>
          <cell r="J548" t="str">
            <v>Panel</v>
          </cell>
          <cell r="L548">
            <v>600</v>
          </cell>
        </row>
        <row r="549">
          <cell r="B549" t="str">
            <v>TWD2020</v>
          </cell>
          <cell r="D549" t="str">
            <v>TME</v>
          </cell>
          <cell r="G549">
            <v>39609</v>
          </cell>
          <cell r="H549" t="str">
            <v>Installed</v>
          </cell>
          <cell r="J549" t="str">
            <v>Dish</v>
          </cell>
          <cell r="L549">
            <v>1200</v>
          </cell>
        </row>
        <row r="550">
          <cell r="B550" t="str">
            <v>TWD2020</v>
          </cell>
          <cell r="D550" t="str">
            <v>TME</v>
          </cell>
          <cell r="G550">
            <v>41235</v>
          </cell>
          <cell r="H550" t="str">
            <v>Removed</v>
          </cell>
          <cell r="J550" t="str">
            <v>Omni</v>
          </cell>
          <cell r="L550">
            <v>900</v>
          </cell>
        </row>
        <row r="551">
          <cell r="B551" t="str">
            <v>TWD2020</v>
          </cell>
          <cell r="D551" t="str">
            <v>TME</v>
          </cell>
          <cell r="G551">
            <v>40057</v>
          </cell>
          <cell r="H551" t="str">
            <v>Installed</v>
          </cell>
          <cell r="J551" t="str">
            <v>Dish</v>
          </cell>
          <cell r="L551">
            <v>1800</v>
          </cell>
        </row>
        <row r="552">
          <cell r="B552" t="str">
            <v>TGY3007</v>
          </cell>
          <cell r="D552" t="str">
            <v>TME</v>
          </cell>
          <cell r="G552">
            <v>41113</v>
          </cell>
          <cell r="H552" t="str">
            <v>Removed</v>
          </cell>
          <cell r="J552" t="str">
            <v>Dish</v>
          </cell>
          <cell r="L552">
            <v>600</v>
          </cell>
        </row>
        <row r="553">
          <cell r="B553" t="str">
            <v>TGY3007</v>
          </cell>
          <cell r="D553" t="str">
            <v>TME</v>
          </cell>
          <cell r="G553">
            <v>41113</v>
          </cell>
          <cell r="H553" t="str">
            <v>Removed</v>
          </cell>
          <cell r="J553" t="str">
            <v>Dish</v>
          </cell>
          <cell r="L553">
            <v>600</v>
          </cell>
        </row>
        <row r="554">
          <cell r="B554" t="str">
            <v>TTP1021</v>
          </cell>
          <cell r="D554" t="str">
            <v>TME</v>
          </cell>
          <cell r="G554">
            <v>39679</v>
          </cell>
          <cell r="H554" t="str">
            <v>Installed</v>
          </cell>
          <cell r="J554" t="str">
            <v>Dish</v>
          </cell>
          <cell r="L554">
            <v>2000</v>
          </cell>
        </row>
        <row r="555">
          <cell r="B555" t="str">
            <v>TTP1021</v>
          </cell>
          <cell r="D555" t="str">
            <v>TME</v>
          </cell>
          <cell r="G555">
            <v>39679</v>
          </cell>
          <cell r="H555" t="str">
            <v>Installed</v>
          </cell>
          <cell r="J555" t="str">
            <v>Dish</v>
          </cell>
          <cell r="L555">
            <v>600</v>
          </cell>
        </row>
        <row r="556">
          <cell r="B556" t="str">
            <v>TTP1021</v>
          </cell>
          <cell r="D556" t="str">
            <v>TME</v>
          </cell>
          <cell r="G556">
            <v>39679</v>
          </cell>
          <cell r="H556" t="str">
            <v>Installed</v>
          </cell>
          <cell r="J556" t="str">
            <v>Dish</v>
          </cell>
          <cell r="L556">
            <v>600</v>
          </cell>
        </row>
        <row r="557">
          <cell r="B557" t="str">
            <v>TTP1021</v>
          </cell>
          <cell r="D557" t="str">
            <v>TME</v>
          </cell>
          <cell r="G557">
            <v>39679</v>
          </cell>
          <cell r="H557" t="str">
            <v>Installed</v>
          </cell>
          <cell r="J557" t="str">
            <v>Dish</v>
          </cell>
          <cell r="L557">
            <v>1200</v>
          </cell>
        </row>
        <row r="558">
          <cell r="B558" t="str">
            <v>TTP1021</v>
          </cell>
          <cell r="D558" t="str">
            <v>TME</v>
          </cell>
          <cell r="G558">
            <v>39679</v>
          </cell>
          <cell r="H558" t="str">
            <v>Installed</v>
          </cell>
          <cell r="J558" t="str">
            <v>Dish</v>
          </cell>
          <cell r="L558">
            <v>3000</v>
          </cell>
        </row>
        <row r="559">
          <cell r="B559" t="str">
            <v>TTP1021</v>
          </cell>
          <cell r="D559" t="str">
            <v>TME</v>
          </cell>
          <cell r="G559">
            <v>39679</v>
          </cell>
          <cell r="H559" t="str">
            <v>Installed</v>
          </cell>
          <cell r="J559" t="str">
            <v>Dish</v>
          </cell>
          <cell r="L559">
            <v>3000</v>
          </cell>
        </row>
        <row r="560">
          <cell r="B560" t="str">
            <v>TTP1021</v>
          </cell>
          <cell r="D560" t="str">
            <v>TME</v>
          </cell>
          <cell r="G560">
            <v>41222</v>
          </cell>
          <cell r="H560" t="str">
            <v>Removed</v>
          </cell>
          <cell r="J560" t="str">
            <v>Dish</v>
          </cell>
          <cell r="L560">
            <v>600</v>
          </cell>
        </row>
        <row r="561">
          <cell r="B561" t="str">
            <v>TTP1021</v>
          </cell>
          <cell r="D561" t="str">
            <v>TME</v>
          </cell>
          <cell r="G561">
            <v>39679</v>
          </cell>
          <cell r="H561" t="str">
            <v>Installed</v>
          </cell>
          <cell r="J561" t="str">
            <v>Dish</v>
          </cell>
          <cell r="L561">
            <v>600</v>
          </cell>
        </row>
        <row r="562">
          <cell r="B562" t="str">
            <v>TTP1021</v>
          </cell>
          <cell r="D562" t="str">
            <v>TME</v>
          </cell>
          <cell r="G562">
            <v>39679</v>
          </cell>
          <cell r="H562" t="str">
            <v>Installed</v>
          </cell>
          <cell r="J562" t="str">
            <v>Dish</v>
          </cell>
          <cell r="L562">
            <v>600</v>
          </cell>
        </row>
        <row r="563">
          <cell r="B563" t="str">
            <v>TTP1021</v>
          </cell>
          <cell r="D563" t="str">
            <v>TME</v>
          </cell>
          <cell r="G563">
            <v>39679</v>
          </cell>
          <cell r="H563" t="str">
            <v>Installed</v>
          </cell>
          <cell r="J563" t="str">
            <v>Dish</v>
          </cell>
          <cell r="L563">
            <v>600</v>
          </cell>
        </row>
        <row r="564">
          <cell r="B564" t="str">
            <v>TTP1021</v>
          </cell>
          <cell r="D564" t="str">
            <v>TME</v>
          </cell>
          <cell r="G564">
            <v>39679</v>
          </cell>
          <cell r="H564" t="str">
            <v>Obsolete</v>
          </cell>
          <cell r="J564" t="str">
            <v>Dish</v>
          </cell>
          <cell r="L564">
            <v>4000</v>
          </cell>
        </row>
        <row r="565">
          <cell r="B565" t="str">
            <v>TTP1021</v>
          </cell>
          <cell r="D565" t="str">
            <v>TME</v>
          </cell>
          <cell r="G565">
            <v>39679</v>
          </cell>
          <cell r="H565" t="str">
            <v>Installed</v>
          </cell>
          <cell r="J565" t="str">
            <v>Dish</v>
          </cell>
          <cell r="L565">
            <v>1200</v>
          </cell>
        </row>
        <row r="566">
          <cell r="B566" t="str">
            <v>TTP1021</v>
          </cell>
          <cell r="D566" t="str">
            <v>TME</v>
          </cell>
          <cell r="G566">
            <v>41107</v>
          </cell>
          <cell r="H566" t="str">
            <v>Removed</v>
          </cell>
          <cell r="J566" t="str">
            <v>Omni</v>
          </cell>
          <cell r="L566">
            <v>1000</v>
          </cell>
        </row>
        <row r="567">
          <cell r="B567" t="str">
            <v>TTP1021</v>
          </cell>
          <cell r="D567" t="str">
            <v>TME</v>
          </cell>
          <cell r="G567">
            <v>39958</v>
          </cell>
          <cell r="H567" t="str">
            <v>Installed</v>
          </cell>
          <cell r="J567" t="str">
            <v>Dish</v>
          </cell>
          <cell r="L567">
            <v>600</v>
          </cell>
        </row>
        <row r="568">
          <cell r="B568" t="str">
            <v>TWW3008</v>
          </cell>
          <cell r="D568" t="str">
            <v>TME</v>
          </cell>
          <cell r="G568">
            <v>39566</v>
          </cell>
          <cell r="H568" t="str">
            <v>Installed</v>
          </cell>
          <cell r="J568" t="str">
            <v>Dish</v>
          </cell>
          <cell r="L568">
            <v>600</v>
          </cell>
        </row>
        <row r="569">
          <cell r="B569" t="str">
            <v>TWW3008</v>
          </cell>
          <cell r="D569" t="str">
            <v>TME</v>
          </cell>
          <cell r="G569">
            <v>39566</v>
          </cell>
          <cell r="H569" t="str">
            <v>Installed</v>
          </cell>
          <cell r="J569" t="str">
            <v>Dish</v>
          </cell>
          <cell r="L569">
            <v>600</v>
          </cell>
        </row>
        <row r="570">
          <cell r="B570" t="str">
            <v>TWW3008</v>
          </cell>
          <cell r="D570" t="str">
            <v>TME</v>
          </cell>
          <cell r="G570">
            <v>39566</v>
          </cell>
          <cell r="H570" t="str">
            <v>Installed</v>
          </cell>
          <cell r="J570" t="str">
            <v>Dish</v>
          </cell>
          <cell r="L570">
            <v>1200</v>
          </cell>
        </row>
        <row r="571">
          <cell r="B571" t="str">
            <v>TWW3008</v>
          </cell>
          <cell r="D571" t="str">
            <v>TME</v>
          </cell>
          <cell r="G571">
            <v>41100</v>
          </cell>
          <cell r="H571" t="str">
            <v>Removed</v>
          </cell>
          <cell r="J571" t="str">
            <v>Other</v>
          </cell>
          <cell r="L571" t="str">
            <v>-</v>
          </cell>
        </row>
        <row r="572">
          <cell r="B572" t="str">
            <v>TWW3008</v>
          </cell>
          <cell r="D572" t="str">
            <v>TME</v>
          </cell>
          <cell r="G572">
            <v>41100</v>
          </cell>
          <cell r="H572" t="str">
            <v>Removed</v>
          </cell>
          <cell r="J572" t="str">
            <v>Dish</v>
          </cell>
          <cell r="L572">
            <v>6000</v>
          </cell>
        </row>
        <row r="573">
          <cell r="B573" t="str">
            <v>TWW3008</v>
          </cell>
          <cell r="D573" t="str">
            <v>TME</v>
          </cell>
          <cell r="G573">
            <v>41100</v>
          </cell>
          <cell r="H573" t="str">
            <v>Removed</v>
          </cell>
          <cell r="J573" t="str">
            <v>Dish</v>
          </cell>
          <cell r="L573">
            <v>3000</v>
          </cell>
        </row>
        <row r="574">
          <cell r="B574" t="str">
            <v>TWW3008</v>
          </cell>
          <cell r="D574" t="str">
            <v>TME</v>
          </cell>
          <cell r="G574">
            <v>39566</v>
          </cell>
          <cell r="H574" t="str">
            <v>Obsolete</v>
          </cell>
          <cell r="J574" t="str">
            <v>Dish</v>
          </cell>
          <cell r="L574">
            <v>2000</v>
          </cell>
        </row>
        <row r="575">
          <cell r="B575" t="str">
            <v>TWW3008</v>
          </cell>
          <cell r="D575" t="str">
            <v>TME</v>
          </cell>
          <cell r="G575">
            <v>39566</v>
          </cell>
          <cell r="H575" t="str">
            <v>Installed</v>
          </cell>
          <cell r="J575" t="str">
            <v>Dish</v>
          </cell>
          <cell r="L575">
            <v>600</v>
          </cell>
        </row>
        <row r="576">
          <cell r="B576" t="str">
            <v>TWW3008</v>
          </cell>
          <cell r="D576" t="str">
            <v>TME</v>
          </cell>
          <cell r="G576">
            <v>39566</v>
          </cell>
          <cell r="H576" t="str">
            <v>Installed</v>
          </cell>
          <cell r="J576" t="str">
            <v>Dish</v>
          </cell>
          <cell r="L576">
            <v>1200</v>
          </cell>
        </row>
        <row r="577">
          <cell r="B577" t="str">
            <v>TWW3008</v>
          </cell>
          <cell r="D577" t="str">
            <v>TME</v>
          </cell>
          <cell r="G577">
            <v>39566</v>
          </cell>
          <cell r="H577" t="str">
            <v>Obsolete</v>
          </cell>
          <cell r="J577" t="str">
            <v>Dish</v>
          </cell>
          <cell r="L577">
            <v>2000</v>
          </cell>
        </row>
        <row r="578">
          <cell r="B578" t="str">
            <v>TWW3008</v>
          </cell>
          <cell r="D578" t="str">
            <v>TME</v>
          </cell>
          <cell r="G578">
            <v>41100</v>
          </cell>
          <cell r="H578" t="str">
            <v>Removed</v>
          </cell>
          <cell r="J578" t="str">
            <v>Panel</v>
          </cell>
          <cell r="L578">
            <v>750</v>
          </cell>
        </row>
        <row r="579">
          <cell r="B579" t="str">
            <v>TWW3008</v>
          </cell>
          <cell r="D579" t="str">
            <v>TME</v>
          </cell>
          <cell r="G579">
            <v>41162</v>
          </cell>
          <cell r="H579" t="str">
            <v>Prop Removal</v>
          </cell>
          <cell r="J579" t="str">
            <v>Dish</v>
          </cell>
          <cell r="L579">
            <v>600</v>
          </cell>
        </row>
        <row r="580">
          <cell r="B580" t="str">
            <v>TWW3008</v>
          </cell>
          <cell r="D580" t="str">
            <v>TME</v>
          </cell>
          <cell r="G580">
            <v>40071</v>
          </cell>
          <cell r="H580" t="str">
            <v>Installed</v>
          </cell>
          <cell r="J580" t="str">
            <v>Dish</v>
          </cell>
          <cell r="L580">
            <v>600</v>
          </cell>
        </row>
        <row r="581">
          <cell r="B581" t="str">
            <v>TWW3008</v>
          </cell>
          <cell r="D581" t="str">
            <v>TME</v>
          </cell>
          <cell r="G581">
            <v>41291</v>
          </cell>
          <cell r="H581" t="str">
            <v>Installed</v>
          </cell>
          <cell r="J581" t="str">
            <v>Dish</v>
          </cell>
          <cell r="L581">
            <v>900</v>
          </cell>
        </row>
        <row r="582">
          <cell r="B582" t="str">
            <v>TWW3008</v>
          </cell>
          <cell r="D582" t="str">
            <v>TME</v>
          </cell>
          <cell r="G582">
            <v>41291</v>
          </cell>
          <cell r="H582" t="str">
            <v>Installed</v>
          </cell>
          <cell r="J582" t="str">
            <v>Dish</v>
          </cell>
          <cell r="L582">
            <v>600</v>
          </cell>
        </row>
        <row r="583">
          <cell r="B583" t="str">
            <v>TDL2021</v>
          </cell>
          <cell r="D583" t="str">
            <v>TME</v>
          </cell>
          <cell r="G583">
            <v>41355</v>
          </cell>
          <cell r="H583" t="str">
            <v>Removed</v>
          </cell>
          <cell r="J583" t="str">
            <v>Dish</v>
          </cell>
          <cell r="L583">
            <v>1200</v>
          </cell>
        </row>
        <row r="584">
          <cell r="B584" t="str">
            <v>TKY1022</v>
          </cell>
          <cell r="D584" t="str">
            <v>TME</v>
          </cell>
          <cell r="G584">
            <v>39723</v>
          </cell>
          <cell r="H584" t="str">
            <v>Installed</v>
          </cell>
          <cell r="J584" t="str">
            <v>Dish</v>
          </cell>
          <cell r="L584">
            <v>2000</v>
          </cell>
        </row>
        <row r="585">
          <cell r="B585" t="str">
            <v>TKY1022</v>
          </cell>
          <cell r="D585" t="str">
            <v>TME</v>
          </cell>
          <cell r="G585">
            <v>39741</v>
          </cell>
          <cell r="H585" t="str">
            <v>Installed</v>
          </cell>
          <cell r="J585" t="str">
            <v>Dish</v>
          </cell>
          <cell r="L585">
            <v>1200</v>
          </cell>
        </row>
        <row r="586">
          <cell r="B586" t="str">
            <v>TKY1022</v>
          </cell>
          <cell r="D586" t="str">
            <v>TME</v>
          </cell>
          <cell r="G586">
            <v>39723</v>
          </cell>
          <cell r="H586" t="str">
            <v>Removed</v>
          </cell>
          <cell r="J586" t="str">
            <v>Dish</v>
          </cell>
          <cell r="L586">
            <v>600</v>
          </cell>
        </row>
        <row r="587">
          <cell r="B587" t="str">
            <v>TKY1022</v>
          </cell>
          <cell r="D587" t="str">
            <v>TME</v>
          </cell>
          <cell r="G587">
            <v>39723</v>
          </cell>
          <cell r="H587" t="str">
            <v>Installed</v>
          </cell>
          <cell r="J587" t="str">
            <v>Omni</v>
          </cell>
          <cell r="L587">
            <v>800</v>
          </cell>
        </row>
        <row r="588">
          <cell r="B588" t="str">
            <v>TKY1022</v>
          </cell>
          <cell r="D588" t="str">
            <v>TME</v>
          </cell>
          <cell r="G588">
            <v>39723</v>
          </cell>
          <cell r="H588" t="str">
            <v>Installed</v>
          </cell>
          <cell r="J588" t="str">
            <v>Dish</v>
          </cell>
          <cell r="L588">
            <v>1200</v>
          </cell>
        </row>
        <row r="589">
          <cell r="B589" t="str">
            <v>TKY1022</v>
          </cell>
          <cell r="D589" t="str">
            <v>TME</v>
          </cell>
          <cell r="G589">
            <v>39723</v>
          </cell>
          <cell r="H589" t="str">
            <v>Installed</v>
          </cell>
          <cell r="J589" t="str">
            <v>Dish</v>
          </cell>
          <cell r="L589">
            <v>2600</v>
          </cell>
        </row>
        <row r="590">
          <cell r="B590" t="str">
            <v>TKY1022</v>
          </cell>
          <cell r="D590" t="str">
            <v>TME</v>
          </cell>
          <cell r="G590">
            <v>39723</v>
          </cell>
          <cell r="H590" t="str">
            <v>Installed</v>
          </cell>
          <cell r="J590" t="str">
            <v>Dish</v>
          </cell>
          <cell r="L590">
            <v>600</v>
          </cell>
        </row>
        <row r="591">
          <cell r="B591" t="str">
            <v>TKY1022</v>
          </cell>
          <cell r="D591" t="str">
            <v>TME</v>
          </cell>
          <cell r="G591">
            <v>40042</v>
          </cell>
          <cell r="H591" t="str">
            <v>Removed</v>
          </cell>
          <cell r="J591" t="str">
            <v>Dish</v>
          </cell>
          <cell r="L591">
            <v>700</v>
          </cell>
        </row>
        <row r="592">
          <cell r="B592" t="str">
            <v>TKY1022</v>
          </cell>
          <cell r="D592" t="str">
            <v>TME</v>
          </cell>
          <cell r="G592">
            <v>39723</v>
          </cell>
          <cell r="H592" t="str">
            <v>Installed</v>
          </cell>
          <cell r="J592" t="str">
            <v>Dish</v>
          </cell>
          <cell r="L592">
            <v>600</v>
          </cell>
        </row>
        <row r="593">
          <cell r="B593" t="str">
            <v>TKY1022</v>
          </cell>
          <cell r="D593" t="str">
            <v>TME</v>
          </cell>
          <cell r="G593">
            <v>39723</v>
          </cell>
          <cell r="H593" t="str">
            <v>Installed</v>
          </cell>
          <cell r="J593" t="str">
            <v>Dish</v>
          </cell>
          <cell r="L593">
            <v>600</v>
          </cell>
        </row>
        <row r="594">
          <cell r="B594" t="str">
            <v>TKY1022</v>
          </cell>
          <cell r="D594" t="str">
            <v>TME</v>
          </cell>
          <cell r="G594">
            <v>39723</v>
          </cell>
          <cell r="H594" t="str">
            <v>Installed</v>
          </cell>
          <cell r="J594" t="str">
            <v>Dish</v>
          </cell>
          <cell r="L594">
            <v>600</v>
          </cell>
        </row>
        <row r="595">
          <cell r="B595" t="str">
            <v>TKY1022</v>
          </cell>
          <cell r="D595" t="str">
            <v>TME</v>
          </cell>
          <cell r="G595">
            <v>39723</v>
          </cell>
          <cell r="H595" t="str">
            <v>Installed</v>
          </cell>
          <cell r="J595" t="str">
            <v>Dish</v>
          </cell>
          <cell r="L595">
            <v>1400</v>
          </cell>
        </row>
        <row r="596">
          <cell r="B596" t="str">
            <v>TKY1022</v>
          </cell>
          <cell r="D596" t="str">
            <v>TME</v>
          </cell>
          <cell r="G596">
            <v>41212</v>
          </cell>
          <cell r="H596" t="str">
            <v>Removed</v>
          </cell>
          <cell r="J596" t="str">
            <v>Panel</v>
          </cell>
          <cell r="L596">
            <v>950</v>
          </cell>
        </row>
        <row r="597">
          <cell r="B597" t="str">
            <v>TKY1022</v>
          </cell>
          <cell r="D597" t="str">
            <v>TME</v>
          </cell>
          <cell r="G597">
            <v>39723</v>
          </cell>
          <cell r="H597" t="str">
            <v>Installed</v>
          </cell>
          <cell r="J597" t="str">
            <v>Omni</v>
          </cell>
          <cell r="L597">
            <v>2000</v>
          </cell>
        </row>
        <row r="598">
          <cell r="B598" t="str">
            <v>TKY1022</v>
          </cell>
          <cell r="D598" t="str">
            <v>TME</v>
          </cell>
          <cell r="G598">
            <v>40042</v>
          </cell>
          <cell r="H598" t="str">
            <v>Installed</v>
          </cell>
          <cell r="J598" t="str">
            <v>Dish</v>
          </cell>
          <cell r="L598">
            <v>600</v>
          </cell>
        </row>
        <row r="599">
          <cell r="B599" t="str">
            <v>TKY1022</v>
          </cell>
          <cell r="D599" t="str">
            <v>TME</v>
          </cell>
          <cell r="G599">
            <v>40042</v>
          </cell>
          <cell r="H599" t="str">
            <v>Installed</v>
          </cell>
          <cell r="J599" t="str">
            <v>Dish</v>
          </cell>
          <cell r="L599">
            <v>600</v>
          </cell>
        </row>
        <row r="600">
          <cell r="B600" t="str">
            <v>TKY1022</v>
          </cell>
          <cell r="D600" t="str">
            <v>TME</v>
          </cell>
          <cell r="G600">
            <v>39437</v>
          </cell>
          <cell r="H600" t="str">
            <v>Installed</v>
          </cell>
          <cell r="J600" t="str">
            <v>Dish</v>
          </cell>
          <cell r="L600">
            <v>1800</v>
          </cell>
        </row>
        <row r="601">
          <cell r="B601" t="str">
            <v>TKY1022</v>
          </cell>
          <cell r="D601" t="str">
            <v>TME</v>
          </cell>
          <cell r="G601">
            <v>39437</v>
          </cell>
          <cell r="H601" t="str">
            <v>Installed</v>
          </cell>
          <cell r="J601" t="str">
            <v>Dish</v>
          </cell>
          <cell r="L601">
            <v>1800</v>
          </cell>
        </row>
        <row r="602">
          <cell r="B602" t="str">
            <v>TGY2022</v>
          </cell>
          <cell r="D602" t="str">
            <v>TME</v>
          </cell>
          <cell r="G602">
            <v>39647</v>
          </cell>
          <cell r="H602" t="str">
            <v>Installed</v>
          </cell>
          <cell r="J602" t="str">
            <v>Dish</v>
          </cell>
          <cell r="L602">
            <v>1500</v>
          </cell>
        </row>
        <row r="603">
          <cell r="B603" t="str">
            <v>TGY2022</v>
          </cell>
          <cell r="D603" t="str">
            <v>TME</v>
          </cell>
          <cell r="G603">
            <v>39647</v>
          </cell>
          <cell r="H603" t="str">
            <v>Installed</v>
          </cell>
          <cell r="J603" t="str">
            <v>Dish</v>
          </cell>
          <cell r="L603">
            <v>1500</v>
          </cell>
        </row>
        <row r="604">
          <cell r="B604" t="str">
            <v>TGY2023</v>
          </cell>
          <cell r="D604" t="str">
            <v>TME</v>
          </cell>
          <cell r="G604">
            <v>39646</v>
          </cell>
          <cell r="H604" t="str">
            <v>Installed</v>
          </cell>
          <cell r="J604" t="str">
            <v>Dish</v>
          </cell>
          <cell r="L604">
            <v>1500</v>
          </cell>
        </row>
        <row r="605">
          <cell r="B605" t="str">
            <v>TGY2023</v>
          </cell>
          <cell r="D605" t="str">
            <v>TME</v>
          </cell>
          <cell r="G605">
            <v>39646</v>
          </cell>
          <cell r="H605" t="str">
            <v>Installed</v>
          </cell>
          <cell r="J605" t="str">
            <v>Dish</v>
          </cell>
          <cell r="L605">
            <v>1500</v>
          </cell>
        </row>
        <row r="606">
          <cell r="B606" t="str">
            <v>TGY4006</v>
          </cell>
          <cell r="D606" t="str">
            <v>TME</v>
          </cell>
          <cell r="G606">
            <v>39692</v>
          </cell>
          <cell r="H606" t="str">
            <v>Prop Removal</v>
          </cell>
          <cell r="J606" t="str">
            <v>Dish</v>
          </cell>
          <cell r="L606">
            <v>2000</v>
          </cell>
        </row>
        <row r="607">
          <cell r="B607" t="str">
            <v>TKY2024</v>
          </cell>
          <cell r="D607" t="str">
            <v>TME</v>
          </cell>
          <cell r="G607">
            <v>39637</v>
          </cell>
          <cell r="H607" t="str">
            <v>Installed</v>
          </cell>
          <cell r="J607" t="str">
            <v>Dish</v>
          </cell>
          <cell r="L607">
            <v>1200</v>
          </cell>
        </row>
        <row r="608">
          <cell r="B608" t="str">
            <v>TKY2024</v>
          </cell>
          <cell r="D608" t="str">
            <v>TME</v>
          </cell>
          <cell r="G608">
            <v>39637</v>
          </cell>
          <cell r="H608" t="str">
            <v>Installed</v>
          </cell>
          <cell r="J608" t="str">
            <v>Dish</v>
          </cell>
          <cell r="L608">
            <v>2000</v>
          </cell>
        </row>
        <row r="609">
          <cell r="B609" t="str">
            <v>TKY2024</v>
          </cell>
          <cell r="D609" t="str">
            <v>TME</v>
          </cell>
          <cell r="G609">
            <v>39637</v>
          </cell>
          <cell r="H609" t="str">
            <v>Installed</v>
          </cell>
          <cell r="J609" t="str">
            <v>Dish</v>
          </cell>
          <cell r="L609">
            <v>1200</v>
          </cell>
        </row>
        <row r="610">
          <cell r="B610" t="str">
            <v>TKY2024</v>
          </cell>
          <cell r="D610" t="str">
            <v>TME</v>
          </cell>
          <cell r="G610">
            <v>40065</v>
          </cell>
          <cell r="H610" t="str">
            <v>Installed</v>
          </cell>
          <cell r="J610" t="str">
            <v>Dish</v>
          </cell>
          <cell r="L610">
            <v>600</v>
          </cell>
        </row>
        <row r="611">
          <cell r="B611" t="str">
            <v>TMO1023</v>
          </cell>
          <cell r="D611" t="str">
            <v>TME</v>
          </cell>
          <cell r="G611">
            <v>39904</v>
          </cell>
          <cell r="H611" t="str">
            <v>Installed</v>
          </cell>
          <cell r="J611" t="str">
            <v>Dish</v>
          </cell>
          <cell r="L611">
            <v>1200</v>
          </cell>
        </row>
        <row r="612">
          <cell r="B612" t="str">
            <v>TMO1023</v>
          </cell>
          <cell r="D612" t="str">
            <v>TME</v>
          </cell>
          <cell r="G612">
            <v>41120</v>
          </cell>
          <cell r="H612" t="str">
            <v>Removed</v>
          </cell>
          <cell r="J612" t="str">
            <v>Panel</v>
          </cell>
          <cell r="L612">
            <v>750</v>
          </cell>
        </row>
        <row r="613">
          <cell r="B613" t="str">
            <v>TMO1023</v>
          </cell>
          <cell r="D613" t="str">
            <v>TME</v>
          </cell>
          <cell r="G613">
            <v>41120</v>
          </cell>
          <cell r="H613" t="str">
            <v>Removed</v>
          </cell>
          <cell r="J613" t="str">
            <v>Panel</v>
          </cell>
          <cell r="L613">
            <v>750</v>
          </cell>
        </row>
        <row r="614">
          <cell r="B614" t="str">
            <v>TMO1023</v>
          </cell>
          <cell r="D614" t="str">
            <v>TME</v>
          </cell>
          <cell r="G614">
            <v>41120</v>
          </cell>
          <cell r="H614" t="str">
            <v>Removed</v>
          </cell>
          <cell r="J614" t="str">
            <v>Panel</v>
          </cell>
          <cell r="L614">
            <v>750</v>
          </cell>
        </row>
        <row r="615">
          <cell r="B615" t="str">
            <v>TMO1023</v>
          </cell>
          <cell r="D615" t="str">
            <v>TME</v>
          </cell>
          <cell r="G615">
            <v>39904</v>
          </cell>
          <cell r="H615" t="str">
            <v>Installed</v>
          </cell>
          <cell r="J615" t="str">
            <v>Dish</v>
          </cell>
          <cell r="L615">
            <v>600</v>
          </cell>
        </row>
        <row r="616">
          <cell r="B616" t="str">
            <v>TMO1023</v>
          </cell>
          <cell r="D616" t="str">
            <v>TME</v>
          </cell>
          <cell r="G616">
            <v>39904</v>
          </cell>
          <cell r="H616" t="str">
            <v>Installed</v>
          </cell>
          <cell r="J616" t="str">
            <v>Dish</v>
          </cell>
          <cell r="L616">
            <v>600</v>
          </cell>
        </row>
        <row r="617">
          <cell r="B617" t="str">
            <v>TMO1023</v>
          </cell>
          <cell r="D617" t="str">
            <v>TME</v>
          </cell>
          <cell r="G617">
            <v>39904</v>
          </cell>
          <cell r="H617" t="str">
            <v>Installed</v>
          </cell>
          <cell r="J617" t="str">
            <v>Dish</v>
          </cell>
          <cell r="L617">
            <v>2000</v>
          </cell>
        </row>
        <row r="618">
          <cell r="B618" t="str">
            <v>TMO1023</v>
          </cell>
          <cell r="D618" t="str">
            <v>TME</v>
          </cell>
          <cell r="G618">
            <v>39904</v>
          </cell>
          <cell r="H618" t="str">
            <v>Installed</v>
          </cell>
          <cell r="J618" t="str">
            <v>Dish</v>
          </cell>
          <cell r="L618">
            <v>1200</v>
          </cell>
        </row>
        <row r="619">
          <cell r="B619" t="str">
            <v>TMO1023</v>
          </cell>
          <cell r="D619" t="str">
            <v>TME</v>
          </cell>
          <cell r="G619">
            <v>39904</v>
          </cell>
          <cell r="H619" t="str">
            <v>Installed</v>
          </cell>
          <cell r="J619" t="str">
            <v>Dish</v>
          </cell>
          <cell r="L619">
            <v>600</v>
          </cell>
        </row>
        <row r="620">
          <cell r="B620" t="str">
            <v>TMO1023</v>
          </cell>
          <cell r="D620" t="str">
            <v>TME</v>
          </cell>
          <cell r="G620">
            <v>39904</v>
          </cell>
          <cell r="H620" t="str">
            <v>Installed</v>
          </cell>
          <cell r="J620" t="str">
            <v>Dish</v>
          </cell>
          <cell r="L620">
            <v>600</v>
          </cell>
        </row>
        <row r="621">
          <cell r="B621" t="str">
            <v>TCE1024</v>
          </cell>
          <cell r="D621" t="str">
            <v>TME</v>
          </cell>
          <cell r="G621">
            <v>39720</v>
          </cell>
          <cell r="H621" t="str">
            <v>Installed</v>
          </cell>
          <cell r="J621" t="str">
            <v>Dish</v>
          </cell>
          <cell r="L621">
            <v>600</v>
          </cell>
        </row>
        <row r="622">
          <cell r="B622" t="str">
            <v>TCE1024</v>
          </cell>
          <cell r="D622" t="str">
            <v>TME</v>
          </cell>
          <cell r="G622">
            <v>39720</v>
          </cell>
          <cell r="H622" t="str">
            <v>Installed</v>
          </cell>
          <cell r="J622" t="str">
            <v>Dish</v>
          </cell>
          <cell r="L622">
            <v>1300</v>
          </cell>
        </row>
        <row r="623">
          <cell r="B623" t="str">
            <v>TCE1024</v>
          </cell>
          <cell r="D623" t="str">
            <v>TME</v>
          </cell>
          <cell r="G623">
            <v>39720</v>
          </cell>
          <cell r="H623" t="str">
            <v>Installed</v>
          </cell>
          <cell r="J623" t="str">
            <v>Dish</v>
          </cell>
          <cell r="L623">
            <v>1400</v>
          </cell>
        </row>
        <row r="624">
          <cell r="B624" t="str">
            <v>TCE1024</v>
          </cell>
          <cell r="D624" t="str">
            <v>TME</v>
          </cell>
          <cell r="G624">
            <v>39720</v>
          </cell>
          <cell r="H624" t="str">
            <v>Installed</v>
          </cell>
          <cell r="J624" t="str">
            <v>Dish</v>
          </cell>
          <cell r="L624">
            <v>600</v>
          </cell>
        </row>
        <row r="625">
          <cell r="B625" t="str">
            <v>TCE1024</v>
          </cell>
          <cell r="D625" t="str">
            <v>TME</v>
          </cell>
          <cell r="G625">
            <v>39720</v>
          </cell>
          <cell r="H625" t="str">
            <v>Installed</v>
          </cell>
          <cell r="J625" t="str">
            <v>Dish</v>
          </cell>
          <cell r="L625">
            <v>2000</v>
          </cell>
        </row>
        <row r="626">
          <cell r="B626" t="str">
            <v>TCK3009</v>
          </cell>
          <cell r="D626" t="str">
            <v>TME</v>
          </cell>
          <cell r="G626">
            <v>41107</v>
          </cell>
          <cell r="H626" t="str">
            <v>Removed</v>
          </cell>
          <cell r="J626" t="str">
            <v>Panel</v>
          </cell>
          <cell r="L626">
            <v>900</v>
          </cell>
        </row>
        <row r="627">
          <cell r="B627" t="str">
            <v>TCK3009</v>
          </cell>
          <cell r="D627" t="str">
            <v>TME</v>
          </cell>
          <cell r="G627">
            <v>39636</v>
          </cell>
          <cell r="H627" t="str">
            <v>Installed</v>
          </cell>
          <cell r="J627" t="str">
            <v>Dish</v>
          </cell>
          <cell r="L627">
            <v>600</v>
          </cell>
        </row>
        <row r="628">
          <cell r="B628" t="str">
            <v>TCK3009</v>
          </cell>
          <cell r="D628" t="str">
            <v>TME</v>
          </cell>
          <cell r="G628">
            <v>41107</v>
          </cell>
          <cell r="H628" t="str">
            <v>Removed</v>
          </cell>
          <cell r="J628" t="str">
            <v>Panel</v>
          </cell>
          <cell r="L628">
            <v>900</v>
          </cell>
        </row>
        <row r="629">
          <cell r="B629" t="str">
            <v>TTP3010</v>
          </cell>
          <cell r="D629" t="str">
            <v>TME</v>
          </cell>
          <cell r="G629">
            <v>39643</v>
          </cell>
          <cell r="H629" t="str">
            <v>Installed</v>
          </cell>
          <cell r="J629" t="str">
            <v>Dish</v>
          </cell>
          <cell r="L629">
            <v>1500</v>
          </cell>
        </row>
        <row r="630">
          <cell r="B630" t="str">
            <v>TTP3010</v>
          </cell>
          <cell r="D630" t="str">
            <v>TME</v>
          </cell>
          <cell r="G630">
            <v>40219</v>
          </cell>
          <cell r="H630" t="str">
            <v>Removed</v>
          </cell>
          <cell r="J630" t="str">
            <v>Dish</v>
          </cell>
          <cell r="L630">
            <v>1200</v>
          </cell>
        </row>
        <row r="631">
          <cell r="B631" t="str">
            <v>TTP3010</v>
          </cell>
          <cell r="D631" t="str">
            <v>TME</v>
          </cell>
          <cell r="G631">
            <v>41415</v>
          </cell>
          <cell r="H631" t="str">
            <v>Prop Removal</v>
          </cell>
          <cell r="J631" t="str">
            <v>Dish</v>
          </cell>
          <cell r="L631">
            <v>600</v>
          </cell>
        </row>
        <row r="632">
          <cell r="B632" t="str">
            <v>TTP3010</v>
          </cell>
          <cell r="D632" t="str">
            <v>TME</v>
          </cell>
          <cell r="G632">
            <v>41415</v>
          </cell>
          <cell r="H632" t="str">
            <v>Prop Removal</v>
          </cell>
          <cell r="J632" t="str">
            <v>Dish</v>
          </cell>
          <cell r="L632">
            <v>600</v>
          </cell>
        </row>
        <row r="633">
          <cell r="B633" t="str">
            <v>TTP3010</v>
          </cell>
          <cell r="D633" t="str">
            <v>TME</v>
          </cell>
          <cell r="G633">
            <v>39643</v>
          </cell>
          <cell r="H633" t="str">
            <v>Installed</v>
          </cell>
          <cell r="J633" t="str">
            <v>Dish</v>
          </cell>
          <cell r="L633">
            <v>600</v>
          </cell>
        </row>
        <row r="634">
          <cell r="B634" t="str">
            <v>TTP3010</v>
          </cell>
          <cell r="D634" t="str">
            <v>TME</v>
          </cell>
          <cell r="G634">
            <v>39643</v>
          </cell>
          <cell r="H634" t="str">
            <v>Installed</v>
          </cell>
          <cell r="J634" t="str">
            <v>Dish</v>
          </cell>
          <cell r="L634">
            <v>600</v>
          </cell>
        </row>
        <row r="635">
          <cell r="B635" t="str">
            <v>TTP3010</v>
          </cell>
          <cell r="D635" t="str">
            <v>TME</v>
          </cell>
          <cell r="G635">
            <v>39643</v>
          </cell>
          <cell r="H635" t="str">
            <v>Installed</v>
          </cell>
          <cell r="J635" t="str">
            <v>Dish</v>
          </cell>
          <cell r="L635">
            <v>1200</v>
          </cell>
        </row>
        <row r="636">
          <cell r="B636" t="str">
            <v>TTP3010</v>
          </cell>
          <cell r="D636" t="str">
            <v>TME</v>
          </cell>
          <cell r="G636">
            <v>39643</v>
          </cell>
          <cell r="H636" t="str">
            <v>Installed</v>
          </cell>
          <cell r="J636" t="str">
            <v>Dish</v>
          </cell>
          <cell r="L636">
            <v>1200</v>
          </cell>
        </row>
        <row r="637">
          <cell r="B637" t="str">
            <v>TTP3010</v>
          </cell>
          <cell r="D637" t="str">
            <v>TME</v>
          </cell>
          <cell r="G637">
            <v>39643</v>
          </cell>
          <cell r="H637" t="str">
            <v>Installed</v>
          </cell>
          <cell r="J637" t="str">
            <v>Dish</v>
          </cell>
          <cell r="L637">
            <v>1200</v>
          </cell>
        </row>
        <row r="638">
          <cell r="B638" t="str">
            <v>TTP3010</v>
          </cell>
          <cell r="D638" t="str">
            <v>TME</v>
          </cell>
          <cell r="G638">
            <v>39906</v>
          </cell>
          <cell r="H638" t="str">
            <v>Removed</v>
          </cell>
          <cell r="J638" t="str">
            <v>Dish</v>
          </cell>
          <cell r="L638">
            <v>600</v>
          </cell>
        </row>
        <row r="639">
          <cell r="B639" t="str">
            <v>TTP3010</v>
          </cell>
          <cell r="D639" t="str">
            <v>TME</v>
          </cell>
          <cell r="G639">
            <v>39643</v>
          </cell>
          <cell r="H639" t="str">
            <v>Installed</v>
          </cell>
          <cell r="J639" t="str">
            <v>Dish</v>
          </cell>
          <cell r="L639">
            <v>600</v>
          </cell>
        </row>
        <row r="640">
          <cell r="B640" t="str">
            <v>TTP3010</v>
          </cell>
          <cell r="D640" t="str">
            <v>TME</v>
          </cell>
          <cell r="G640">
            <v>39643</v>
          </cell>
          <cell r="H640" t="str">
            <v>Installed</v>
          </cell>
          <cell r="J640" t="str">
            <v>Dish</v>
          </cell>
          <cell r="L640">
            <v>1200</v>
          </cell>
        </row>
        <row r="641">
          <cell r="B641" t="str">
            <v>TTP3010</v>
          </cell>
          <cell r="D641" t="str">
            <v>TME</v>
          </cell>
          <cell r="G641">
            <v>39643</v>
          </cell>
          <cell r="H641" t="str">
            <v>Installed</v>
          </cell>
          <cell r="J641" t="str">
            <v>Dish</v>
          </cell>
          <cell r="L641">
            <v>600</v>
          </cell>
        </row>
        <row r="642">
          <cell r="B642" t="str">
            <v>TTP3010</v>
          </cell>
          <cell r="D642" t="str">
            <v>TME</v>
          </cell>
          <cell r="G642">
            <v>39643</v>
          </cell>
          <cell r="H642" t="str">
            <v>Installed</v>
          </cell>
          <cell r="J642" t="str">
            <v>Dish</v>
          </cell>
          <cell r="L642">
            <v>600</v>
          </cell>
        </row>
        <row r="643">
          <cell r="B643" t="str">
            <v>TTP3010</v>
          </cell>
          <cell r="D643" t="str">
            <v>TME</v>
          </cell>
          <cell r="G643">
            <v>39643</v>
          </cell>
          <cell r="H643" t="str">
            <v>Installed</v>
          </cell>
          <cell r="J643" t="str">
            <v>Dish</v>
          </cell>
          <cell r="L643">
            <v>1200</v>
          </cell>
        </row>
        <row r="644">
          <cell r="B644" t="str">
            <v>TTP3010</v>
          </cell>
          <cell r="D644" t="str">
            <v>TME</v>
          </cell>
          <cell r="G644">
            <v>39643</v>
          </cell>
          <cell r="H644" t="str">
            <v>Installed</v>
          </cell>
          <cell r="J644" t="str">
            <v>Panel</v>
          </cell>
          <cell r="L644">
            <v>600</v>
          </cell>
        </row>
        <row r="645">
          <cell r="B645" t="str">
            <v>TTP3010</v>
          </cell>
          <cell r="D645" t="str">
            <v>TME</v>
          </cell>
          <cell r="G645">
            <v>39933</v>
          </cell>
          <cell r="H645" t="str">
            <v>Installed</v>
          </cell>
          <cell r="J645" t="str">
            <v>Dish</v>
          </cell>
          <cell r="L645">
            <v>600</v>
          </cell>
        </row>
        <row r="646">
          <cell r="B646" t="str">
            <v>TTP3010</v>
          </cell>
          <cell r="D646" t="str">
            <v>TME</v>
          </cell>
          <cell r="G646">
            <v>39933</v>
          </cell>
          <cell r="H646" t="str">
            <v>Installed</v>
          </cell>
          <cell r="J646" t="str">
            <v>Dish</v>
          </cell>
          <cell r="L646">
            <v>2400</v>
          </cell>
        </row>
        <row r="647">
          <cell r="B647" t="str">
            <v>TTP3010</v>
          </cell>
          <cell r="D647" t="str">
            <v>TME</v>
          </cell>
          <cell r="G647">
            <v>40018</v>
          </cell>
          <cell r="H647" t="str">
            <v>Installed</v>
          </cell>
          <cell r="J647" t="str">
            <v>Dish</v>
          </cell>
          <cell r="L647">
            <v>600</v>
          </cell>
        </row>
        <row r="648">
          <cell r="B648" t="str">
            <v>TKY4007</v>
          </cell>
          <cell r="D648" t="str">
            <v>TME</v>
          </cell>
          <cell r="G648">
            <v>39688</v>
          </cell>
          <cell r="H648" t="str">
            <v>Installed</v>
          </cell>
          <cell r="J648" t="str">
            <v>Dish</v>
          </cell>
          <cell r="L648">
            <v>600</v>
          </cell>
        </row>
        <row r="649">
          <cell r="B649" t="str">
            <v>TKY4007</v>
          </cell>
          <cell r="D649" t="str">
            <v>TME</v>
          </cell>
          <cell r="G649">
            <v>39688</v>
          </cell>
          <cell r="H649" t="str">
            <v>Installed</v>
          </cell>
          <cell r="J649" t="str">
            <v>Dish</v>
          </cell>
          <cell r="L649">
            <v>600</v>
          </cell>
        </row>
        <row r="650">
          <cell r="B650" t="str">
            <v>TKY4007</v>
          </cell>
          <cell r="D650" t="str">
            <v>TME</v>
          </cell>
          <cell r="G650">
            <v>39688</v>
          </cell>
          <cell r="H650" t="str">
            <v>Installed</v>
          </cell>
          <cell r="J650" t="str">
            <v>Dish</v>
          </cell>
          <cell r="L650">
            <v>700</v>
          </cell>
        </row>
        <row r="651">
          <cell r="B651" t="str">
            <v>TKY4007</v>
          </cell>
          <cell r="D651" t="str">
            <v>TME</v>
          </cell>
          <cell r="G651">
            <v>39688</v>
          </cell>
          <cell r="H651" t="str">
            <v>Installed</v>
          </cell>
          <cell r="J651" t="str">
            <v>Other</v>
          </cell>
          <cell r="L651">
            <v>1000</v>
          </cell>
        </row>
        <row r="652">
          <cell r="B652" t="str">
            <v>TKY1025</v>
          </cell>
          <cell r="D652" t="str">
            <v>TME</v>
          </cell>
          <cell r="G652">
            <v>39722</v>
          </cell>
          <cell r="H652" t="str">
            <v>Installed</v>
          </cell>
          <cell r="J652" t="str">
            <v>Dish</v>
          </cell>
          <cell r="L652">
            <v>1000</v>
          </cell>
        </row>
        <row r="653">
          <cell r="B653" t="str">
            <v>TKY1025</v>
          </cell>
          <cell r="D653" t="str">
            <v>TME</v>
          </cell>
          <cell r="G653">
            <v>39722</v>
          </cell>
          <cell r="H653" t="str">
            <v>Installed</v>
          </cell>
          <cell r="J653" t="str">
            <v>Dish</v>
          </cell>
          <cell r="L653">
            <v>600</v>
          </cell>
        </row>
        <row r="654">
          <cell r="B654" t="str">
            <v>TKY1025</v>
          </cell>
          <cell r="D654" t="str">
            <v>TME</v>
          </cell>
          <cell r="G654">
            <v>39722</v>
          </cell>
          <cell r="H654" t="str">
            <v>Installed</v>
          </cell>
          <cell r="J654" t="str">
            <v>Dish</v>
          </cell>
          <cell r="L654">
            <v>600</v>
          </cell>
        </row>
        <row r="655">
          <cell r="B655" t="str">
            <v>TKY1025</v>
          </cell>
          <cell r="D655" t="str">
            <v>TME</v>
          </cell>
          <cell r="G655">
            <v>39722</v>
          </cell>
          <cell r="H655" t="str">
            <v>Installed</v>
          </cell>
          <cell r="J655" t="str">
            <v>Dish</v>
          </cell>
          <cell r="L655">
            <v>1400</v>
          </cell>
        </row>
        <row r="656">
          <cell r="B656" t="str">
            <v>TKY1025</v>
          </cell>
          <cell r="D656" t="str">
            <v>TME</v>
          </cell>
          <cell r="G656">
            <v>39722</v>
          </cell>
          <cell r="H656" t="str">
            <v>Installed</v>
          </cell>
          <cell r="J656" t="str">
            <v>Dish</v>
          </cell>
          <cell r="L656">
            <v>600</v>
          </cell>
        </row>
        <row r="657">
          <cell r="B657" t="str">
            <v>TKY1025</v>
          </cell>
          <cell r="D657" t="str">
            <v>TME</v>
          </cell>
          <cell r="G657">
            <v>39722</v>
          </cell>
          <cell r="H657" t="str">
            <v>Installed</v>
          </cell>
          <cell r="J657" t="str">
            <v>Dish</v>
          </cell>
          <cell r="L657">
            <v>600</v>
          </cell>
        </row>
        <row r="658">
          <cell r="B658" t="str">
            <v>TKY1025</v>
          </cell>
          <cell r="D658" t="str">
            <v>TME</v>
          </cell>
          <cell r="G658">
            <v>39722</v>
          </cell>
          <cell r="H658" t="str">
            <v>Installed</v>
          </cell>
          <cell r="J658" t="str">
            <v>Dish</v>
          </cell>
          <cell r="L658">
            <v>600</v>
          </cell>
        </row>
        <row r="659">
          <cell r="B659" t="str">
            <v>TKY1025</v>
          </cell>
          <cell r="D659" t="str">
            <v>TME</v>
          </cell>
          <cell r="G659">
            <v>39722</v>
          </cell>
          <cell r="H659" t="str">
            <v>Installed</v>
          </cell>
          <cell r="J659" t="str">
            <v>Dish</v>
          </cell>
          <cell r="L659">
            <v>2000</v>
          </cell>
        </row>
        <row r="660">
          <cell r="B660" t="str">
            <v>TKY1025</v>
          </cell>
          <cell r="D660" t="str">
            <v>TME</v>
          </cell>
          <cell r="G660">
            <v>39722</v>
          </cell>
          <cell r="H660" t="str">
            <v>Installed</v>
          </cell>
          <cell r="J660" t="str">
            <v>Dish</v>
          </cell>
          <cell r="L660">
            <v>2500</v>
          </cell>
        </row>
        <row r="661">
          <cell r="B661" t="str">
            <v>TKY1025</v>
          </cell>
          <cell r="D661" t="str">
            <v>TME</v>
          </cell>
          <cell r="G661">
            <v>41337</v>
          </cell>
          <cell r="H661" t="str">
            <v>Removed</v>
          </cell>
          <cell r="J661" t="str">
            <v>Dish</v>
          </cell>
          <cell r="L661">
            <v>600</v>
          </cell>
        </row>
        <row r="662">
          <cell r="B662" t="str">
            <v>TKY1025</v>
          </cell>
          <cell r="D662" t="str">
            <v>TME</v>
          </cell>
          <cell r="G662">
            <v>41337</v>
          </cell>
          <cell r="H662" t="str">
            <v>Licenced</v>
          </cell>
          <cell r="J662" t="str">
            <v>Dish</v>
          </cell>
          <cell r="L662">
            <v>900</v>
          </cell>
        </row>
        <row r="663">
          <cell r="B663" t="str">
            <v>TKY1025</v>
          </cell>
          <cell r="D663" t="str">
            <v>TME</v>
          </cell>
          <cell r="G663">
            <v>41302</v>
          </cell>
          <cell r="H663" t="str">
            <v>Licenced</v>
          </cell>
          <cell r="J663" t="str">
            <v>Dish</v>
          </cell>
          <cell r="L663">
            <v>600</v>
          </cell>
        </row>
        <row r="664">
          <cell r="B664" t="str">
            <v>TKY2025</v>
          </cell>
          <cell r="D664" t="str">
            <v>TME</v>
          </cell>
          <cell r="G664">
            <v>39612</v>
          </cell>
          <cell r="H664" t="str">
            <v>Installed</v>
          </cell>
          <cell r="J664" t="str">
            <v>Dish</v>
          </cell>
          <cell r="L664">
            <v>2500</v>
          </cell>
        </row>
        <row r="665">
          <cell r="B665" t="str">
            <v>TKY2025</v>
          </cell>
          <cell r="D665" t="str">
            <v>TME</v>
          </cell>
          <cell r="G665">
            <v>39612</v>
          </cell>
          <cell r="H665" t="str">
            <v>Installed</v>
          </cell>
          <cell r="J665" t="str">
            <v>Dish</v>
          </cell>
          <cell r="L665">
            <v>600</v>
          </cell>
        </row>
        <row r="666">
          <cell r="B666" t="str">
            <v>TKY2025</v>
          </cell>
          <cell r="D666" t="str">
            <v>TME</v>
          </cell>
          <cell r="G666">
            <v>39612</v>
          </cell>
          <cell r="H666" t="str">
            <v>Installed</v>
          </cell>
          <cell r="J666" t="str">
            <v>Dish</v>
          </cell>
          <cell r="L666">
            <v>600</v>
          </cell>
        </row>
        <row r="667">
          <cell r="B667" t="str">
            <v>TKY3011</v>
          </cell>
          <cell r="D667" t="str">
            <v>TME</v>
          </cell>
          <cell r="G667">
            <v>39710</v>
          </cell>
          <cell r="H667" t="str">
            <v>Obsolete</v>
          </cell>
          <cell r="J667" t="str">
            <v>Dish</v>
          </cell>
          <cell r="L667">
            <v>2000</v>
          </cell>
        </row>
        <row r="668">
          <cell r="B668" t="str">
            <v>TKY3011</v>
          </cell>
          <cell r="D668" t="str">
            <v>TME</v>
          </cell>
          <cell r="G668">
            <v>39710</v>
          </cell>
          <cell r="H668" t="str">
            <v>Prop Removal</v>
          </cell>
          <cell r="J668" t="str">
            <v>Dish</v>
          </cell>
          <cell r="L668">
            <v>600</v>
          </cell>
        </row>
        <row r="669">
          <cell r="B669" t="str">
            <v>TKY3011</v>
          </cell>
          <cell r="D669" t="str">
            <v>TME</v>
          </cell>
          <cell r="G669">
            <v>39710</v>
          </cell>
          <cell r="H669" t="str">
            <v>Installed</v>
          </cell>
          <cell r="J669" t="str">
            <v>Dish</v>
          </cell>
          <cell r="L669">
            <v>600</v>
          </cell>
        </row>
        <row r="670">
          <cell r="B670" t="str">
            <v>TKY3011</v>
          </cell>
          <cell r="D670" t="str">
            <v>TME</v>
          </cell>
          <cell r="G670">
            <v>39710</v>
          </cell>
          <cell r="H670" t="str">
            <v>Installed</v>
          </cell>
          <cell r="J670" t="str">
            <v>Dish</v>
          </cell>
          <cell r="L670">
            <v>2000</v>
          </cell>
        </row>
        <row r="671">
          <cell r="B671" t="str">
            <v>TKY3011</v>
          </cell>
          <cell r="D671" t="str">
            <v>TME</v>
          </cell>
          <cell r="G671">
            <v>39710</v>
          </cell>
          <cell r="H671" t="str">
            <v>Installed</v>
          </cell>
          <cell r="J671" t="str">
            <v>Dish</v>
          </cell>
          <cell r="L671">
            <v>1000</v>
          </cell>
        </row>
        <row r="672">
          <cell r="B672" t="str">
            <v>TKY3011</v>
          </cell>
          <cell r="D672" t="str">
            <v>TME</v>
          </cell>
          <cell r="G672">
            <v>40226</v>
          </cell>
          <cell r="H672" t="str">
            <v>Removed</v>
          </cell>
          <cell r="J672" t="str">
            <v>Other</v>
          </cell>
          <cell r="L672" t="str">
            <v>-</v>
          </cell>
        </row>
        <row r="673">
          <cell r="B673" t="str">
            <v>TKY3011</v>
          </cell>
          <cell r="D673" t="str">
            <v>TME</v>
          </cell>
          <cell r="G673">
            <v>40226</v>
          </cell>
          <cell r="H673" t="str">
            <v>Removed</v>
          </cell>
          <cell r="J673" t="str">
            <v>Other</v>
          </cell>
          <cell r="L673" t="str">
            <v>-</v>
          </cell>
        </row>
        <row r="674">
          <cell r="B674" t="str">
            <v>TKY3011</v>
          </cell>
          <cell r="D674" t="str">
            <v>TME</v>
          </cell>
          <cell r="G674">
            <v>41213</v>
          </cell>
          <cell r="H674" t="str">
            <v>Removed</v>
          </cell>
          <cell r="J674" t="str">
            <v>Omni</v>
          </cell>
          <cell r="L674">
            <v>900</v>
          </cell>
        </row>
        <row r="675">
          <cell r="B675" t="str">
            <v>TDL3012</v>
          </cell>
          <cell r="D675" t="str">
            <v>TME</v>
          </cell>
          <cell r="G675">
            <v>39660</v>
          </cell>
          <cell r="H675" t="str">
            <v>Installed</v>
          </cell>
          <cell r="J675" t="str">
            <v>Dish</v>
          </cell>
          <cell r="L675">
            <v>2000</v>
          </cell>
        </row>
        <row r="676">
          <cell r="B676" t="str">
            <v>TDL3012</v>
          </cell>
          <cell r="D676" t="str">
            <v>TME</v>
          </cell>
          <cell r="G676">
            <v>39660</v>
          </cell>
          <cell r="H676" t="str">
            <v>Installed</v>
          </cell>
          <cell r="J676" t="str">
            <v>Dish</v>
          </cell>
          <cell r="L676">
            <v>2500</v>
          </cell>
        </row>
        <row r="677">
          <cell r="B677" t="str">
            <v>TWX2026</v>
          </cell>
          <cell r="D677" t="str">
            <v>TME</v>
          </cell>
          <cell r="G677">
            <v>39658</v>
          </cell>
          <cell r="H677" t="str">
            <v>Installed</v>
          </cell>
          <cell r="J677" t="str">
            <v>Dish</v>
          </cell>
          <cell r="L677">
            <v>600</v>
          </cell>
        </row>
        <row r="678">
          <cell r="B678" t="str">
            <v>TWX2026</v>
          </cell>
          <cell r="D678" t="str">
            <v>TME</v>
          </cell>
          <cell r="G678">
            <v>41109</v>
          </cell>
          <cell r="H678" t="str">
            <v>Removed</v>
          </cell>
          <cell r="J678" t="str">
            <v>Panel</v>
          </cell>
          <cell r="L678">
            <v>150</v>
          </cell>
        </row>
        <row r="679">
          <cell r="B679" t="str">
            <v>TWX2026</v>
          </cell>
          <cell r="D679" t="str">
            <v>TME</v>
          </cell>
          <cell r="G679">
            <v>39658</v>
          </cell>
          <cell r="H679" t="str">
            <v>Installed</v>
          </cell>
          <cell r="J679" t="str">
            <v>Dish</v>
          </cell>
          <cell r="L679">
            <v>600</v>
          </cell>
        </row>
        <row r="680">
          <cell r="B680" t="str">
            <v>TWX2026</v>
          </cell>
          <cell r="D680" t="str">
            <v>TME</v>
          </cell>
          <cell r="G680">
            <v>41003</v>
          </cell>
          <cell r="H680" t="str">
            <v>Removed</v>
          </cell>
          <cell r="J680" t="str">
            <v>Dish</v>
          </cell>
          <cell r="L680">
            <v>1000</v>
          </cell>
        </row>
        <row r="681">
          <cell r="B681" t="str">
            <v>TWX2026</v>
          </cell>
          <cell r="D681" t="str">
            <v>TME</v>
          </cell>
          <cell r="G681">
            <v>41109</v>
          </cell>
          <cell r="H681" t="str">
            <v>Removed</v>
          </cell>
          <cell r="J681" t="str">
            <v>Panel</v>
          </cell>
          <cell r="L681">
            <v>150</v>
          </cell>
        </row>
        <row r="682">
          <cell r="B682" t="str">
            <v>TWX2026</v>
          </cell>
          <cell r="D682" t="str">
            <v>TME</v>
          </cell>
          <cell r="G682">
            <v>41060</v>
          </cell>
          <cell r="H682" t="str">
            <v>Installed</v>
          </cell>
          <cell r="J682" t="str">
            <v>Dish</v>
          </cell>
          <cell r="L682">
            <v>600</v>
          </cell>
        </row>
        <row r="683">
          <cell r="B683" t="str">
            <v>TWX2026</v>
          </cell>
          <cell r="D683" t="str">
            <v>TME</v>
          </cell>
          <cell r="G683">
            <v>41003</v>
          </cell>
          <cell r="H683" t="str">
            <v>Licenced</v>
          </cell>
          <cell r="J683" t="str">
            <v>Dish</v>
          </cell>
          <cell r="L683">
            <v>600</v>
          </cell>
        </row>
        <row r="684">
          <cell r="B684" t="str">
            <v>TGY2027</v>
          </cell>
          <cell r="D684" t="str">
            <v>TME</v>
          </cell>
          <cell r="G684">
            <v>41255</v>
          </cell>
          <cell r="H684" t="str">
            <v>Removed</v>
          </cell>
          <cell r="J684" t="str">
            <v>Dish</v>
          </cell>
          <cell r="L684">
            <v>1000</v>
          </cell>
        </row>
        <row r="685">
          <cell r="B685" t="str">
            <v>TGY2027</v>
          </cell>
          <cell r="D685" t="str">
            <v>TME</v>
          </cell>
          <cell r="G685">
            <v>39710</v>
          </cell>
          <cell r="H685" t="str">
            <v>Obsolete</v>
          </cell>
          <cell r="J685" t="str">
            <v>Dish</v>
          </cell>
          <cell r="L685">
            <v>1500</v>
          </cell>
        </row>
        <row r="686">
          <cell r="B686" t="str">
            <v>TGY2027</v>
          </cell>
          <cell r="D686" t="str">
            <v>TME</v>
          </cell>
          <cell r="G686">
            <v>41255</v>
          </cell>
          <cell r="H686" t="str">
            <v>Removed</v>
          </cell>
          <cell r="J686" t="str">
            <v>Other</v>
          </cell>
          <cell r="L686">
            <v>1000</v>
          </cell>
        </row>
        <row r="687">
          <cell r="B687" t="str">
            <v>TGY2027</v>
          </cell>
          <cell r="D687" t="str">
            <v>TME</v>
          </cell>
          <cell r="G687">
            <v>39710</v>
          </cell>
          <cell r="H687" t="str">
            <v>Installed</v>
          </cell>
          <cell r="J687" t="str">
            <v>Dish</v>
          </cell>
          <cell r="L687">
            <v>2500</v>
          </cell>
        </row>
        <row r="688">
          <cell r="B688" t="str">
            <v>TGY2027</v>
          </cell>
          <cell r="D688" t="str">
            <v>TME</v>
          </cell>
          <cell r="G688">
            <v>39710</v>
          </cell>
          <cell r="H688" t="str">
            <v>Installed</v>
          </cell>
          <cell r="J688" t="str">
            <v>Dish</v>
          </cell>
          <cell r="L688">
            <v>3000</v>
          </cell>
        </row>
        <row r="689">
          <cell r="B689" t="str">
            <v>TGY2027</v>
          </cell>
          <cell r="D689" t="str">
            <v>TME</v>
          </cell>
          <cell r="G689">
            <v>41255</v>
          </cell>
          <cell r="H689" t="str">
            <v>Removed</v>
          </cell>
          <cell r="J689" t="str">
            <v>Dish</v>
          </cell>
          <cell r="L689">
            <v>2000</v>
          </cell>
        </row>
        <row r="690">
          <cell r="B690" t="str">
            <v>TCE2028</v>
          </cell>
          <cell r="D690" t="str">
            <v>TME</v>
          </cell>
          <cell r="G690">
            <v>39589</v>
          </cell>
          <cell r="H690" t="str">
            <v>Installed</v>
          </cell>
          <cell r="J690" t="str">
            <v>Dish</v>
          </cell>
          <cell r="L690">
            <v>600</v>
          </cell>
        </row>
        <row r="691">
          <cell r="B691" t="str">
            <v>TCE2028</v>
          </cell>
          <cell r="D691" t="str">
            <v>TME</v>
          </cell>
          <cell r="G691">
            <v>39589</v>
          </cell>
          <cell r="H691" t="str">
            <v>Installed</v>
          </cell>
          <cell r="J691" t="str">
            <v>Dish</v>
          </cell>
          <cell r="L691">
            <v>1200</v>
          </cell>
        </row>
        <row r="692">
          <cell r="B692" t="str">
            <v>TCE2028</v>
          </cell>
          <cell r="D692" t="str">
            <v>TME</v>
          </cell>
          <cell r="G692">
            <v>39589</v>
          </cell>
          <cell r="H692" t="str">
            <v>Installed</v>
          </cell>
          <cell r="J692" t="str">
            <v>Dish</v>
          </cell>
          <cell r="L692">
            <v>1200</v>
          </cell>
        </row>
        <row r="693">
          <cell r="B693" t="str">
            <v>TCE2028</v>
          </cell>
          <cell r="D693" t="str">
            <v>TME</v>
          </cell>
          <cell r="G693">
            <v>39589</v>
          </cell>
          <cell r="H693" t="str">
            <v>Installed</v>
          </cell>
          <cell r="J693" t="str">
            <v>Dish</v>
          </cell>
          <cell r="L693">
            <v>2000</v>
          </cell>
        </row>
        <row r="694">
          <cell r="B694" t="str">
            <v>TCE2028</v>
          </cell>
          <cell r="D694" t="str">
            <v>TME</v>
          </cell>
          <cell r="G694">
            <v>39589</v>
          </cell>
          <cell r="H694" t="str">
            <v>Installed</v>
          </cell>
          <cell r="J694" t="str">
            <v>Dish</v>
          </cell>
          <cell r="L694">
            <v>1200</v>
          </cell>
        </row>
        <row r="695">
          <cell r="B695" t="str">
            <v>TCE2028</v>
          </cell>
          <cell r="D695" t="str">
            <v>TME</v>
          </cell>
          <cell r="G695">
            <v>39589</v>
          </cell>
          <cell r="H695" t="str">
            <v>Installed</v>
          </cell>
          <cell r="J695" t="str">
            <v>Dish</v>
          </cell>
          <cell r="L695">
            <v>600</v>
          </cell>
        </row>
        <row r="696">
          <cell r="B696" t="str">
            <v>TCE2028</v>
          </cell>
          <cell r="D696" t="str">
            <v>TME</v>
          </cell>
          <cell r="G696">
            <v>39589</v>
          </cell>
          <cell r="H696" t="str">
            <v>Installed</v>
          </cell>
          <cell r="J696" t="str">
            <v>Dish</v>
          </cell>
          <cell r="L696">
            <v>600</v>
          </cell>
        </row>
        <row r="697">
          <cell r="B697" t="str">
            <v>TCE2028</v>
          </cell>
          <cell r="D697" t="str">
            <v>TME</v>
          </cell>
          <cell r="G697">
            <v>39604</v>
          </cell>
          <cell r="H697" t="str">
            <v>Installed</v>
          </cell>
          <cell r="J697" t="str">
            <v>Dish</v>
          </cell>
          <cell r="L697">
            <v>600</v>
          </cell>
        </row>
        <row r="698">
          <cell r="B698" t="str">
            <v>TCE2028</v>
          </cell>
          <cell r="D698" t="str">
            <v>TME</v>
          </cell>
          <cell r="G698">
            <v>40736</v>
          </cell>
          <cell r="H698" t="str">
            <v>Installed</v>
          </cell>
          <cell r="J698" t="str">
            <v>Dish</v>
          </cell>
          <cell r="L698">
            <v>600</v>
          </cell>
        </row>
        <row r="699">
          <cell r="B699" t="str">
            <v>TCK1026</v>
          </cell>
          <cell r="D699" t="str">
            <v>TME</v>
          </cell>
          <cell r="G699">
            <v>39633</v>
          </cell>
          <cell r="H699" t="str">
            <v>Installed</v>
          </cell>
          <cell r="J699" t="str">
            <v>Dish</v>
          </cell>
          <cell r="L699">
            <v>1200</v>
          </cell>
        </row>
        <row r="700">
          <cell r="B700" t="str">
            <v>TCK1026</v>
          </cell>
          <cell r="D700" t="str">
            <v>TME</v>
          </cell>
          <cell r="G700">
            <v>39633</v>
          </cell>
          <cell r="H700" t="str">
            <v>Installed</v>
          </cell>
          <cell r="J700" t="str">
            <v>Dish</v>
          </cell>
          <cell r="L700">
            <v>1000</v>
          </cell>
        </row>
        <row r="701">
          <cell r="B701" t="str">
            <v>TCK1026</v>
          </cell>
          <cell r="D701" t="str">
            <v>TME</v>
          </cell>
          <cell r="G701">
            <v>39633</v>
          </cell>
          <cell r="H701" t="str">
            <v>Installed</v>
          </cell>
          <cell r="J701" t="str">
            <v>Dish</v>
          </cell>
          <cell r="L701">
            <v>1500</v>
          </cell>
        </row>
        <row r="702">
          <cell r="B702" t="str">
            <v>TCK1026</v>
          </cell>
          <cell r="D702" t="str">
            <v>TME</v>
          </cell>
          <cell r="G702">
            <v>39633</v>
          </cell>
          <cell r="H702" t="str">
            <v>Installed</v>
          </cell>
          <cell r="J702" t="str">
            <v>Dish</v>
          </cell>
          <cell r="L702">
            <v>600</v>
          </cell>
        </row>
        <row r="703">
          <cell r="B703" t="str">
            <v>TCK1026</v>
          </cell>
          <cell r="D703" t="str">
            <v>TME</v>
          </cell>
          <cell r="G703">
            <v>39633</v>
          </cell>
          <cell r="H703" t="str">
            <v>Installed</v>
          </cell>
          <cell r="J703" t="str">
            <v>Dish</v>
          </cell>
          <cell r="L703">
            <v>600</v>
          </cell>
        </row>
        <row r="704">
          <cell r="B704" t="str">
            <v>TCK1026</v>
          </cell>
          <cell r="D704" t="str">
            <v>TME</v>
          </cell>
          <cell r="G704">
            <v>41141</v>
          </cell>
          <cell r="H704" t="str">
            <v>Removed</v>
          </cell>
          <cell r="J704" t="str">
            <v>Other</v>
          </cell>
          <cell r="L704">
            <v>2000</v>
          </cell>
        </row>
        <row r="705">
          <cell r="B705" t="str">
            <v>TCK1026</v>
          </cell>
          <cell r="D705" t="str">
            <v>TME</v>
          </cell>
          <cell r="G705">
            <v>41142</v>
          </cell>
          <cell r="H705" t="str">
            <v>Removed</v>
          </cell>
          <cell r="J705" t="str">
            <v>Omni</v>
          </cell>
          <cell r="L705">
            <v>800</v>
          </cell>
        </row>
        <row r="706">
          <cell r="B706" t="str">
            <v>TLK1027</v>
          </cell>
          <cell r="D706" t="str">
            <v>TME</v>
          </cell>
          <cell r="G706">
            <v>39637</v>
          </cell>
          <cell r="H706" t="str">
            <v>Installed</v>
          </cell>
          <cell r="J706" t="str">
            <v>Dish</v>
          </cell>
          <cell r="L706">
            <v>600</v>
          </cell>
        </row>
        <row r="707">
          <cell r="B707" t="str">
            <v>TLK1027</v>
          </cell>
          <cell r="D707" t="str">
            <v>TME</v>
          </cell>
          <cell r="G707">
            <v>39637</v>
          </cell>
          <cell r="H707" t="str">
            <v>Installed</v>
          </cell>
          <cell r="J707" t="str">
            <v>Dish</v>
          </cell>
          <cell r="L707">
            <v>600</v>
          </cell>
        </row>
        <row r="708">
          <cell r="B708" t="str">
            <v>TLK1027</v>
          </cell>
          <cell r="D708" t="str">
            <v>TME</v>
          </cell>
          <cell r="G708">
            <v>39637</v>
          </cell>
          <cell r="H708" t="str">
            <v>Installed</v>
          </cell>
          <cell r="J708" t="str">
            <v>Dish</v>
          </cell>
          <cell r="L708">
            <v>2000</v>
          </cell>
        </row>
        <row r="709">
          <cell r="B709" t="str">
            <v>TLK1027</v>
          </cell>
          <cell r="D709" t="str">
            <v>TME</v>
          </cell>
          <cell r="G709">
            <v>39637</v>
          </cell>
          <cell r="H709" t="str">
            <v>Installed</v>
          </cell>
          <cell r="J709" t="str">
            <v>Dish</v>
          </cell>
          <cell r="L709">
            <v>600</v>
          </cell>
        </row>
        <row r="710">
          <cell r="B710" t="str">
            <v>TLK1027</v>
          </cell>
          <cell r="D710" t="str">
            <v>TME</v>
          </cell>
          <cell r="G710">
            <v>39637</v>
          </cell>
          <cell r="H710" t="str">
            <v>Installed</v>
          </cell>
          <cell r="J710" t="str">
            <v>Dish</v>
          </cell>
          <cell r="L710">
            <v>600</v>
          </cell>
        </row>
        <row r="711">
          <cell r="B711" t="str">
            <v>TLK1027</v>
          </cell>
          <cell r="D711" t="str">
            <v>TME</v>
          </cell>
          <cell r="G711">
            <v>39637</v>
          </cell>
          <cell r="H711" t="str">
            <v>Installed</v>
          </cell>
          <cell r="J711" t="str">
            <v>Dish</v>
          </cell>
          <cell r="L711">
            <v>600</v>
          </cell>
        </row>
        <row r="712">
          <cell r="B712" t="str">
            <v>TLK1027</v>
          </cell>
          <cell r="D712" t="str">
            <v>TME</v>
          </cell>
          <cell r="G712">
            <v>39637</v>
          </cell>
          <cell r="H712" t="str">
            <v>Installed</v>
          </cell>
          <cell r="J712" t="str">
            <v>Dish</v>
          </cell>
          <cell r="L712">
            <v>600</v>
          </cell>
        </row>
        <row r="713">
          <cell r="B713" t="str">
            <v>TLK1027</v>
          </cell>
          <cell r="D713" t="str">
            <v>TME</v>
          </cell>
          <cell r="G713">
            <v>41547</v>
          </cell>
          <cell r="H713" t="str">
            <v>Removed</v>
          </cell>
          <cell r="J713" t="str">
            <v>Dish</v>
          </cell>
          <cell r="L713">
            <v>600</v>
          </cell>
        </row>
        <row r="714">
          <cell r="B714" t="str">
            <v>TLK1027</v>
          </cell>
          <cell r="D714" t="str">
            <v>TME</v>
          </cell>
          <cell r="G714">
            <v>39637</v>
          </cell>
          <cell r="H714" t="str">
            <v>Installed</v>
          </cell>
          <cell r="J714" t="str">
            <v>Dish</v>
          </cell>
          <cell r="L714">
            <v>600</v>
          </cell>
        </row>
        <row r="715">
          <cell r="B715" t="str">
            <v>TLK1027</v>
          </cell>
          <cell r="D715" t="str">
            <v>TME</v>
          </cell>
          <cell r="G715">
            <v>41198</v>
          </cell>
          <cell r="H715" t="str">
            <v>Removed</v>
          </cell>
          <cell r="J715" t="str">
            <v>Panel</v>
          </cell>
          <cell r="L715">
            <v>900</v>
          </cell>
        </row>
        <row r="716">
          <cell r="B716" t="str">
            <v>TLK1027</v>
          </cell>
          <cell r="D716" t="str">
            <v>TME</v>
          </cell>
          <cell r="G716">
            <v>39637</v>
          </cell>
          <cell r="H716" t="str">
            <v>Installed</v>
          </cell>
          <cell r="J716" t="str">
            <v>Dish</v>
          </cell>
          <cell r="L716">
            <v>600</v>
          </cell>
        </row>
        <row r="717">
          <cell r="B717" t="str">
            <v>TLK1027</v>
          </cell>
          <cell r="D717" t="str">
            <v>TME</v>
          </cell>
          <cell r="G717">
            <v>39637</v>
          </cell>
          <cell r="H717" t="str">
            <v>Installed</v>
          </cell>
          <cell r="J717" t="str">
            <v>Dish</v>
          </cell>
          <cell r="L717">
            <v>1200</v>
          </cell>
        </row>
        <row r="718">
          <cell r="B718" t="str">
            <v>TLK1027</v>
          </cell>
          <cell r="D718" t="str">
            <v>TME</v>
          </cell>
          <cell r="G718">
            <v>39637</v>
          </cell>
          <cell r="H718" t="str">
            <v>Installed</v>
          </cell>
          <cell r="J718" t="str">
            <v>Dish</v>
          </cell>
          <cell r="L718">
            <v>600</v>
          </cell>
        </row>
        <row r="719">
          <cell r="B719" t="str">
            <v>TLK1027</v>
          </cell>
          <cell r="D719" t="str">
            <v>TME</v>
          </cell>
          <cell r="G719">
            <v>39637</v>
          </cell>
          <cell r="H719" t="str">
            <v>Installed</v>
          </cell>
          <cell r="J719" t="str">
            <v>Dish</v>
          </cell>
          <cell r="L719">
            <v>600</v>
          </cell>
        </row>
        <row r="720">
          <cell r="B720" t="str">
            <v>TLK1027</v>
          </cell>
          <cell r="D720" t="str">
            <v>TME</v>
          </cell>
          <cell r="G720">
            <v>39637</v>
          </cell>
          <cell r="H720" t="str">
            <v>Installed</v>
          </cell>
          <cell r="J720" t="str">
            <v>Dish</v>
          </cell>
          <cell r="L720">
            <v>2500</v>
          </cell>
        </row>
        <row r="721">
          <cell r="B721" t="str">
            <v>TLK1027</v>
          </cell>
          <cell r="D721" t="str">
            <v>TME</v>
          </cell>
          <cell r="G721">
            <v>41198</v>
          </cell>
          <cell r="H721" t="str">
            <v>Removed</v>
          </cell>
          <cell r="J721" t="str">
            <v>Panel</v>
          </cell>
          <cell r="L721">
            <v>900</v>
          </cell>
        </row>
        <row r="722">
          <cell r="B722" t="str">
            <v>TLK1027</v>
          </cell>
          <cell r="D722" t="str">
            <v>TME</v>
          </cell>
          <cell r="G722">
            <v>39973</v>
          </cell>
          <cell r="H722" t="str">
            <v>Removed</v>
          </cell>
          <cell r="J722" t="str">
            <v>Dish</v>
          </cell>
          <cell r="L722">
            <v>3000</v>
          </cell>
        </row>
        <row r="723">
          <cell r="B723" t="str">
            <v>TLK1027</v>
          </cell>
          <cell r="D723" t="str">
            <v>TME</v>
          </cell>
          <cell r="G723">
            <v>39637</v>
          </cell>
          <cell r="H723" t="str">
            <v>Installed</v>
          </cell>
          <cell r="J723" t="str">
            <v>Dish</v>
          </cell>
          <cell r="L723">
            <v>600</v>
          </cell>
        </row>
        <row r="724">
          <cell r="B724" t="str">
            <v>TLK1027</v>
          </cell>
          <cell r="D724" t="str">
            <v>TME</v>
          </cell>
          <cell r="G724">
            <v>39637</v>
          </cell>
          <cell r="H724" t="str">
            <v>Installed</v>
          </cell>
          <cell r="J724" t="str">
            <v>Dish</v>
          </cell>
          <cell r="L724">
            <v>600</v>
          </cell>
        </row>
        <row r="725">
          <cell r="B725" t="str">
            <v>TLK1027</v>
          </cell>
          <cell r="D725" t="str">
            <v>TME</v>
          </cell>
          <cell r="G725">
            <v>39637</v>
          </cell>
          <cell r="H725" t="str">
            <v>Installed</v>
          </cell>
          <cell r="J725" t="str">
            <v>Dish</v>
          </cell>
          <cell r="L725">
            <v>600</v>
          </cell>
        </row>
        <row r="726">
          <cell r="B726" t="str">
            <v>TLK1027</v>
          </cell>
          <cell r="D726" t="str">
            <v>TME</v>
          </cell>
          <cell r="G726">
            <v>39637</v>
          </cell>
          <cell r="H726" t="str">
            <v>Installed</v>
          </cell>
          <cell r="J726" t="str">
            <v>Dish</v>
          </cell>
          <cell r="L726">
            <v>600</v>
          </cell>
        </row>
        <row r="727">
          <cell r="B727" t="str">
            <v>TLK1027</v>
          </cell>
          <cell r="D727" t="str">
            <v>TME</v>
          </cell>
          <cell r="G727">
            <v>39657</v>
          </cell>
          <cell r="H727" t="str">
            <v>Installed</v>
          </cell>
          <cell r="J727" t="str">
            <v>Dish</v>
          </cell>
          <cell r="L727">
            <v>600</v>
          </cell>
        </row>
        <row r="728">
          <cell r="B728" t="str">
            <v>TLK1027</v>
          </cell>
          <cell r="D728" t="str">
            <v>TME</v>
          </cell>
          <cell r="G728">
            <v>39973</v>
          </cell>
          <cell r="H728" t="str">
            <v>Installed</v>
          </cell>
          <cell r="J728" t="str">
            <v>Dish</v>
          </cell>
          <cell r="L728">
            <v>600</v>
          </cell>
        </row>
        <row r="729">
          <cell r="B729" t="str">
            <v>TLK1027</v>
          </cell>
          <cell r="D729" t="str">
            <v>TME</v>
          </cell>
          <cell r="G729">
            <v>39973</v>
          </cell>
          <cell r="H729" t="str">
            <v>Installed</v>
          </cell>
          <cell r="J729" t="str">
            <v>Dish</v>
          </cell>
          <cell r="L729">
            <v>1200</v>
          </cell>
        </row>
        <row r="730">
          <cell r="B730" t="str">
            <v>TLK1027</v>
          </cell>
          <cell r="D730" t="str">
            <v>TME</v>
          </cell>
          <cell r="G730">
            <v>40259</v>
          </cell>
          <cell r="H730" t="str">
            <v>Removed</v>
          </cell>
          <cell r="J730" t="str">
            <v>Dish</v>
          </cell>
          <cell r="L730">
            <v>600</v>
          </cell>
        </row>
        <row r="731">
          <cell r="B731" t="str">
            <v>TKY1028</v>
          </cell>
          <cell r="D731" t="str">
            <v>TME</v>
          </cell>
          <cell r="G731">
            <v>39616</v>
          </cell>
          <cell r="H731" t="str">
            <v>Installed</v>
          </cell>
          <cell r="J731" t="str">
            <v>Dish</v>
          </cell>
          <cell r="L731">
            <v>1200</v>
          </cell>
        </row>
        <row r="732">
          <cell r="B732" t="str">
            <v>TKY1028</v>
          </cell>
          <cell r="D732" t="str">
            <v>TME</v>
          </cell>
          <cell r="G732">
            <v>39616</v>
          </cell>
          <cell r="H732" t="str">
            <v>Installed</v>
          </cell>
          <cell r="J732" t="str">
            <v>Dish</v>
          </cell>
          <cell r="L732">
            <v>1200</v>
          </cell>
        </row>
        <row r="733">
          <cell r="B733" t="str">
            <v>TKY1028</v>
          </cell>
          <cell r="D733" t="str">
            <v>TME</v>
          </cell>
          <cell r="G733">
            <v>39616</v>
          </cell>
          <cell r="H733" t="str">
            <v>Installed</v>
          </cell>
          <cell r="J733" t="str">
            <v>Dish</v>
          </cell>
          <cell r="L733">
            <v>600</v>
          </cell>
        </row>
        <row r="734">
          <cell r="B734" t="str">
            <v>TKY1028</v>
          </cell>
          <cell r="D734" t="str">
            <v>TME</v>
          </cell>
          <cell r="G734">
            <v>39616</v>
          </cell>
          <cell r="H734" t="str">
            <v>Installed</v>
          </cell>
          <cell r="J734" t="str">
            <v>Dish</v>
          </cell>
          <cell r="L734">
            <v>600</v>
          </cell>
        </row>
        <row r="735">
          <cell r="B735" t="str">
            <v>TKY1028</v>
          </cell>
          <cell r="D735" t="str">
            <v>TME</v>
          </cell>
          <cell r="G735">
            <v>39616</v>
          </cell>
          <cell r="H735" t="str">
            <v>Prop Removal</v>
          </cell>
          <cell r="J735" t="str">
            <v>Dish</v>
          </cell>
          <cell r="L735">
            <v>300</v>
          </cell>
        </row>
        <row r="736">
          <cell r="B736" t="str">
            <v>TKY1028</v>
          </cell>
          <cell r="D736" t="str">
            <v>TME</v>
          </cell>
          <cell r="G736">
            <v>39616</v>
          </cell>
          <cell r="H736" t="str">
            <v>Installed</v>
          </cell>
          <cell r="J736" t="str">
            <v>Dish</v>
          </cell>
          <cell r="L736">
            <v>1200</v>
          </cell>
        </row>
        <row r="737">
          <cell r="B737" t="str">
            <v>TKY1028</v>
          </cell>
          <cell r="D737" t="str">
            <v>TME</v>
          </cell>
          <cell r="G737">
            <v>39616</v>
          </cell>
          <cell r="H737" t="str">
            <v>Installed</v>
          </cell>
          <cell r="J737" t="str">
            <v>Dish</v>
          </cell>
          <cell r="L737">
            <v>600</v>
          </cell>
        </row>
        <row r="738">
          <cell r="B738" t="str">
            <v>TKY1028</v>
          </cell>
          <cell r="D738" t="str">
            <v>TME</v>
          </cell>
          <cell r="G738">
            <v>40353</v>
          </cell>
          <cell r="H738" t="str">
            <v>Removed</v>
          </cell>
          <cell r="J738" t="str">
            <v>Dish</v>
          </cell>
          <cell r="L738">
            <v>600</v>
          </cell>
        </row>
        <row r="739">
          <cell r="B739" t="str">
            <v>TKY1028</v>
          </cell>
          <cell r="D739" t="str">
            <v>TME</v>
          </cell>
          <cell r="G739">
            <v>39616</v>
          </cell>
          <cell r="H739" t="str">
            <v>Installed</v>
          </cell>
          <cell r="J739" t="str">
            <v>Dish</v>
          </cell>
          <cell r="L739">
            <v>600</v>
          </cell>
        </row>
        <row r="740">
          <cell r="B740" t="str">
            <v>TKY1028</v>
          </cell>
          <cell r="D740" t="str">
            <v>TME</v>
          </cell>
          <cell r="G740">
            <v>39616</v>
          </cell>
          <cell r="H740" t="str">
            <v>Installed</v>
          </cell>
          <cell r="J740" t="str">
            <v>Dish</v>
          </cell>
          <cell r="L740">
            <v>600</v>
          </cell>
        </row>
        <row r="741">
          <cell r="B741" t="str">
            <v>TKY1028</v>
          </cell>
          <cell r="D741" t="str">
            <v>TME</v>
          </cell>
          <cell r="G741">
            <v>40353</v>
          </cell>
          <cell r="H741" t="str">
            <v>Removed</v>
          </cell>
          <cell r="J741" t="str">
            <v>Dish</v>
          </cell>
          <cell r="L741">
            <v>600</v>
          </cell>
        </row>
        <row r="742">
          <cell r="B742" t="str">
            <v>TKY1028</v>
          </cell>
          <cell r="D742" t="str">
            <v>TME</v>
          </cell>
          <cell r="G742">
            <v>39616</v>
          </cell>
          <cell r="H742" t="str">
            <v>Installed</v>
          </cell>
          <cell r="J742" t="str">
            <v>Dish</v>
          </cell>
          <cell r="L742">
            <v>600</v>
          </cell>
        </row>
        <row r="743">
          <cell r="B743" t="str">
            <v>TKY1028</v>
          </cell>
          <cell r="D743" t="str">
            <v>TME</v>
          </cell>
          <cell r="G743">
            <v>39616</v>
          </cell>
          <cell r="H743" t="str">
            <v>Installed</v>
          </cell>
          <cell r="J743" t="str">
            <v>Dish</v>
          </cell>
          <cell r="L743">
            <v>600</v>
          </cell>
        </row>
        <row r="744">
          <cell r="B744" t="str">
            <v>TKY1028</v>
          </cell>
          <cell r="D744" t="str">
            <v>TME</v>
          </cell>
          <cell r="G744">
            <v>39616</v>
          </cell>
          <cell r="H744" t="str">
            <v>Installed</v>
          </cell>
          <cell r="J744" t="str">
            <v>Dish</v>
          </cell>
          <cell r="L744">
            <v>2000</v>
          </cell>
        </row>
        <row r="745">
          <cell r="B745" t="str">
            <v>TKY1028</v>
          </cell>
          <cell r="D745" t="str">
            <v>TME</v>
          </cell>
          <cell r="G745">
            <v>41204</v>
          </cell>
          <cell r="H745" t="str">
            <v>Removed</v>
          </cell>
          <cell r="J745" t="str">
            <v>Panel</v>
          </cell>
          <cell r="L745">
            <v>800</v>
          </cell>
        </row>
        <row r="746">
          <cell r="B746" t="str">
            <v>TKY1028</v>
          </cell>
          <cell r="D746" t="str">
            <v>TME</v>
          </cell>
          <cell r="G746">
            <v>41204</v>
          </cell>
          <cell r="H746" t="str">
            <v>Removed</v>
          </cell>
          <cell r="J746" t="str">
            <v>Panel</v>
          </cell>
          <cell r="L746">
            <v>800</v>
          </cell>
        </row>
        <row r="747">
          <cell r="B747" t="str">
            <v>TKY1028</v>
          </cell>
          <cell r="D747" t="str">
            <v>TME</v>
          </cell>
          <cell r="G747">
            <v>39650</v>
          </cell>
          <cell r="H747" t="str">
            <v>Installed</v>
          </cell>
          <cell r="J747" t="str">
            <v>Dish</v>
          </cell>
          <cell r="L747">
            <v>1200</v>
          </cell>
        </row>
        <row r="748">
          <cell r="B748" t="str">
            <v>TKY1028</v>
          </cell>
          <cell r="D748" t="str">
            <v>TME</v>
          </cell>
          <cell r="G748">
            <v>39727</v>
          </cell>
          <cell r="H748" t="str">
            <v>Installed</v>
          </cell>
          <cell r="J748" t="str">
            <v>Dish</v>
          </cell>
          <cell r="L748">
            <v>600</v>
          </cell>
        </row>
        <row r="749">
          <cell r="B749" t="str">
            <v>TKY1028</v>
          </cell>
          <cell r="D749" t="str">
            <v>TME</v>
          </cell>
          <cell r="G749">
            <v>39776</v>
          </cell>
          <cell r="H749" t="str">
            <v>Installed</v>
          </cell>
          <cell r="J749" t="str">
            <v>Dish</v>
          </cell>
          <cell r="L749">
            <v>300</v>
          </cell>
        </row>
        <row r="750">
          <cell r="B750" t="str">
            <v>TKY1028</v>
          </cell>
          <cell r="D750" t="str">
            <v>TME</v>
          </cell>
          <cell r="G750">
            <v>39776</v>
          </cell>
          <cell r="H750" t="str">
            <v>Installed</v>
          </cell>
          <cell r="J750" t="str">
            <v>Dish</v>
          </cell>
          <cell r="L750">
            <v>1800</v>
          </cell>
        </row>
        <row r="751">
          <cell r="B751" t="str">
            <v>TKY1028</v>
          </cell>
          <cell r="D751" t="str">
            <v>TME</v>
          </cell>
          <cell r="G751">
            <v>40000</v>
          </cell>
          <cell r="H751" t="str">
            <v>Installed</v>
          </cell>
          <cell r="J751" t="str">
            <v>Dish</v>
          </cell>
          <cell r="L751">
            <v>1200</v>
          </cell>
        </row>
        <row r="752">
          <cell r="B752" t="str">
            <v>TKY1028</v>
          </cell>
          <cell r="D752" t="str">
            <v>TME</v>
          </cell>
          <cell r="G752">
            <v>40562</v>
          </cell>
          <cell r="H752" t="str">
            <v>Installed</v>
          </cell>
          <cell r="J752" t="str">
            <v>Dish</v>
          </cell>
          <cell r="L752">
            <v>600</v>
          </cell>
        </row>
        <row r="753">
          <cell r="B753" t="str">
            <v>TCK1029</v>
          </cell>
          <cell r="D753" t="str">
            <v>TME</v>
          </cell>
          <cell r="G753">
            <v>39631</v>
          </cell>
          <cell r="H753" t="str">
            <v>Installed</v>
          </cell>
          <cell r="J753" t="str">
            <v>Dish</v>
          </cell>
          <cell r="L753">
            <v>2500</v>
          </cell>
        </row>
        <row r="754">
          <cell r="B754" t="str">
            <v>TCK1029</v>
          </cell>
          <cell r="D754" t="str">
            <v>TME</v>
          </cell>
          <cell r="G754">
            <v>39631</v>
          </cell>
          <cell r="H754" t="str">
            <v>Installed</v>
          </cell>
          <cell r="J754" t="str">
            <v>Dish</v>
          </cell>
          <cell r="L754">
            <v>1000</v>
          </cell>
        </row>
        <row r="755">
          <cell r="B755" t="str">
            <v>TCK1029</v>
          </cell>
          <cell r="D755" t="str">
            <v>TME</v>
          </cell>
          <cell r="G755">
            <v>39631</v>
          </cell>
          <cell r="H755" t="str">
            <v>Installed</v>
          </cell>
          <cell r="J755" t="str">
            <v>Dish</v>
          </cell>
          <cell r="L755">
            <v>600</v>
          </cell>
        </row>
        <row r="756">
          <cell r="B756" t="str">
            <v>TCK1029</v>
          </cell>
          <cell r="D756" t="str">
            <v>TME</v>
          </cell>
          <cell r="G756">
            <v>39631</v>
          </cell>
          <cell r="H756" t="str">
            <v>Installed</v>
          </cell>
          <cell r="J756" t="str">
            <v>Dish</v>
          </cell>
          <cell r="L756">
            <v>600</v>
          </cell>
        </row>
        <row r="757">
          <cell r="B757" t="str">
            <v>TCK1029</v>
          </cell>
          <cell r="D757" t="str">
            <v>TME</v>
          </cell>
          <cell r="G757">
            <v>39631</v>
          </cell>
          <cell r="H757" t="str">
            <v>Installed</v>
          </cell>
          <cell r="J757" t="str">
            <v>Dish</v>
          </cell>
          <cell r="L757">
            <v>600</v>
          </cell>
        </row>
        <row r="758">
          <cell r="B758" t="str">
            <v>TCK1029</v>
          </cell>
          <cell r="D758" t="str">
            <v>TME</v>
          </cell>
          <cell r="G758">
            <v>39631</v>
          </cell>
          <cell r="H758" t="str">
            <v>Installed</v>
          </cell>
          <cell r="J758" t="str">
            <v>Dish</v>
          </cell>
          <cell r="L758">
            <v>600</v>
          </cell>
        </row>
        <row r="759">
          <cell r="B759" t="str">
            <v>TCK1029</v>
          </cell>
          <cell r="D759" t="str">
            <v>TME</v>
          </cell>
          <cell r="G759">
            <v>39631</v>
          </cell>
          <cell r="H759" t="str">
            <v>Installed</v>
          </cell>
          <cell r="J759" t="str">
            <v>Dish</v>
          </cell>
          <cell r="L759">
            <v>1000</v>
          </cell>
        </row>
        <row r="760">
          <cell r="B760" t="str">
            <v>TCK1029</v>
          </cell>
          <cell r="D760" t="str">
            <v>TME</v>
          </cell>
          <cell r="G760">
            <v>39631</v>
          </cell>
          <cell r="H760" t="str">
            <v>Installed</v>
          </cell>
          <cell r="J760" t="str">
            <v>Dish</v>
          </cell>
          <cell r="L760">
            <v>2000</v>
          </cell>
        </row>
        <row r="761">
          <cell r="B761" t="str">
            <v>TCK1029</v>
          </cell>
          <cell r="D761" t="str">
            <v>TME</v>
          </cell>
          <cell r="G761">
            <v>39631</v>
          </cell>
          <cell r="H761" t="str">
            <v>Installed</v>
          </cell>
          <cell r="J761" t="str">
            <v>Dish</v>
          </cell>
          <cell r="L761">
            <v>600</v>
          </cell>
        </row>
        <row r="762">
          <cell r="B762" t="str">
            <v>TCK1029</v>
          </cell>
          <cell r="D762" t="str">
            <v>TME</v>
          </cell>
          <cell r="G762">
            <v>39631</v>
          </cell>
          <cell r="H762" t="str">
            <v>Installed</v>
          </cell>
          <cell r="J762" t="str">
            <v>Dish</v>
          </cell>
          <cell r="L762">
            <v>600</v>
          </cell>
        </row>
        <row r="763">
          <cell r="B763" t="str">
            <v>TCK1029</v>
          </cell>
          <cell r="D763" t="str">
            <v>TME</v>
          </cell>
          <cell r="G763">
            <v>39631</v>
          </cell>
          <cell r="H763" t="str">
            <v>Installed</v>
          </cell>
          <cell r="J763" t="str">
            <v>Dish</v>
          </cell>
          <cell r="L763">
            <v>1600</v>
          </cell>
        </row>
        <row r="764">
          <cell r="B764" t="str">
            <v>TCK1029</v>
          </cell>
          <cell r="D764" t="str">
            <v>TME</v>
          </cell>
          <cell r="G764">
            <v>39631</v>
          </cell>
          <cell r="H764" t="str">
            <v>Installed</v>
          </cell>
          <cell r="J764" t="str">
            <v>Dish</v>
          </cell>
          <cell r="L764">
            <v>2500</v>
          </cell>
        </row>
        <row r="765">
          <cell r="B765" t="str">
            <v>TCK1029</v>
          </cell>
          <cell r="D765" t="str">
            <v>TME</v>
          </cell>
          <cell r="G765">
            <v>39631</v>
          </cell>
          <cell r="H765" t="str">
            <v>Installed</v>
          </cell>
          <cell r="J765" t="str">
            <v>Dish</v>
          </cell>
          <cell r="L765">
            <v>2500</v>
          </cell>
        </row>
        <row r="766">
          <cell r="B766" t="str">
            <v>TCK1029</v>
          </cell>
          <cell r="D766" t="str">
            <v>TME</v>
          </cell>
          <cell r="G766">
            <v>39631</v>
          </cell>
          <cell r="H766" t="str">
            <v>Installed</v>
          </cell>
          <cell r="J766" t="str">
            <v>Dish</v>
          </cell>
          <cell r="L766">
            <v>600</v>
          </cell>
        </row>
        <row r="767">
          <cell r="B767" t="str">
            <v>TCK1029</v>
          </cell>
          <cell r="D767" t="str">
            <v>TME</v>
          </cell>
          <cell r="G767">
            <v>39631</v>
          </cell>
          <cell r="H767" t="str">
            <v>Installed</v>
          </cell>
          <cell r="J767" t="str">
            <v>Dish</v>
          </cell>
          <cell r="L767">
            <v>600</v>
          </cell>
        </row>
        <row r="768">
          <cell r="B768" t="str">
            <v>TCK1029</v>
          </cell>
          <cell r="D768" t="str">
            <v>TME</v>
          </cell>
          <cell r="G768">
            <v>39631</v>
          </cell>
          <cell r="H768" t="str">
            <v>Installed</v>
          </cell>
          <cell r="J768" t="str">
            <v>Dish</v>
          </cell>
          <cell r="L768">
            <v>1000</v>
          </cell>
        </row>
        <row r="769">
          <cell r="B769" t="str">
            <v>TCK1029</v>
          </cell>
          <cell r="D769" t="str">
            <v>TME</v>
          </cell>
          <cell r="G769">
            <v>41205</v>
          </cell>
          <cell r="H769" t="str">
            <v>Removed</v>
          </cell>
          <cell r="J769" t="str">
            <v>Omni</v>
          </cell>
          <cell r="L769">
            <v>800</v>
          </cell>
        </row>
        <row r="770">
          <cell r="B770" t="str">
            <v>TCK1029</v>
          </cell>
          <cell r="D770" t="str">
            <v>TME</v>
          </cell>
          <cell r="G770">
            <v>40058</v>
          </cell>
          <cell r="H770" t="str">
            <v>Installed</v>
          </cell>
          <cell r="J770" t="str">
            <v>Dish</v>
          </cell>
          <cell r="L770">
            <v>600</v>
          </cell>
        </row>
        <row r="771">
          <cell r="B771" t="str">
            <v>TGY1030</v>
          </cell>
          <cell r="D771" t="str">
            <v>TME</v>
          </cell>
          <cell r="G771">
            <v>41117</v>
          </cell>
          <cell r="H771" t="str">
            <v>Removed</v>
          </cell>
          <cell r="J771" t="str">
            <v>Other</v>
          </cell>
          <cell r="L771">
            <v>2000</v>
          </cell>
        </row>
        <row r="772">
          <cell r="B772" t="str">
            <v>TGY1030</v>
          </cell>
          <cell r="D772" t="str">
            <v>TME</v>
          </cell>
          <cell r="G772">
            <v>39720</v>
          </cell>
          <cell r="H772" t="str">
            <v>Installed</v>
          </cell>
          <cell r="J772" t="str">
            <v>Dish</v>
          </cell>
          <cell r="L772">
            <v>3600</v>
          </cell>
        </row>
        <row r="773">
          <cell r="B773" t="str">
            <v>TGY1030</v>
          </cell>
          <cell r="D773" t="str">
            <v>TME</v>
          </cell>
          <cell r="G773">
            <v>39720</v>
          </cell>
          <cell r="H773" t="str">
            <v>Installed</v>
          </cell>
          <cell r="J773" t="str">
            <v>Dish</v>
          </cell>
          <cell r="L773">
            <v>2500</v>
          </cell>
        </row>
        <row r="774">
          <cell r="B774" t="str">
            <v>TGY1030</v>
          </cell>
          <cell r="D774" t="str">
            <v>TME</v>
          </cell>
          <cell r="G774">
            <v>41409</v>
          </cell>
          <cell r="H774" t="str">
            <v>Removed</v>
          </cell>
          <cell r="J774" t="str">
            <v>Dish</v>
          </cell>
          <cell r="L774">
            <v>600</v>
          </cell>
        </row>
        <row r="775">
          <cell r="B775" t="str">
            <v>TGY1030</v>
          </cell>
          <cell r="D775" t="str">
            <v>TME</v>
          </cell>
          <cell r="G775">
            <v>39720</v>
          </cell>
          <cell r="H775" t="str">
            <v>Installed</v>
          </cell>
          <cell r="J775" t="str">
            <v>Dish</v>
          </cell>
          <cell r="L775">
            <v>600</v>
          </cell>
        </row>
        <row r="776">
          <cell r="B776" t="str">
            <v>TGY1030</v>
          </cell>
          <cell r="D776" t="str">
            <v>TME</v>
          </cell>
          <cell r="G776">
            <v>39720</v>
          </cell>
          <cell r="H776" t="str">
            <v>Installed</v>
          </cell>
          <cell r="J776" t="str">
            <v>Dish</v>
          </cell>
          <cell r="L776">
            <v>2600</v>
          </cell>
        </row>
        <row r="777">
          <cell r="B777" t="str">
            <v>TGY1030</v>
          </cell>
          <cell r="D777" t="str">
            <v>TME</v>
          </cell>
          <cell r="G777">
            <v>39720</v>
          </cell>
          <cell r="H777" t="str">
            <v>Installed</v>
          </cell>
          <cell r="J777" t="str">
            <v>Dish</v>
          </cell>
          <cell r="L777">
            <v>3000</v>
          </cell>
        </row>
        <row r="778">
          <cell r="B778" t="str">
            <v>TGY1030</v>
          </cell>
          <cell r="D778" t="str">
            <v>TME</v>
          </cell>
          <cell r="G778">
            <v>39720</v>
          </cell>
          <cell r="H778" t="str">
            <v>Installed</v>
          </cell>
          <cell r="J778" t="str">
            <v>Dish</v>
          </cell>
          <cell r="L778">
            <v>1500</v>
          </cell>
        </row>
        <row r="779">
          <cell r="B779" t="str">
            <v>TGY1030</v>
          </cell>
          <cell r="D779" t="str">
            <v>TME</v>
          </cell>
          <cell r="G779">
            <v>39720</v>
          </cell>
          <cell r="H779" t="str">
            <v>Installed</v>
          </cell>
          <cell r="J779" t="str">
            <v>Dish</v>
          </cell>
          <cell r="L779">
            <v>2700</v>
          </cell>
        </row>
        <row r="780">
          <cell r="B780" t="str">
            <v>TGY1030</v>
          </cell>
          <cell r="D780" t="str">
            <v>TME</v>
          </cell>
          <cell r="G780">
            <v>39720</v>
          </cell>
          <cell r="H780" t="str">
            <v>Installed</v>
          </cell>
          <cell r="J780" t="str">
            <v>Omni</v>
          </cell>
          <cell r="L780">
            <v>2000</v>
          </cell>
        </row>
        <row r="781">
          <cell r="B781" t="str">
            <v>TLS2029</v>
          </cell>
          <cell r="D781" t="str">
            <v>TME</v>
          </cell>
          <cell r="G781">
            <v>39682</v>
          </cell>
          <cell r="H781" t="str">
            <v>Installed</v>
          </cell>
          <cell r="J781" t="str">
            <v>Dish</v>
          </cell>
          <cell r="L781">
            <v>1200</v>
          </cell>
        </row>
        <row r="782">
          <cell r="B782" t="str">
            <v>TLS2029</v>
          </cell>
          <cell r="D782" t="str">
            <v>TME</v>
          </cell>
          <cell r="G782">
            <v>39682</v>
          </cell>
          <cell r="H782" t="str">
            <v>Installed</v>
          </cell>
          <cell r="J782" t="str">
            <v>Dish</v>
          </cell>
          <cell r="L782">
            <v>600</v>
          </cell>
        </row>
        <row r="783">
          <cell r="B783" t="str">
            <v>TLS2029</v>
          </cell>
          <cell r="D783" t="str">
            <v>TME</v>
          </cell>
          <cell r="G783">
            <v>39682</v>
          </cell>
          <cell r="H783" t="str">
            <v>Installed</v>
          </cell>
          <cell r="J783" t="str">
            <v>Dish</v>
          </cell>
          <cell r="L783">
            <v>1000</v>
          </cell>
        </row>
        <row r="784">
          <cell r="B784" t="str">
            <v>TLS2029</v>
          </cell>
          <cell r="D784" t="str">
            <v>TME</v>
          </cell>
          <cell r="G784">
            <v>40240</v>
          </cell>
          <cell r="H784" t="str">
            <v>Removed</v>
          </cell>
          <cell r="J784" t="str">
            <v>Other</v>
          </cell>
          <cell r="L784">
            <v>200</v>
          </cell>
        </row>
        <row r="785">
          <cell r="B785" t="str">
            <v>TLS2029</v>
          </cell>
          <cell r="D785" t="str">
            <v>TME</v>
          </cell>
          <cell r="G785">
            <v>39682</v>
          </cell>
          <cell r="H785" t="str">
            <v>Installed</v>
          </cell>
          <cell r="J785" t="str">
            <v>Dish</v>
          </cell>
          <cell r="L785">
            <v>2000</v>
          </cell>
        </row>
        <row r="786">
          <cell r="B786" t="str">
            <v>TLS2029</v>
          </cell>
          <cell r="D786" t="str">
            <v>TME</v>
          </cell>
          <cell r="G786">
            <v>39682</v>
          </cell>
          <cell r="H786" t="str">
            <v>Obsolete</v>
          </cell>
          <cell r="J786" t="str">
            <v>Omni</v>
          </cell>
          <cell r="L786">
            <v>1000</v>
          </cell>
        </row>
        <row r="787">
          <cell r="B787" t="str">
            <v>TLS2029</v>
          </cell>
          <cell r="D787" t="str">
            <v>TME</v>
          </cell>
          <cell r="G787">
            <v>39682</v>
          </cell>
          <cell r="H787" t="str">
            <v>Obsolete</v>
          </cell>
          <cell r="J787" t="str">
            <v>Omni</v>
          </cell>
          <cell r="L787">
            <v>750</v>
          </cell>
        </row>
        <row r="788">
          <cell r="B788" t="str">
            <v>TLS2029</v>
          </cell>
          <cell r="D788" t="str">
            <v>TME</v>
          </cell>
          <cell r="G788">
            <v>41141</v>
          </cell>
          <cell r="H788" t="str">
            <v>Removed</v>
          </cell>
          <cell r="J788" t="str">
            <v>Dish</v>
          </cell>
          <cell r="L788">
            <v>700</v>
          </cell>
        </row>
        <row r="789">
          <cell r="B789" t="str">
            <v>TLS2029</v>
          </cell>
          <cell r="D789" t="str">
            <v>TME</v>
          </cell>
          <cell r="G789">
            <v>40240</v>
          </cell>
          <cell r="H789" t="str">
            <v>Removed</v>
          </cell>
          <cell r="J789" t="str">
            <v>Other</v>
          </cell>
          <cell r="L789">
            <v>200</v>
          </cell>
        </row>
        <row r="790">
          <cell r="B790" t="str">
            <v>TLS2029</v>
          </cell>
          <cell r="D790" t="str">
            <v>TME</v>
          </cell>
          <cell r="G790">
            <v>39682</v>
          </cell>
          <cell r="H790" t="str">
            <v>Installed</v>
          </cell>
          <cell r="J790" t="str">
            <v>Dish</v>
          </cell>
          <cell r="L790">
            <v>600</v>
          </cell>
        </row>
        <row r="791">
          <cell r="B791" t="str">
            <v>TLS2029</v>
          </cell>
          <cell r="D791" t="str">
            <v>TME</v>
          </cell>
          <cell r="G791">
            <v>39682</v>
          </cell>
          <cell r="H791" t="str">
            <v>Installed</v>
          </cell>
          <cell r="J791" t="str">
            <v>Dish</v>
          </cell>
          <cell r="L791">
            <v>600</v>
          </cell>
        </row>
        <row r="792">
          <cell r="B792" t="str">
            <v>TLS2029</v>
          </cell>
          <cell r="D792" t="str">
            <v>TME</v>
          </cell>
          <cell r="G792">
            <v>39682</v>
          </cell>
          <cell r="H792" t="str">
            <v>Obsolete</v>
          </cell>
          <cell r="J792" t="str">
            <v>Dish</v>
          </cell>
          <cell r="L792">
            <v>1200</v>
          </cell>
        </row>
        <row r="793">
          <cell r="B793" t="str">
            <v>TLS2029</v>
          </cell>
          <cell r="D793" t="str">
            <v>TME</v>
          </cell>
          <cell r="G793">
            <v>41452</v>
          </cell>
          <cell r="H793" t="str">
            <v>Removed</v>
          </cell>
          <cell r="J793" t="str">
            <v>Dish</v>
          </cell>
          <cell r="L793">
            <v>2000</v>
          </cell>
        </row>
        <row r="794">
          <cell r="B794" t="str">
            <v>TLS2029</v>
          </cell>
          <cell r="D794" t="str">
            <v>TME</v>
          </cell>
          <cell r="G794">
            <v>41452</v>
          </cell>
          <cell r="H794" t="str">
            <v>Removed</v>
          </cell>
          <cell r="J794" t="str">
            <v>Dish</v>
          </cell>
          <cell r="L794">
            <v>2000</v>
          </cell>
        </row>
        <row r="795">
          <cell r="B795" t="str">
            <v>TLS2029</v>
          </cell>
          <cell r="D795" t="str">
            <v>TME</v>
          </cell>
          <cell r="G795">
            <v>40200</v>
          </cell>
          <cell r="H795" t="str">
            <v>Removed</v>
          </cell>
          <cell r="J795" t="str">
            <v>Dish</v>
          </cell>
          <cell r="L795">
            <v>2500</v>
          </cell>
        </row>
        <row r="796">
          <cell r="B796" t="str">
            <v>TLS2029</v>
          </cell>
          <cell r="D796" t="str">
            <v>TME</v>
          </cell>
          <cell r="G796">
            <v>39682</v>
          </cell>
          <cell r="H796" t="str">
            <v>Installed</v>
          </cell>
          <cell r="J796" t="str">
            <v>Dish</v>
          </cell>
          <cell r="L796">
            <v>1200</v>
          </cell>
        </row>
        <row r="797">
          <cell r="B797" t="str">
            <v>TLS2029</v>
          </cell>
          <cell r="D797" t="str">
            <v>TME</v>
          </cell>
          <cell r="G797">
            <v>41130</v>
          </cell>
          <cell r="H797" t="str">
            <v>Removed</v>
          </cell>
          <cell r="J797" t="str">
            <v>Omni</v>
          </cell>
          <cell r="L797">
            <v>1000</v>
          </cell>
        </row>
        <row r="798">
          <cell r="B798" t="str">
            <v>TLS2029</v>
          </cell>
          <cell r="D798" t="str">
            <v>TME</v>
          </cell>
          <cell r="G798">
            <v>40200</v>
          </cell>
          <cell r="H798" t="str">
            <v>Removed</v>
          </cell>
          <cell r="J798" t="str">
            <v>Dish</v>
          </cell>
          <cell r="L798">
            <v>2500</v>
          </cell>
        </row>
        <row r="799">
          <cell r="B799" t="str">
            <v>TLS2029</v>
          </cell>
          <cell r="D799" t="str">
            <v>TME</v>
          </cell>
          <cell r="G799">
            <v>41317</v>
          </cell>
          <cell r="H799" t="str">
            <v>Installed</v>
          </cell>
          <cell r="J799" t="str">
            <v>Dish</v>
          </cell>
          <cell r="L799">
            <v>900</v>
          </cell>
        </row>
        <row r="800">
          <cell r="B800" t="str">
            <v>TKY1031</v>
          </cell>
          <cell r="D800" t="str">
            <v>TME</v>
          </cell>
          <cell r="G800">
            <v>39699</v>
          </cell>
          <cell r="H800" t="str">
            <v>Obsolete</v>
          </cell>
          <cell r="J800" t="str">
            <v>Dish</v>
          </cell>
          <cell r="L800">
            <v>3000</v>
          </cell>
        </row>
        <row r="801">
          <cell r="B801" t="str">
            <v>TKY1031</v>
          </cell>
          <cell r="D801" t="str">
            <v>TME</v>
          </cell>
          <cell r="G801">
            <v>39699</v>
          </cell>
          <cell r="H801" t="str">
            <v>Installed</v>
          </cell>
          <cell r="J801" t="str">
            <v>Dish</v>
          </cell>
          <cell r="L801">
            <v>1200</v>
          </cell>
        </row>
        <row r="802">
          <cell r="B802" t="str">
            <v>TKY1031</v>
          </cell>
          <cell r="D802" t="str">
            <v>TME</v>
          </cell>
          <cell r="G802">
            <v>39699</v>
          </cell>
          <cell r="H802" t="str">
            <v>Installed</v>
          </cell>
          <cell r="J802" t="str">
            <v>Dish</v>
          </cell>
          <cell r="L802">
            <v>1200</v>
          </cell>
        </row>
        <row r="803">
          <cell r="B803" t="str">
            <v>TKY1031</v>
          </cell>
          <cell r="D803" t="str">
            <v>TME</v>
          </cell>
          <cell r="G803">
            <v>39699</v>
          </cell>
          <cell r="H803" t="str">
            <v>Installed</v>
          </cell>
          <cell r="J803" t="str">
            <v>Dish</v>
          </cell>
          <cell r="L803">
            <v>1200</v>
          </cell>
        </row>
        <row r="804">
          <cell r="B804" t="str">
            <v>TKY1031</v>
          </cell>
          <cell r="D804" t="str">
            <v>TME</v>
          </cell>
          <cell r="G804">
            <v>41197</v>
          </cell>
          <cell r="H804" t="str">
            <v>Removed</v>
          </cell>
          <cell r="J804" t="str">
            <v>Panel</v>
          </cell>
          <cell r="L804">
            <v>800</v>
          </cell>
        </row>
        <row r="805">
          <cell r="B805" t="str">
            <v>TKY1031</v>
          </cell>
          <cell r="D805" t="str">
            <v>TME</v>
          </cell>
          <cell r="G805">
            <v>40051</v>
          </cell>
          <cell r="H805" t="str">
            <v>Installed</v>
          </cell>
          <cell r="J805" t="str">
            <v>Dish</v>
          </cell>
          <cell r="L805">
            <v>600</v>
          </cell>
        </row>
        <row r="806">
          <cell r="B806" t="str">
            <v>TKY1031</v>
          </cell>
          <cell r="D806" t="str">
            <v>TME</v>
          </cell>
          <cell r="G806">
            <v>40266</v>
          </cell>
          <cell r="H806" t="str">
            <v>Installed</v>
          </cell>
          <cell r="J806" t="str">
            <v>Dish</v>
          </cell>
          <cell r="L806">
            <v>600</v>
          </cell>
        </row>
        <row r="807">
          <cell r="B807" t="str">
            <v>TTP1032</v>
          </cell>
          <cell r="D807" t="str">
            <v>TME</v>
          </cell>
          <cell r="G807">
            <v>39643</v>
          </cell>
          <cell r="H807" t="str">
            <v>Prop Removal</v>
          </cell>
          <cell r="J807" t="str">
            <v>Dish</v>
          </cell>
          <cell r="L807">
            <v>1500</v>
          </cell>
        </row>
        <row r="808">
          <cell r="B808" t="str">
            <v>TTP1032</v>
          </cell>
          <cell r="D808" t="str">
            <v>TME</v>
          </cell>
          <cell r="G808">
            <v>41389</v>
          </cell>
          <cell r="H808" t="str">
            <v>Removed</v>
          </cell>
          <cell r="J808" t="str">
            <v>Dish</v>
          </cell>
          <cell r="L808">
            <v>2000</v>
          </cell>
        </row>
        <row r="809">
          <cell r="B809" t="str">
            <v>TTP1032</v>
          </cell>
          <cell r="D809" t="str">
            <v>TME</v>
          </cell>
          <cell r="G809">
            <v>41389</v>
          </cell>
          <cell r="H809" t="str">
            <v>Removed</v>
          </cell>
          <cell r="J809" t="str">
            <v>Dish</v>
          </cell>
          <cell r="L809">
            <v>2000</v>
          </cell>
        </row>
        <row r="810">
          <cell r="B810" t="str">
            <v>TTP1032</v>
          </cell>
          <cell r="D810" t="str">
            <v>TME</v>
          </cell>
          <cell r="G810">
            <v>39643</v>
          </cell>
          <cell r="H810" t="str">
            <v>Installed</v>
          </cell>
          <cell r="J810" t="str">
            <v>Dish</v>
          </cell>
          <cell r="L810">
            <v>600</v>
          </cell>
        </row>
        <row r="811">
          <cell r="B811" t="str">
            <v>TTP1032</v>
          </cell>
          <cell r="D811" t="str">
            <v>TME</v>
          </cell>
          <cell r="G811">
            <v>39643</v>
          </cell>
          <cell r="H811" t="str">
            <v>Installed</v>
          </cell>
          <cell r="J811" t="str">
            <v>Dish</v>
          </cell>
          <cell r="L811">
            <v>600</v>
          </cell>
        </row>
        <row r="812">
          <cell r="B812" t="str">
            <v>TTP1032</v>
          </cell>
          <cell r="D812" t="str">
            <v>TME</v>
          </cell>
          <cell r="G812">
            <v>41389</v>
          </cell>
          <cell r="H812" t="str">
            <v>Removed</v>
          </cell>
          <cell r="J812" t="str">
            <v>Dish</v>
          </cell>
          <cell r="L812">
            <v>3000</v>
          </cell>
        </row>
        <row r="813">
          <cell r="B813" t="str">
            <v>TTP1032</v>
          </cell>
          <cell r="D813" t="str">
            <v>TME</v>
          </cell>
          <cell r="G813">
            <v>37907</v>
          </cell>
          <cell r="H813" t="str">
            <v>Prop Removal</v>
          </cell>
          <cell r="J813" t="str">
            <v>Dish</v>
          </cell>
          <cell r="L813">
            <v>600</v>
          </cell>
        </row>
        <row r="814">
          <cell r="B814" t="str">
            <v>TTP1032</v>
          </cell>
          <cell r="D814" t="str">
            <v>TME</v>
          </cell>
          <cell r="G814">
            <v>39643</v>
          </cell>
          <cell r="H814" t="str">
            <v>Installed</v>
          </cell>
          <cell r="J814" t="str">
            <v>Dish</v>
          </cell>
          <cell r="L814">
            <v>600</v>
          </cell>
        </row>
        <row r="815">
          <cell r="B815" t="str">
            <v>TTP1032</v>
          </cell>
          <cell r="D815" t="str">
            <v>TME</v>
          </cell>
          <cell r="G815">
            <v>39643</v>
          </cell>
          <cell r="H815" t="str">
            <v>Prop Removal</v>
          </cell>
          <cell r="J815" t="str">
            <v>Dish</v>
          </cell>
          <cell r="L815">
            <v>600</v>
          </cell>
        </row>
        <row r="816">
          <cell r="B816" t="str">
            <v>TTP1032</v>
          </cell>
          <cell r="D816" t="str">
            <v>TME</v>
          </cell>
          <cell r="G816">
            <v>39818</v>
          </cell>
          <cell r="H816" t="str">
            <v>Removed</v>
          </cell>
          <cell r="J816" t="str">
            <v>Dish</v>
          </cell>
          <cell r="L816">
            <v>3000</v>
          </cell>
        </row>
        <row r="817">
          <cell r="B817" t="str">
            <v>TTP1032</v>
          </cell>
          <cell r="D817" t="str">
            <v>TME</v>
          </cell>
          <cell r="G817">
            <v>41389</v>
          </cell>
          <cell r="H817" t="str">
            <v>Removed</v>
          </cell>
          <cell r="J817" t="str">
            <v>Dish</v>
          </cell>
          <cell r="L817">
            <v>1500</v>
          </cell>
        </row>
        <row r="818">
          <cell r="B818" t="str">
            <v>TTP1032</v>
          </cell>
          <cell r="D818" t="str">
            <v>TME</v>
          </cell>
          <cell r="G818">
            <v>39643</v>
          </cell>
          <cell r="H818" t="str">
            <v>Removed</v>
          </cell>
          <cell r="J818" t="str">
            <v>Dish</v>
          </cell>
          <cell r="L818">
            <v>1000</v>
          </cell>
        </row>
        <row r="819">
          <cell r="B819" t="str">
            <v>TTP1032</v>
          </cell>
          <cell r="D819" t="str">
            <v>TME</v>
          </cell>
          <cell r="G819">
            <v>39818</v>
          </cell>
          <cell r="H819" t="str">
            <v>Removed</v>
          </cell>
          <cell r="J819" t="str">
            <v>Dish</v>
          </cell>
          <cell r="L819">
            <v>3000</v>
          </cell>
        </row>
        <row r="820">
          <cell r="B820" t="str">
            <v>TTP1032</v>
          </cell>
          <cell r="D820" t="str">
            <v>TME</v>
          </cell>
          <cell r="G820">
            <v>41389</v>
          </cell>
          <cell r="H820" t="str">
            <v>Removed</v>
          </cell>
          <cell r="J820" t="str">
            <v>Dish</v>
          </cell>
          <cell r="L820">
            <v>3000</v>
          </cell>
        </row>
        <row r="821">
          <cell r="B821" t="str">
            <v>TOY3013</v>
          </cell>
          <cell r="D821" t="str">
            <v>TME</v>
          </cell>
          <cell r="G821">
            <v>39659</v>
          </cell>
          <cell r="H821" t="str">
            <v>Installed</v>
          </cell>
          <cell r="J821" t="str">
            <v>Dish</v>
          </cell>
          <cell r="L821">
            <v>1000</v>
          </cell>
        </row>
        <row r="822">
          <cell r="B822" t="str">
            <v>TOY3013</v>
          </cell>
          <cell r="D822" t="str">
            <v>TME</v>
          </cell>
          <cell r="G822">
            <v>41430</v>
          </cell>
          <cell r="H822" t="str">
            <v>Removed</v>
          </cell>
          <cell r="J822" t="str">
            <v>Dish</v>
          </cell>
          <cell r="L822">
            <v>1400</v>
          </cell>
        </row>
        <row r="823">
          <cell r="B823" t="str">
            <v>TGY2030</v>
          </cell>
          <cell r="D823" t="str">
            <v>TME</v>
          </cell>
          <cell r="G823">
            <v>39647</v>
          </cell>
          <cell r="H823" t="str">
            <v>Installed</v>
          </cell>
          <cell r="J823" t="str">
            <v>Dish</v>
          </cell>
          <cell r="L823">
            <v>1000</v>
          </cell>
        </row>
        <row r="824">
          <cell r="B824" t="str">
            <v>TGY2030</v>
          </cell>
          <cell r="D824" t="str">
            <v>TME</v>
          </cell>
          <cell r="G824">
            <v>41155</v>
          </cell>
          <cell r="H824" t="str">
            <v>Removed</v>
          </cell>
          <cell r="J824" t="str">
            <v>Other</v>
          </cell>
          <cell r="L824">
            <v>1300</v>
          </cell>
        </row>
        <row r="825">
          <cell r="B825" t="str">
            <v>TGY2030</v>
          </cell>
          <cell r="D825" t="str">
            <v>TME</v>
          </cell>
          <cell r="G825">
            <v>39647</v>
          </cell>
          <cell r="H825" t="str">
            <v>Installed</v>
          </cell>
          <cell r="J825" t="str">
            <v>Dish</v>
          </cell>
          <cell r="L825">
            <v>600</v>
          </cell>
        </row>
        <row r="826">
          <cell r="B826" t="str">
            <v>TGY2030</v>
          </cell>
          <cell r="D826" t="str">
            <v>TME</v>
          </cell>
          <cell r="G826">
            <v>39647</v>
          </cell>
          <cell r="H826" t="str">
            <v>Installed</v>
          </cell>
          <cell r="J826" t="str">
            <v>Dish</v>
          </cell>
          <cell r="L826">
            <v>600</v>
          </cell>
        </row>
        <row r="827">
          <cell r="B827" t="str">
            <v>TDL3014</v>
          </cell>
          <cell r="D827" t="str">
            <v>TME</v>
          </cell>
          <cell r="G827">
            <v>41358</v>
          </cell>
          <cell r="H827" t="str">
            <v>Removed</v>
          </cell>
          <cell r="J827" t="str">
            <v>Dish</v>
          </cell>
          <cell r="L827">
            <v>2000</v>
          </cell>
        </row>
        <row r="828">
          <cell r="B828" t="str">
            <v>TDL3014</v>
          </cell>
          <cell r="D828" t="str">
            <v>TME</v>
          </cell>
          <cell r="G828">
            <v>40246</v>
          </cell>
          <cell r="H828" t="str">
            <v>Removed</v>
          </cell>
          <cell r="J828" t="str">
            <v>Other</v>
          </cell>
          <cell r="L828" t="str">
            <v>-</v>
          </cell>
        </row>
        <row r="829">
          <cell r="B829" t="str">
            <v>TDL3014</v>
          </cell>
          <cell r="D829" t="str">
            <v>TME</v>
          </cell>
          <cell r="G829">
            <v>40246</v>
          </cell>
          <cell r="H829" t="str">
            <v>Removed</v>
          </cell>
          <cell r="J829" t="str">
            <v>Other</v>
          </cell>
          <cell r="L829" t="str">
            <v>-</v>
          </cell>
        </row>
        <row r="830">
          <cell r="B830" t="str">
            <v>TDL3014</v>
          </cell>
          <cell r="D830" t="str">
            <v>TME</v>
          </cell>
          <cell r="G830">
            <v>39598</v>
          </cell>
          <cell r="H830" t="str">
            <v>Installed</v>
          </cell>
          <cell r="J830" t="str">
            <v>Dish</v>
          </cell>
          <cell r="L830">
            <v>1200</v>
          </cell>
        </row>
        <row r="831">
          <cell r="B831" t="str">
            <v>TDL3014</v>
          </cell>
          <cell r="D831" t="str">
            <v>TME</v>
          </cell>
          <cell r="G831">
            <v>41358</v>
          </cell>
          <cell r="H831" t="str">
            <v>Removed</v>
          </cell>
          <cell r="J831" t="str">
            <v>Dish</v>
          </cell>
          <cell r="L831">
            <v>1000</v>
          </cell>
        </row>
        <row r="832">
          <cell r="B832" t="str">
            <v>TDL3014</v>
          </cell>
          <cell r="D832" t="str">
            <v>TME</v>
          </cell>
          <cell r="G832">
            <v>40380</v>
          </cell>
          <cell r="H832" t="str">
            <v>Installed</v>
          </cell>
          <cell r="J832" t="str">
            <v>Dish</v>
          </cell>
          <cell r="L832">
            <v>300</v>
          </cell>
        </row>
        <row r="833">
          <cell r="B833" t="str">
            <v>TKY2031</v>
          </cell>
          <cell r="D833" t="str">
            <v>TME</v>
          </cell>
          <cell r="G833">
            <v>39617</v>
          </cell>
          <cell r="H833" t="str">
            <v>Installed</v>
          </cell>
          <cell r="J833" t="str">
            <v>Dish</v>
          </cell>
          <cell r="L833">
            <v>600</v>
          </cell>
        </row>
        <row r="834">
          <cell r="B834" t="str">
            <v>TKY2031</v>
          </cell>
          <cell r="D834" t="str">
            <v>TME</v>
          </cell>
          <cell r="G834">
            <v>40002</v>
          </cell>
          <cell r="H834" t="str">
            <v>Removed</v>
          </cell>
          <cell r="J834" t="str">
            <v>Dish</v>
          </cell>
          <cell r="L834">
            <v>1200</v>
          </cell>
        </row>
        <row r="835">
          <cell r="B835" t="str">
            <v>TKY2031</v>
          </cell>
          <cell r="D835" t="str">
            <v>TME</v>
          </cell>
          <cell r="G835">
            <v>39617</v>
          </cell>
          <cell r="H835" t="str">
            <v>Installed</v>
          </cell>
          <cell r="J835" t="str">
            <v>Dish</v>
          </cell>
          <cell r="L835">
            <v>1200</v>
          </cell>
        </row>
        <row r="836">
          <cell r="B836" t="str">
            <v>TKY2031</v>
          </cell>
          <cell r="D836" t="str">
            <v>TME</v>
          </cell>
          <cell r="G836">
            <v>39617</v>
          </cell>
          <cell r="H836" t="str">
            <v>Installed</v>
          </cell>
          <cell r="J836" t="str">
            <v>Dish</v>
          </cell>
          <cell r="L836">
            <v>2000</v>
          </cell>
        </row>
        <row r="837">
          <cell r="B837" t="str">
            <v>TKY2031</v>
          </cell>
          <cell r="D837" t="str">
            <v>TME</v>
          </cell>
          <cell r="G837">
            <v>41548</v>
          </cell>
          <cell r="H837" t="str">
            <v>Removed</v>
          </cell>
          <cell r="J837" t="str">
            <v>Dish</v>
          </cell>
          <cell r="L837">
            <v>600</v>
          </cell>
        </row>
        <row r="838">
          <cell r="B838" t="str">
            <v>TKY2031</v>
          </cell>
          <cell r="D838" t="str">
            <v>TME</v>
          </cell>
          <cell r="G838">
            <v>40002</v>
          </cell>
          <cell r="H838" t="str">
            <v>Installed</v>
          </cell>
          <cell r="J838" t="str">
            <v>Dish</v>
          </cell>
          <cell r="L838">
            <v>1200</v>
          </cell>
        </row>
        <row r="839">
          <cell r="B839" t="str">
            <v>TCK2032</v>
          </cell>
          <cell r="D839" t="str">
            <v>TME</v>
          </cell>
          <cell r="G839">
            <v>39612</v>
          </cell>
          <cell r="H839" t="str">
            <v>Obsolete</v>
          </cell>
          <cell r="J839" t="str">
            <v>Dish</v>
          </cell>
          <cell r="L839">
            <v>2000</v>
          </cell>
        </row>
        <row r="840">
          <cell r="B840" t="str">
            <v>TCK2032</v>
          </cell>
          <cell r="D840" t="str">
            <v>TME</v>
          </cell>
          <cell r="G840">
            <v>41232</v>
          </cell>
          <cell r="H840" t="str">
            <v>Removed</v>
          </cell>
          <cell r="J840" t="str">
            <v>Omni</v>
          </cell>
          <cell r="L840">
            <v>1000</v>
          </cell>
        </row>
        <row r="841">
          <cell r="B841" t="str">
            <v>TCK2032</v>
          </cell>
          <cell r="D841" t="str">
            <v>TME</v>
          </cell>
          <cell r="G841">
            <v>40134</v>
          </cell>
          <cell r="H841" t="str">
            <v>Installed</v>
          </cell>
          <cell r="J841" t="str">
            <v>Dish</v>
          </cell>
          <cell r="L841">
            <v>600</v>
          </cell>
        </row>
        <row r="842">
          <cell r="B842" t="str">
            <v>TGY2033</v>
          </cell>
          <cell r="D842" t="str">
            <v>TME</v>
          </cell>
          <cell r="G842">
            <v>39687</v>
          </cell>
          <cell r="H842" t="str">
            <v>Installed</v>
          </cell>
          <cell r="J842" t="str">
            <v>Dish</v>
          </cell>
          <cell r="L842">
            <v>2000</v>
          </cell>
        </row>
        <row r="843">
          <cell r="B843" t="str">
            <v>TGY2033</v>
          </cell>
          <cell r="D843" t="str">
            <v>TME</v>
          </cell>
          <cell r="G843">
            <v>39687</v>
          </cell>
          <cell r="H843" t="str">
            <v>Installed</v>
          </cell>
          <cell r="J843" t="str">
            <v>Dish</v>
          </cell>
          <cell r="L843">
            <v>2300</v>
          </cell>
        </row>
        <row r="844">
          <cell r="B844" t="str">
            <v>TGY2033</v>
          </cell>
          <cell r="D844" t="str">
            <v>TME</v>
          </cell>
          <cell r="G844">
            <v>39687</v>
          </cell>
          <cell r="H844" t="str">
            <v>Installed</v>
          </cell>
          <cell r="J844" t="str">
            <v>Dish</v>
          </cell>
          <cell r="L844">
            <v>2000</v>
          </cell>
        </row>
        <row r="845">
          <cell r="B845" t="str">
            <v>TGY2033</v>
          </cell>
          <cell r="D845" t="str">
            <v>TME</v>
          </cell>
          <cell r="G845">
            <v>39687</v>
          </cell>
          <cell r="H845" t="str">
            <v>Installed</v>
          </cell>
          <cell r="J845" t="str">
            <v>Dish</v>
          </cell>
          <cell r="L845">
            <v>2000</v>
          </cell>
        </row>
        <row r="846">
          <cell r="B846" t="str">
            <v>TGY2033</v>
          </cell>
          <cell r="D846" t="str">
            <v>TME</v>
          </cell>
          <cell r="G846">
            <v>39687</v>
          </cell>
          <cell r="H846" t="str">
            <v>Installed</v>
          </cell>
          <cell r="J846" t="str">
            <v>Dish</v>
          </cell>
          <cell r="L846">
            <v>2400</v>
          </cell>
        </row>
        <row r="847">
          <cell r="B847" t="str">
            <v>TGY2033</v>
          </cell>
          <cell r="D847" t="str">
            <v>TME</v>
          </cell>
          <cell r="G847">
            <v>39687</v>
          </cell>
          <cell r="H847" t="str">
            <v>Installed</v>
          </cell>
          <cell r="J847" t="str">
            <v>Dish</v>
          </cell>
          <cell r="L847">
            <v>1200</v>
          </cell>
        </row>
        <row r="848">
          <cell r="B848" t="str">
            <v>TGY2033</v>
          </cell>
          <cell r="D848" t="str">
            <v>TME</v>
          </cell>
          <cell r="G848">
            <v>41409</v>
          </cell>
          <cell r="H848" t="str">
            <v>Removed</v>
          </cell>
          <cell r="J848" t="str">
            <v>Dish</v>
          </cell>
          <cell r="L848">
            <v>600</v>
          </cell>
        </row>
        <row r="849">
          <cell r="B849" t="str">
            <v>TGY2033</v>
          </cell>
          <cell r="D849" t="str">
            <v>TME</v>
          </cell>
          <cell r="G849">
            <v>39687</v>
          </cell>
          <cell r="H849" t="str">
            <v>Installed</v>
          </cell>
          <cell r="J849" t="str">
            <v>Dish</v>
          </cell>
          <cell r="L849">
            <v>2000</v>
          </cell>
        </row>
        <row r="850">
          <cell r="B850" t="str">
            <v>TGY2033</v>
          </cell>
          <cell r="D850" t="str">
            <v>TME</v>
          </cell>
          <cell r="G850">
            <v>41316</v>
          </cell>
          <cell r="H850" t="str">
            <v>Removed</v>
          </cell>
          <cell r="J850" t="str">
            <v>Dish</v>
          </cell>
          <cell r="L850">
            <v>3200</v>
          </cell>
        </row>
        <row r="851">
          <cell r="B851" t="str">
            <v>TGY2033</v>
          </cell>
          <cell r="D851" t="str">
            <v>TME</v>
          </cell>
          <cell r="G851">
            <v>40997</v>
          </cell>
          <cell r="H851" t="str">
            <v>Prop Removal</v>
          </cell>
          <cell r="J851" t="str">
            <v>Dish</v>
          </cell>
          <cell r="L851">
            <v>600</v>
          </cell>
        </row>
        <row r="852">
          <cell r="B852" t="str">
            <v>TGY2033</v>
          </cell>
          <cell r="D852" t="str">
            <v>TME</v>
          </cell>
          <cell r="G852">
            <v>39687</v>
          </cell>
          <cell r="H852" t="str">
            <v>Installed</v>
          </cell>
          <cell r="J852" t="str">
            <v>Dish</v>
          </cell>
          <cell r="L852">
            <v>600</v>
          </cell>
        </row>
        <row r="853">
          <cell r="B853" t="str">
            <v>TGY2033</v>
          </cell>
          <cell r="D853" t="str">
            <v>TME</v>
          </cell>
          <cell r="G853">
            <v>39687</v>
          </cell>
          <cell r="H853" t="str">
            <v>Installed</v>
          </cell>
          <cell r="J853" t="str">
            <v>Dish</v>
          </cell>
          <cell r="L853">
            <v>600</v>
          </cell>
        </row>
        <row r="854">
          <cell r="B854" t="str">
            <v>TGY2033</v>
          </cell>
          <cell r="D854" t="str">
            <v>TME</v>
          </cell>
          <cell r="G854">
            <v>39687</v>
          </cell>
          <cell r="H854" t="str">
            <v>Installed</v>
          </cell>
          <cell r="J854" t="str">
            <v>Dish</v>
          </cell>
          <cell r="L854">
            <v>2400</v>
          </cell>
        </row>
        <row r="855">
          <cell r="B855" t="str">
            <v>TGY2033</v>
          </cell>
          <cell r="D855" t="str">
            <v>TME</v>
          </cell>
          <cell r="G855">
            <v>41113</v>
          </cell>
          <cell r="H855" t="str">
            <v>Removed</v>
          </cell>
          <cell r="J855" t="str">
            <v>Dish</v>
          </cell>
          <cell r="L855">
            <v>3200</v>
          </cell>
        </row>
        <row r="856">
          <cell r="B856" t="str">
            <v>TGY2033</v>
          </cell>
          <cell r="D856" t="str">
            <v>TME</v>
          </cell>
          <cell r="G856">
            <v>39687</v>
          </cell>
          <cell r="H856" t="str">
            <v>Installed</v>
          </cell>
          <cell r="J856" t="str">
            <v>Dish</v>
          </cell>
          <cell r="L856">
            <v>2000</v>
          </cell>
        </row>
        <row r="857">
          <cell r="B857" t="str">
            <v>TGY2033</v>
          </cell>
          <cell r="D857" t="str">
            <v>TME</v>
          </cell>
          <cell r="G857">
            <v>40260</v>
          </cell>
          <cell r="H857" t="str">
            <v>Removed</v>
          </cell>
          <cell r="J857" t="str">
            <v>Other</v>
          </cell>
          <cell r="L857" t="str">
            <v>-</v>
          </cell>
        </row>
        <row r="858">
          <cell r="B858" t="str">
            <v>TGY2033</v>
          </cell>
          <cell r="D858" t="str">
            <v>TME</v>
          </cell>
          <cell r="G858">
            <v>41113</v>
          </cell>
          <cell r="H858" t="str">
            <v>Removed</v>
          </cell>
          <cell r="J858" t="str">
            <v>Other</v>
          </cell>
          <cell r="L858">
            <v>1000</v>
          </cell>
        </row>
        <row r="859">
          <cell r="B859" t="str">
            <v>TGY2033</v>
          </cell>
          <cell r="D859" t="str">
            <v>TME</v>
          </cell>
          <cell r="G859">
            <v>41113</v>
          </cell>
          <cell r="H859" t="str">
            <v>Removed</v>
          </cell>
          <cell r="J859" t="str">
            <v>Other</v>
          </cell>
          <cell r="L859">
            <v>1000</v>
          </cell>
        </row>
        <row r="860">
          <cell r="B860" t="str">
            <v>TGY2033</v>
          </cell>
          <cell r="D860" t="str">
            <v>TME</v>
          </cell>
          <cell r="G860">
            <v>40260</v>
          </cell>
          <cell r="H860" t="str">
            <v>Removed</v>
          </cell>
          <cell r="J860" t="str">
            <v>Other</v>
          </cell>
          <cell r="L860" t="str">
            <v>-</v>
          </cell>
        </row>
        <row r="861">
          <cell r="B861" t="str">
            <v>TGY2033</v>
          </cell>
          <cell r="D861" t="str">
            <v>TME</v>
          </cell>
          <cell r="G861">
            <v>41113</v>
          </cell>
          <cell r="H861" t="str">
            <v>Removed</v>
          </cell>
          <cell r="J861" t="str">
            <v>Panel</v>
          </cell>
          <cell r="L861">
            <v>1000</v>
          </cell>
        </row>
        <row r="862">
          <cell r="B862" t="str">
            <v>TGY2033</v>
          </cell>
          <cell r="D862" t="str">
            <v>TME</v>
          </cell>
          <cell r="G862">
            <v>40260</v>
          </cell>
          <cell r="H862" t="str">
            <v>Removed</v>
          </cell>
          <cell r="J862" t="str">
            <v>Other</v>
          </cell>
          <cell r="L862" t="str">
            <v>-</v>
          </cell>
        </row>
        <row r="863">
          <cell r="B863" t="str">
            <v>TGY2033</v>
          </cell>
          <cell r="D863" t="str">
            <v>TME</v>
          </cell>
          <cell r="G863">
            <v>41113</v>
          </cell>
          <cell r="H863" t="str">
            <v>Removed</v>
          </cell>
          <cell r="J863" t="str">
            <v>Panel</v>
          </cell>
          <cell r="L863">
            <v>950</v>
          </cell>
        </row>
        <row r="864">
          <cell r="B864" t="str">
            <v>TGY2033</v>
          </cell>
          <cell r="D864" t="str">
            <v>TME</v>
          </cell>
          <cell r="G864">
            <v>39687</v>
          </cell>
          <cell r="H864" t="str">
            <v>Installed</v>
          </cell>
          <cell r="J864" t="str">
            <v>Dish</v>
          </cell>
          <cell r="L864">
            <v>600</v>
          </cell>
        </row>
        <row r="865">
          <cell r="B865" t="str">
            <v>TGY2033</v>
          </cell>
          <cell r="D865" t="str">
            <v>TME</v>
          </cell>
          <cell r="G865">
            <v>41113</v>
          </cell>
          <cell r="H865" t="str">
            <v>Removed</v>
          </cell>
          <cell r="J865" t="str">
            <v>Panel</v>
          </cell>
          <cell r="L865">
            <v>950</v>
          </cell>
        </row>
        <row r="866">
          <cell r="B866" t="str">
            <v>TGY2033</v>
          </cell>
          <cell r="D866" t="str">
            <v>TME</v>
          </cell>
          <cell r="G866">
            <v>39687</v>
          </cell>
          <cell r="H866" t="str">
            <v>Installed</v>
          </cell>
          <cell r="J866" t="str">
            <v>Omni</v>
          </cell>
          <cell r="L866">
            <v>1000</v>
          </cell>
        </row>
        <row r="867">
          <cell r="B867" t="str">
            <v>TGY2033</v>
          </cell>
          <cell r="D867" t="str">
            <v>TME</v>
          </cell>
          <cell r="G867">
            <v>41113</v>
          </cell>
          <cell r="H867" t="str">
            <v>Removed</v>
          </cell>
          <cell r="J867" t="str">
            <v>Panel</v>
          </cell>
          <cell r="L867">
            <v>1000</v>
          </cell>
        </row>
        <row r="868">
          <cell r="B868" t="str">
            <v>TGY2033</v>
          </cell>
          <cell r="D868" t="str">
            <v>TME</v>
          </cell>
          <cell r="G868">
            <v>41113</v>
          </cell>
          <cell r="H868" t="str">
            <v>Removed</v>
          </cell>
          <cell r="J868" t="str">
            <v>Panel</v>
          </cell>
          <cell r="L868">
            <v>950</v>
          </cell>
        </row>
        <row r="869">
          <cell r="B869" t="str">
            <v>TGY2033</v>
          </cell>
          <cell r="D869" t="str">
            <v>TME</v>
          </cell>
          <cell r="G869">
            <v>41113</v>
          </cell>
          <cell r="H869" t="str">
            <v>Removed</v>
          </cell>
          <cell r="J869" t="str">
            <v>Panel</v>
          </cell>
          <cell r="L869">
            <v>1000</v>
          </cell>
        </row>
        <row r="870">
          <cell r="B870" t="str">
            <v>TGY2033</v>
          </cell>
          <cell r="D870" t="str">
            <v>TME</v>
          </cell>
          <cell r="G870">
            <v>40983</v>
          </cell>
          <cell r="H870" t="str">
            <v>Installed</v>
          </cell>
          <cell r="J870" t="str">
            <v>Dish</v>
          </cell>
          <cell r="L870">
            <v>900</v>
          </cell>
        </row>
        <row r="871">
          <cell r="B871" t="str">
            <v>TMO1033</v>
          </cell>
          <cell r="D871" t="str">
            <v>TME</v>
          </cell>
          <cell r="G871">
            <v>41124</v>
          </cell>
          <cell r="H871" t="str">
            <v>Removed</v>
          </cell>
          <cell r="J871" t="str">
            <v>Dish</v>
          </cell>
          <cell r="L871">
            <v>600</v>
          </cell>
        </row>
        <row r="872">
          <cell r="B872" t="str">
            <v>TMO1033</v>
          </cell>
          <cell r="D872" t="str">
            <v>TME</v>
          </cell>
          <cell r="G872">
            <v>41124</v>
          </cell>
          <cell r="H872" t="str">
            <v>Removed</v>
          </cell>
          <cell r="J872" t="str">
            <v>Dish</v>
          </cell>
          <cell r="L872">
            <v>600</v>
          </cell>
        </row>
        <row r="873">
          <cell r="B873" t="str">
            <v>TMO1033</v>
          </cell>
          <cell r="D873" t="str">
            <v>TME</v>
          </cell>
          <cell r="G873">
            <v>39588</v>
          </cell>
          <cell r="H873" t="str">
            <v>Installed</v>
          </cell>
          <cell r="J873" t="str">
            <v>Omni</v>
          </cell>
          <cell r="L873">
            <v>1000</v>
          </cell>
        </row>
        <row r="874">
          <cell r="B874" t="str">
            <v>TMO1033</v>
          </cell>
          <cell r="D874" t="str">
            <v>TME</v>
          </cell>
          <cell r="G874">
            <v>41402</v>
          </cell>
          <cell r="H874" t="str">
            <v>Removed</v>
          </cell>
          <cell r="J874" t="str">
            <v>Dish</v>
          </cell>
          <cell r="L874">
            <v>600</v>
          </cell>
        </row>
        <row r="875">
          <cell r="B875" t="str">
            <v>TMO1033</v>
          </cell>
          <cell r="D875" t="str">
            <v>TME</v>
          </cell>
          <cell r="G875">
            <v>41465</v>
          </cell>
          <cell r="H875" t="str">
            <v>Removed</v>
          </cell>
          <cell r="J875" t="str">
            <v>Dish</v>
          </cell>
          <cell r="L875">
            <v>600</v>
          </cell>
        </row>
        <row r="876">
          <cell r="B876" t="str">
            <v>TMO1033</v>
          </cell>
          <cell r="D876" t="str">
            <v>TME</v>
          </cell>
          <cell r="G876">
            <v>39588</v>
          </cell>
          <cell r="H876" t="str">
            <v>Installed</v>
          </cell>
          <cell r="J876" t="str">
            <v>Dish</v>
          </cell>
          <cell r="L876">
            <v>2000</v>
          </cell>
        </row>
        <row r="877">
          <cell r="B877" t="str">
            <v>TMO1033</v>
          </cell>
          <cell r="D877" t="str">
            <v>TME</v>
          </cell>
          <cell r="G877">
            <v>40372</v>
          </cell>
          <cell r="H877" t="str">
            <v>Removed</v>
          </cell>
          <cell r="J877" t="str">
            <v>Dish</v>
          </cell>
          <cell r="L877">
            <v>3000</v>
          </cell>
        </row>
        <row r="878">
          <cell r="B878" t="str">
            <v>TMO1033</v>
          </cell>
          <cell r="D878" t="str">
            <v>TME</v>
          </cell>
          <cell r="G878">
            <v>39588</v>
          </cell>
          <cell r="H878" t="str">
            <v>Installed</v>
          </cell>
          <cell r="J878" t="str">
            <v>Dish</v>
          </cell>
          <cell r="L878">
            <v>600</v>
          </cell>
        </row>
        <row r="879">
          <cell r="B879" t="str">
            <v>TMO1033</v>
          </cell>
          <cell r="D879" t="str">
            <v>TME</v>
          </cell>
          <cell r="G879">
            <v>39588</v>
          </cell>
          <cell r="H879" t="str">
            <v>Installed</v>
          </cell>
          <cell r="J879" t="str">
            <v>Dish</v>
          </cell>
          <cell r="L879">
            <v>600</v>
          </cell>
        </row>
        <row r="880">
          <cell r="B880" t="str">
            <v>TMO1033</v>
          </cell>
          <cell r="D880" t="str">
            <v>TME</v>
          </cell>
          <cell r="G880">
            <v>39588</v>
          </cell>
          <cell r="H880" t="str">
            <v>Installed</v>
          </cell>
          <cell r="J880" t="str">
            <v>Dish</v>
          </cell>
          <cell r="L880">
            <v>600</v>
          </cell>
        </row>
        <row r="881">
          <cell r="B881" t="str">
            <v>TMO1033</v>
          </cell>
          <cell r="D881" t="str">
            <v>TME</v>
          </cell>
          <cell r="G881">
            <v>39588</v>
          </cell>
          <cell r="H881" t="str">
            <v>Installed</v>
          </cell>
          <cell r="J881" t="str">
            <v>Dish</v>
          </cell>
          <cell r="L881">
            <v>600</v>
          </cell>
        </row>
        <row r="882">
          <cell r="B882" t="str">
            <v>TMO1033</v>
          </cell>
          <cell r="D882" t="str">
            <v>TME</v>
          </cell>
          <cell r="G882">
            <v>39588</v>
          </cell>
          <cell r="H882" t="str">
            <v>Installed</v>
          </cell>
          <cell r="J882" t="str">
            <v>Dish</v>
          </cell>
          <cell r="L882">
            <v>3000</v>
          </cell>
        </row>
        <row r="883">
          <cell r="B883" t="str">
            <v>TMO1033</v>
          </cell>
          <cell r="D883" t="str">
            <v>TME</v>
          </cell>
          <cell r="G883">
            <v>39588</v>
          </cell>
          <cell r="H883" t="str">
            <v>Installed</v>
          </cell>
          <cell r="J883" t="str">
            <v>Dish</v>
          </cell>
          <cell r="L883">
            <v>2000</v>
          </cell>
        </row>
        <row r="884">
          <cell r="B884" t="str">
            <v>TMO1033</v>
          </cell>
          <cell r="D884" t="str">
            <v>TME</v>
          </cell>
          <cell r="G884">
            <v>41124</v>
          </cell>
          <cell r="H884" t="str">
            <v>Removed</v>
          </cell>
          <cell r="J884" t="str">
            <v>Panel</v>
          </cell>
          <cell r="L884">
            <v>860</v>
          </cell>
        </row>
        <row r="885">
          <cell r="B885" t="str">
            <v>TMO1033</v>
          </cell>
          <cell r="D885" t="str">
            <v>TME</v>
          </cell>
          <cell r="G885">
            <v>41124</v>
          </cell>
          <cell r="H885" t="str">
            <v>Removed</v>
          </cell>
          <cell r="J885" t="str">
            <v>Panel</v>
          </cell>
          <cell r="L885">
            <v>860</v>
          </cell>
        </row>
        <row r="886">
          <cell r="B886" t="str">
            <v>TMO1033</v>
          </cell>
          <cell r="D886" t="str">
            <v>TME</v>
          </cell>
          <cell r="G886">
            <v>39588</v>
          </cell>
          <cell r="H886" t="str">
            <v>Installed</v>
          </cell>
          <cell r="J886" t="str">
            <v>Dish</v>
          </cell>
          <cell r="L886">
            <v>600</v>
          </cell>
        </row>
        <row r="887">
          <cell r="B887" t="str">
            <v>TMO1033</v>
          </cell>
          <cell r="D887" t="str">
            <v>TME</v>
          </cell>
          <cell r="G887">
            <v>39588</v>
          </cell>
          <cell r="H887" t="str">
            <v>Installed</v>
          </cell>
          <cell r="J887" t="str">
            <v>Dish</v>
          </cell>
          <cell r="L887">
            <v>600</v>
          </cell>
        </row>
        <row r="888">
          <cell r="B888" t="str">
            <v>TMO1033</v>
          </cell>
          <cell r="D888" t="str">
            <v>TME</v>
          </cell>
          <cell r="G888">
            <v>39588</v>
          </cell>
          <cell r="H888" t="str">
            <v>Installed</v>
          </cell>
          <cell r="J888" t="str">
            <v>Dish</v>
          </cell>
          <cell r="L888">
            <v>600</v>
          </cell>
        </row>
        <row r="889">
          <cell r="B889" t="str">
            <v>TMO1033</v>
          </cell>
          <cell r="D889" t="str">
            <v>TME</v>
          </cell>
          <cell r="G889">
            <v>39588</v>
          </cell>
          <cell r="H889" t="str">
            <v>Installed</v>
          </cell>
          <cell r="J889" t="str">
            <v>Dish</v>
          </cell>
          <cell r="L889">
            <v>600</v>
          </cell>
        </row>
        <row r="890">
          <cell r="B890" t="str">
            <v>TMO1033</v>
          </cell>
          <cell r="D890" t="str">
            <v>TME</v>
          </cell>
          <cell r="G890">
            <v>39588</v>
          </cell>
          <cell r="H890" t="str">
            <v>Installed</v>
          </cell>
          <cell r="J890" t="str">
            <v>Omni</v>
          </cell>
          <cell r="L890">
            <v>1500</v>
          </cell>
        </row>
        <row r="891">
          <cell r="B891" t="str">
            <v>TMO1033</v>
          </cell>
          <cell r="D891" t="str">
            <v>TME</v>
          </cell>
          <cell r="G891">
            <v>40001</v>
          </cell>
          <cell r="H891" t="str">
            <v>Installed</v>
          </cell>
          <cell r="J891" t="str">
            <v>Dish</v>
          </cell>
          <cell r="L891">
            <v>1200</v>
          </cell>
        </row>
        <row r="892">
          <cell r="B892" t="str">
            <v>TMO1033</v>
          </cell>
          <cell r="D892" t="str">
            <v>TME</v>
          </cell>
          <cell r="G892">
            <v>40084</v>
          </cell>
          <cell r="H892" t="str">
            <v>Installed</v>
          </cell>
          <cell r="J892" t="str">
            <v>Dish</v>
          </cell>
          <cell r="L892">
            <v>600</v>
          </cell>
        </row>
        <row r="893">
          <cell r="B893" t="str">
            <v>TMO1033</v>
          </cell>
          <cell r="D893" t="str">
            <v>TME</v>
          </cell>
          <cell r="G893">
            <v>41029</v>
          </cell>
          <cell r="H893" t="str">
            <v>Installed</v>
          </cell>
          <cell r="J893" t="str">
            <v>Dish</v>
          </cell>
          <cell r="L893">
            <v>600</v>
          </cell>
        </row>
        <row r="894">
          <cell r="B894" t="str">
            <v>TDL1034</v>
          </cell>
          <cell r="D894" t="str">
            <v>TME</v>
          </cell>
          <cell r="G894">
            <v>41354</v>
          </cell>
          <cell r="H894" t="str">
            <v>Removed</v>
          </cell>
          <cell r="J894" t="str">
            <v>Dish</v>
          </cell>
          <cell r="L894">
            <v>2300</v>
          </cell>
        </row>
        <row r="895">
          <cell r="B895" t="str">
            <v>TDL1034</v>
          </cell>
          <cell r="D895" t="str">
            <v>TME</v>
          </cell>
          <cell r="G895">
            <v>41354</v>
          </cell>
          <cell r="H895" t="str">
            <v>Removed</v>
          </cell>
          <cell r="J895" t="str">
            <v>Dish</v>
          </cell>
          <cell r="L895">
            <v>2600</v>
          </cell>
        </row>
        <row r="896">
          <cell r="B896" t="str">
            <v>TDL1034</v>
          </cell>
          <cell r="D896" t="str">
            <v>TME</v>
          </cell>
          <cell r="G896">
            <v>39654</v>
          </cell>
          <cell r="H896" t="str">
            <v>Installed</v>
          </cell>
          <cell r="J896" t="str">
            <v>Dish</v>
          </cell>
          <cell r="L896">
            <v>1200</v>
          </cell>
        </row>
        <row r="897">
          <cell r="B897" t="str">
            <v>TDL1034</v>
          </cell>
          <cell r="D897" t="str">
            <v>TME</v>
          </cell>
          <cell r="G897">
            <v>39654</v>
          </cell>
          <cell r="H897" t="str">
            <v>Installed</v>
          </cell>
          <cell r="J897" t="str">
            <v>Dish</v>
          </cell>
          <cell r="L897">
            <v>1200</v>
          </cell>
        </row>
        <row r="898">
          <cell r="B898" t="str">
            <v>TDL1034</v>
          </cell>
          <cell r="D898" t="str">
            <v>TME</v>
          </cell>
          <cell r="G898">
            <v>41354</v>
          </cell>
          <cell r="H898" t="str">
            <v>Removed</v>
          </cell>
          <cell r="J898" t="str">
            <v>Dish</v>
          </cell>
          <cell r="L898">
            <v>800</v>
          </cell>
        </row>
        <row r="899">
          <cell r="B899" t="str">
            <v>TDL1034</v>
          </cell>
          <cell r="D899" t="str">
            <v>TME</v>
          </cell>
          <cell r="G899">
            <v>39654</v>
          </cell>
          <cell r="H899" t="str">
            <v>Installed</v>
          </cell>
          <cell r="J899" t="str">
            <v>Dish</v>
          </cell>
          <cell r="L899">
            <v>1200</v>
          </cell>
        </row>
        <row r="900">
          <cell r="B900" t="str">
            <v>TDL1034</v>
          </cell>
          <cell r="D900" t="str">
            <v>TME</v>
          </cell>
          <cell r="G900">
            <v>41214</v>
          </cell>
          <cell r="H900" t="str">
            <v>Removed</v>
          </cell>
          <cell r="J900" t="str">
            <v>Panel</v>
          </cell>
          <cell r="L900">
            <v>800</v>
          </cell>
        </row>
        <row r="901">
          <cell r="B901" t="str">
            <v>TDL1034</v>
          </cell>
          <cell r="D901" t="str">
            <v>TME</v>
          </cell>
          <cell r="G901">
            <v>39654</v>
          </cell>
          <cell r="H901" t="str">
            <v>Installed</v>
          </cell>
          <cell r="J901" t="str">
            <v>Dish</v>
          </cell>
          <cell r="L901">
            <v>1200</v>
          </cell>
        </row>
        <row r="902">
          <cell r="B902" t="str">
            <v>TDL1034</v>
          </cell>
          <cell r="D902" t="str">
            <v>TME</v>
          </cell>
          <cell r="G902">
            <v>41354</v>
          </cell>
          <cell r="H902" t="str">
            <v>Removed</v>
          </cell>
          <cell r="J902" t="str">
            <v>Dish</v>
          </cell>
          <cell r="L902">
            <v>1200</v>
          </cell>
        </row>
        <row r="903">
          <cell r="B903" t="str">
            <v>TDL1034</v>
          </cell>
          <cell r="D903" t="str">
            <v>TME</v>
          </cell>
          <cell r="G903">
            <v>39654</v>
          </cell>
          <cell r="H903" t="str">
            <v>Installed</v>
          </cell>
          <cell r="J903" t="str">
            <v>Omni</v>
          </cell>
          <cell r="L903">
            <v>1500</v>
          </cell>
        </row>
        <row r="904">
          <cell r="B904" t="str">
            <v>TDL1034</v>
          </cell>
          <cell r="D904" t="str">
            <v>TME</v>
          </cell>
          <cell r="G904">
            <v>39654</v>
          </cell>
          <cell r="H904" t="str">
            <v>Installed</v>
          </cell>
          <cell r="J904" t="str">
            <v>Dish</v>
          </cell>
          <cell r="L904">
            <v>600</v>
          </cell>
        </row>
        <row r="905">
          <cell r="B905" t="str">
            <v>TDL1034</v>
          </cell>
          <cell r="D905" t="str">
            <v>TME</v>
          </cell>
          <cell r="G905">
            <v>39654</v>
          </cell>
          <cell r="H905" t="str">
            <v>Installed</v>
          </cell>
          <cell r="J905" t="str">
            <v>Dish</v>
          </cell>
          <cell r="L905">
            <v>600</v>
          </cell>
        </row>
        <row r="906">
          <cell r="B906" t="str">
            <v>TDL1034</v>
          </cell>
          <cell r="D906" t="str">
            <v>TME</v>
          </cell>
          <cell r="G906">
            <v>39654</v>
          </cell>
          <cell r="H906" t="str">
            <v>Obsolete</v>
          </cell>
          <cell r="J906" t="str">
            <v>Dish</v>
          </cell>
          <cell r="L906">
            <v>1200</v>
          </cell>
        </row>
        <row r="907">
          <cell r="B907" t="str">
            <v>TDL1034</v>
          </cell>
          <cell r="D907" t="str">
            <v>TME</v>
          </cell>
          <cell r="G907">
            <v>40123</v>
          </cell>
          <cell r="H907" t="str">
            <v>Installed</v>
          </cell>
          <cell r="J907" t="str">
            <v>Dish</v>
          </cell>
          <cell r="L907">
            <v>600</v>
          </cell>
        </row>
        <row r="908">
          <cell r="B908" t="str">
            <v>TDL1034</v>
          </cell>
          <cell r="D908" t="str">
            <v>TME</v>
          </cell>
          <cell r="G908">
            <v>40147</v>
          </cell>
          <cell r="H908" t="str">
            <v>Licenced</v>
          </cell>
          <cell r="J908" t="str">
            <v>Dish</v>
          </cell>
          <cell r="L908">
            <v>600</v>
          </cell>
        </row>
        <row r="909">
          <cell r="B909" t="str">
            <v>TKY1035</v>
          </cell>
          <cell r="D909" t="str">
            <v>TME</v>
          </cell>
          <cell r="G909">
            <v>39645</v>
          </cell>
          <cell r="H909" t="str">
            <v>Installed</v>
          </cell>
          <cell r="J909" t="str">
            <v>Dish</v>
          </cell>
          <cell r="L909">
            <v>2000</v>
          </cell>
        </row>
        <row r="910">
          <cell r="B910" t="str">
            <v>TKY1035</v>
          </cell>
          <cell r="D910" t="str">
            <v>TME</v>
          </cell>
          <cell r="G910">
            <v>39645</v>
          </cell>
          <cell r="H910" t="str">
            <v>Installed</v>
          </cell>
          <cell r="J910" t="str">
            <v>Dish</v>
          </cell>
          <cell r="L910">
            <v>2500</v>
          </cell>
        </row>
        <row r="911">
          <cell r="B911" t="str">
            <v>TKY1035</v>
          </cell>
          <cell r="D911" t="str">
            <v>TME</v>
          </cell>
          <cell r="G911">
            <v>39645</v>
          </cell>
          <cell r="H911" t="str">
            <v>Installed</v>
          </cell>
          <cell r="J911" t="str">
            <v>Dish</v>
          </cell>
          <cell r="L911">
            <v>600</v>
          </cell>
        </row>
        <row r="912">
          <cell r="B912" t="str">
            <v>TKY1035</v>
          </cell>
          <cell r="D912" t="str">
            <v>TME</v>
          </cell>
          <cell r="G912">
            <v>39645</v>
          </cell>
          <cell r="H912" t="str">
            <v>Installed</v>
          </cell>
          <cell r="J912" t="str">
            <v>Dish</v>
          </cell>
          <cell r="L912">
            <v>600</v>
          </cell>
        </row>
        <row r="913">
          <cell r="B913" t="str">
            <v>TKY1035</v>
          </cell>
          <cell r="D913" t="str">
            <v>TME</v>
          </cell>
          <cell r="G913">
            <v>39645</v>
          </cell>
          <cell r="H913" t="str">
            <v>Installed</v>
          </cell>
          <cell r="J913" t="str">
            <v>Dish</v>
          </cell>
          <cell r="L913">
            <v>600</v>
          </cell>
        </row>
        <row r="914">
          <cell r="B914" t="str">
            <v>TKY1035</v>
          </cell>
          <cell r="D914" t="str">
            <v>TME</v>
          </cell>
          <cell r="G914">
            <v>39797</v>
          </cell>
          <cell r="H914" t="str">
            <v>Removed</v>
          </cell>
          <cell r="J914" t="str">
            <v>Dish</v>
          </cell>
          <cell r="L914">
            <v>600</v>
          </cell>
        </row>
        <row r="915">
          <cell r="B915" t="str">
            <v>TKY1035</v>
          </cell>
          <cell r="D915" t="str">
            <v>TME</v>
          </cell>
          <cell r="G915">
            <v>39645</v>
          </cell>
          <cell r="H915" t="str">
            <v>Installed</v>
          </cell>
          <cell r="J915" t="str">
            <v>Dish</v>
          </cell>
          <cell r="L915">
            <v>2000</v>
          </cell>
        </row>
        <row r="916">
          <cell r="B916" t="str">
            <v>TKY1035</v>
          </cell>
          <cell r="D916" t="str">
            <v>TME</v>
          </cell>
          <cell r="G916">
            <v>39645</v>
          </cell>
          <cell r="H916" t="str">
            <v>Installed</v>
          </cell>
          <cell r="J916" t="str">
            <v>Dish</v>
          </cell>
          <cell r="L916">
            <v>600</v>
          </cell>
        </row>
        <row r="917">
          <cell r="B917" t="str">
            <v>TKY1035</v>
          </cell>
          <cell r="D917" t="str">
            <v>TME</v>
          </cell>
          <cell r="G917">
            <v>39652</v>
          </cell>
          <cell r="H917" t="str">
            <v>Installed</v>
          </cell>
          <cell r="J917" t="str">
            <v>Dish</v>
          </cell>
          <cell r="L917">
            <v>1200</v>
          </cell>
        </row>
        <row r="918">
          <cell r="B918" t="str">
            <v>TKY1035</v>
          </cell>
          <cell r="D918" t="str">
            <v>TME</v>
          </cell>
          <cell r="G918">
            <v>39652</v>
          </cell>
          <cell r="H918" t="str">
            <v>Installed</v>
          </cell>
          <cell r="J918" t="str">
            <v>Dish</v>
          </cell>
          <cell r="L918">
            <v>1200</v>
          </cell>
        </row>
        <row r="919">
          <cell r="B919" t="str">
            <v>TKY1035</v>
          </cell>
          <cell r="D919" t="str">
            <v>TME</v>
          </cell>
          <cell r="G919">
            <v>39797</v>
          </cell>
          <cell r="H919" t="str">
            <v>Installed</v>
          </cell>
          <cell r="J919" t="str">
            <v>Dish</v>
          </cell>
          <cell r="L919">
            <v>1200</v>
          </cell>
        </row>
        <row r="920">
          <cell r="B920" t="str">
            <v>TLH1036</v>
          </cell>
          <cell r="D920" t="str">
            <v>TME</v>
          </cell>
          <cell r="G920">
            <v>39797</v>
          </cell>
          <cell r="H920" t="str">
            <v>Removed</v>
          </cell>
          <cell r="J920" t="str">
            <v>Dish</v>
          </cell>
          <cell r="L920">
            <v>3600</v>
          </cell>
        </row>
        <row r="921">
          <cell r="B921" t="str">
            <v>TLH1036</v>
          </cell>
          <cell r="D921" t="str">
            <v>TME</v>
          </cell>
          <cell r="G921">
            <v>39708</v>
          </cell>
          <cell r="H921" t="str">
            <v>Installed</v>
          </cell>
          <cell r="J921" t="str">
            <v>Dish</v>
          </cell>
          <cell r="L921">
            <v>600</v>
          </cell>
        </row>
        <row r="922">
          <cell r="B922" t="str">
            <v>TLH1036</v>
          </cell>
          <cell r="D922" t="str">
            <v>TME</v>
          </cell>
          <cell r="G922">
            <v>39708</v>
          </cell>
          <cell r="H922" t="str">
            <v>Installed</v>
          </cell>
          <cell r="J922" t="str">
            <v>Dish</v>
          </cell>
          <cell r="L922">
            <v>600</v>
          </cell>
        </row>
        <row r="923">
          <cell r="B923" t="str">
            <v>TLH1036</v>
          </cell>
          <cell r="D923" t="str">
            <v>TME</v>
          </cell>
          <cell r="G923">
            <v>39797</v>
          </cell>
          <cell r="H923" t="str">
            <v>Removed</v>
          </cell>
          <cell r="J923" t="str">
            <v>Dish</v>
          </cell>
          <cell r="L923">
            <v>3000</v>
          </cell>
        </row>
        <row r="924">
          <cell r="B924" t="str">
            <v>TLH1036</v>
          </cell>
          <cell r="D924" t="str">
            <v>TME</v>
          </cell>
          <cell r="G924">
            <v>39797</v>
          </cell>
          <cell r="H924" t="str">
            <v>Removed</v>
          </cell>
          <cell r="J924" t="str">
            <v>Dish</v>
          </cell>
          <cell r="L924">
            <v>3000</v>
          </cell>
        </row>
        <row r="925">
          <cell r="B925" t="str">
            <v>TLH1036</v>
          </cell>
          <cell r="D925" t="str">
            <v>TME</v>
          </cell>
          <cell r="G925">
            <v>39708</v>
          </cell>
          <cell r="H925" t="str">
            <v>Installed</v>
          </cell>
          <cell r="J925" t="str">
            <v>Dish</v>
          </cell>
          <cell r="L925">
            <v>2500</v>
          </cell>
        </row>
        <row r="926">
          <cell r="B926" t="str">
            <v>TLH1036</v>
          </cell>
          <cell r="D926" t="str">
            <v>TME</v>
          </cell>
          <cell r="G926">
            <v>39708</v>
          </cell>
          <cell r="H926" t="str">
            <v>Installed</v>
          </cell>
          <cell r="J926" t="str">
            <v>Dish</v>
          </cell>
          <cell r="L926">
            <v>600</v>
          </cell>
        </row>
        <row r="927">
          <cell r="B927" t="str">
            <v>TLH1036</v>
          </cell>
          <cell r="D927" t="str">
            <v>TME</v>
          </cell>
          <cell r="G927">
            <v>39708</v>
          </cell>
          <cell r="H927" t="str">
            <v>Installed</v>
          </cell>
          <cell r="J927" t="str">
            <v>Dish</v>
          </cell>
          <cell r="L927">
            <v>600</v>
          </cell>
        </row>
        <row r="928">
          <cell r="B928" t="str">
            <v>TLH1036</v>
          </cell>
          <cell r="D928" t="str">
            <v>TME</v>
          </cell>
          <cell r="G928">
            <v>39708</v>
          </cell>
          <cell r="H928" t="str">
            <v>Installed</v>
          </cell>
          <cell r="J928" t="str">
            <v>Dish</v>
          </cell>
          <cell r="L928">
            <v>600</v>
          </cell>
        </row>
        <row r="929">
          <cell r="B929" t="str">
            <v>TLH1036</v>
          </cell>
          <cell r="D929" t="str">
            <v>TME</v>
          </cell>
          <cell r="G929">
            <v>39708</v>
          </cell>
          <cell r="H929" t="str">
            <v>Installed</v>
          </cell>
          <cell r="J929" t="str">
            <v>Dish</v>
          </cell>
          <cell r="L929">
            <v>1200</v>
          </cell>
        </row>
        <row r="930">
          <cell r="B930" t="str">
            <v>TLH1036</v>
          </cell>
          <cell r="D930" t="str">
            <v>TME</v>
          </cell>
          <cell r="G930">
            <v>39708</v>
          </cell>
          <cell r="H930" t="str">
            <v>Installed</v>
          </cell>
          <cell r="J930" t="str">
            <v>Dish</v>
          </cell>
          <cell r="L930">
            <v>600</v>
          </cell>
        </row>
        <row r="931">
          <cell r="B931" t="str">
            <v>TLH1036</v>
          </cell>
          <cell r="D931" t="str">
            <v>TME</v>
          </cell>
          <cell r="G931">
            <v>39708</v>
          </cell>
          <cell r="H931" t="str">
            <v>Installed</v>
          </cell>
          <cell r="J931" t="str">
            <v>Dish</v>
          </cell>
          <cell r="L931">
            <v>600</v>
          </cell>
        </row>
        <row r="932">
          <cell r="B932" t="str">
            <v>TLH1036</v>
          </cell>
          <cell r="D932" t="str">
            <v>TME</v>
          </cell>
          <cell r="G932">
            <v>41108</v>
          </cell>
          <cell r="H932" t="str">
            <v>Removed</v>
          </cell>
          <cell r="J932" t="str">
            <v>Panel</v>
          </cell>
          <cell r="L932">
            <v>1940</v>
          </cell>
        </row>
        <row r="933">
          <cell r="B933" t="str">
            <v>TLH1036</v>
          </cell>
          <cell r="D933" t="str">
            <v>TME</v>
          </cell>
          <cell r="G933">
            <v>41108</v>
          </cell>
          <cell r="H933" t="str">
            <v>Removed</v>
          </cell>
          <cell r="J933" t="str">
            <v>Panel</v>
          </cell>
          <cell r="L933">
            <v>1940</v>
          </cell>
        </row>
        <row r="934">
          <cell r="B934" t="str">
            <v>TLH1036</v>
          </cell>
          <cell r="D934" t="str">
            <v>TME</v>
          </cell>
          <cell r="G934">
            <v>39708</v>
          </cell>
          <cell r="H934" t="str">
            <v>Installed</v>
          </cell>
          <cell r="J934" t="str">
            <v>Dish</v>
          </cell>
          <cell r="L934">
            <v>600</v>
          </cell>
        </row>
        <row r="935">
          <cell r="B935" t="str">
            <v>TLH1036</v>
          </cell>
          <cell r="D935" t="str">
            <v>TME</v>
          </cell>
          <cell r="G935">
            <v>41108</v>
          </cell>
          <cell r="H935" t="str">
            <v>Removed</v>
          </cell>
          <cell r="J935" t="str">
            <v>Panel</v>
          </cell>
          <cell r="L935">
            <v>940</v>
          </cell>
        </row>
        <row r="936">
          <cell r="B936" t="str">
            <v>TLH1036</v>
          </cell>
          <cell r="D936" t="str">
            <v>TME</v>
          </cell>
          <cell r="G936">
            <v>39797</v>
          </cell>
          <cell r="H936" t="str">
            <v>Removed</v>
          </cell>
          <cell r="J936" t="str">
            <v>Dish</v>
          </cell>
          <cell r="L936">
            <v>1200</v>
          </cell>
        </row>
        <row r="937">
          <cell r="B937" t="str">
            <v>TLH1036</v>
          </cell>
          <cell r="D937" t="str">
            <v>TME</v>
          </cell>
          <cell r="G937">
            <v>39902</v>
          </cell>
          <cell r="H937" t="str">
            <v>Installed</v>
          </cell>
          <cell r="J937" t="str">
            <v>Dish</v>
          </cell>
          <cell r="L937">
            <v>1200</v>
          </cell>
        </row>
        <row r="938">
          <cell r="B938" t="str">
            <v>TLH1036</v>
          </cell>
          <cell r="D938" t="str">
            <v>TME</v>
          </cell>
          <cell r="G938">
            <v>39904</v>
          </cell>
          <cell r="H938" t="str">
            <v>Installed</v>
          </cell>
          <cell r="J938" t="str">
            <v>Dish</v>
          </cell>
          <cell r="L938">
            <v>600</v>
          </cell>
        </row>
        <row r="939">
          <cell r="B939" t="str">
            <v>TLH1036</v>
          </cell>
          <cell r="D939" t="str">
            <v>TME</v>
          </cell>
          <cell r="G939">
            <v>39975</v>
          </cell>
          <cell r="H939" t="str">
            <v>Installed</v>
          </cell>
          <cell r="J939" t="str">
            <v>Dish</v>
          </cell>
          <cell r="L939">
            <v>600</v>
          </cell>
        </row>
        <row r="940">
          <cell r="B940" t="str">
            <v>TLH1036</v>
          </cell>
          <cell r="D940" t="str">
            <v>TME</v>
          </cell>
          <cell r="G940">
            <v>41045</v>
          </cell>
          <cell r="H940" t="str">
            <v>Installed</v>
          </cell>
          <cell r="J940" t="str">
            <v>Dish</v>
          </cell>
          <cell r="L940">
            <v>1200</v>
          </cell>
        </row>
        <row r="941">
          <cell r="B941" t="str">
            <v>TCE1037</v>
          </cell>
          <cell r="D941" t="str">
            <v>TME</v>
          </cell>
          <cell r="G941">
            <v>39639</v>
          </cell>
          <cell r="H941" t="str">
            <v>Installed</v>
          </cell>
          <cell r="J941" t="str">
            <v>Dish</v>
          </cell>
          <cell r="L941">
            <v>600</v>
          </cell>
        </row>
        <row r="942">
          <cell r="B942" t="str">
            <v>TCE1037</v>
          </cell>
          <cell r="D942" t="str">
            <v>TME</v>
          </cell>
          <cell r="G942">
            <v>39639</v>
          </cell>
          <cell r="H942" t="str">
            <v>Installed</v>
          </cell>
          <cell r="J942" t="str">
            <v>Dish</v>
          </cell>
          <cell r="L942">
            <v>600</v>
          </cell>
        </row>
        <row r="943">
          <cell r="B943" t="str">
            <v>TCE1037</v>
          </cell>
          <cell r="D943" t="str">
            <v>TME</v>
          </cell>
          <cell r="G943">
            <v>39639</v>
          </cell>
          <cell r="H943" t="str">
            <v>Installed</v>
          </cell>
          <cell r="J943" t="str">
            <v>Dish</v>
          </cell>
          <cell r="L943">
            <v>2000</v>
          </cell>
        </row>
        <row r="944">
          <cell r="B944" t="str">
            <v>TDL1038</v>
          </cell>
          <cell r="D944" t="str">
            <v>TME</v>
          </cell>
          <cell r="G944">
            <v>41353</v>
          </cell>
          <cell r="H944" t="str">
            <v>Removed</v>
          </cell>
          <cell r="J944" t="str">
            <v>Dish</v>
          </cell>
          <cell r="L944">
            <v>2500</v>
          </cell>
        </row>
        <row r="945">
          <cell r="B945" t="str">
            <v>TDL1038</v>
          </cell>
          <cell r="D945" t="str">
            <v>TME</v>
          </cell>
          <cell r="G945">
            <v>41353</v>
          </cell>
          <cell r="H945" t="str">
            <v>Removed</v>
          </cell>
          <cell r="J945" t="str">
            <v>Dish</v>
          </cell>
          <cell r="L945">
            <v>1200</v>
          </cell>
        </row>
        <row r="946">
          <cell r="B946" t="str">
            <v>TDL1038</v>
          </cell>
          <cell r="D946" t="str">
            <v>TME</v>
          </cell>
          <cell r="G946">
            <v>41353</v>
          </cell>
          <cell r="H946" t="str">
            <v>Removed</v>
          </cell>
          <cell r="J946" t="str">
            <v>Dish</v>
          </cell>
          <cell r="L946">
            <v>2000</v>
          </cell>
        </row>
        <row r="947">
          <cell r="B947" t="str">
            <v>TDL1038</v>
          </cell>
          <cell r="D947" t="str">
            <v>TME</v>
          </cell>
          <cell r="G947">
            <v>41353</v>
          </cell>
          <cell r="H947" t="str">
            <v>Removed</v>
          </cell>
          <cell r="J947" t="str">
            <v>Dish</v>
          </cell>
          <cell r="L947">
            <v>3000</v>
          </cell>
        </row>
        <row r="948">
          <cell r="B948" t="str">
            <v>TDL1038</v>
          </cell>
          <cell r="D948" t="str">
            <v>TME</v>
          </cell>
          <cell r="G948">
            <v>39602</v>
          </cell>
          <cell r="H948" t="str">
            <v>Installed</v>
          </cell>
          <cell r="J948" t="str">
            <v>Dish</v>
          </cell>
          <cell r="L948">
            <v>3000</v>
          </cell>
        </row>
        <row r="949">
          <cell r="B949" t="str">
            <v>TDL1038</v>
          </cell>
          <cell r="D949" t="str">
            <v>TME</v>
          </cell>
          <cell r="G949">
            <v>41213</v>
          </cell>
          <cell r="H949" t="str">
            <v>Removed</v>
          </cell>
          <cell r="J949" t="str">
            <v>Panel</v>
          </cell>
          <cell r="L949">
            <v>800</v>
          </cell>
        </row>
        <row r="950">
          <cell r="B950" t="str">
            <v>TDL1038</v>
          </cell>
          <cell r="D950" t="str">
            <v>TME</v>
          </cell>
          <cell r="G950">
            <v>41213</v>
          </cell>
          <cell r="H950" t="str">
            <v>Removed</v>
          </cell>
          <cell r="J950" t="str">
            <v>Panel</v>
          </cell>
          <cell r="L950">
            <v>800</v>
          </cell>
        </row>
        <row r="951">
          <cell r="B951" t="str">
            <v>TDL1038</v>
          </cell>
          <cell r="D951" t="str">
            <v>TME</v>
          </cell>
          <cell r="G951">
            <v>39602</v>
          </cell>
          <cell r="H951" t="str">
            <v>Installed</v>
          </cell>
          <cell r="J951" t="str">
            <v>Omni</v>
          </cell>
          <cell r="L951">
            <v>1000</v>
          </cell>
        </row>
        <row r="952">
          <cell r="B952" t="str">
            <v>TDL1038</v>
          </cell>
          <cell r="D952" t="str">
            <v>TME</v>
          </cell>
          <cell r="G952">
            <v>40099</v>
          </cell>
          <cell r="H952" t="str">
            <v>Installed</v>
          </cell>
          <cell r="J952" t="str">
            <v>Dish</v>
          </cell>
          <cell r="L952">
            <v>600</v>
          </cell>
        </row>
        <row r="953">
          <cell r="B953" t="str">
            <v>TDL1038</v>
          </cell>
          <cell r="D953" t="str">
            <v>TME</v>
          </cell>
          <cell r="G953">
            <v>40206</v>
          </cell>
          <cell r="H953" t="str">
            <v>Installed</v>
          </cell>
          <cell r="J953" t="str">
            <v>Dish</v>
          </cell>
          <cell r="L953">
            <v>600</v>
          </cell>
        </row>
        <row r="954">
          <cell r="B954" t="str">
            <v>TDL1038</v>
          </cell>
          <cell r="D954" t="str">
            <v>TME</v>
          </cell>
          <cell r="G954">
            <v>40455</v>
          </cell>
          <cell r="H954" t="str">
            <v>Installed</v>
          </cell>
          <cell r="J954" t="str">
            <v>Dish</v>
          </cell>
          <cell r="L954">
            <v>600</v>
          </cell>
        </row>
        <row r="955">
          <cell r="B955" t="str">
            <v>TDL1038</v>
          </cell>
          <cell r="D955" t="str">
            <v>TME</v>
          </cell>
          <cell r="G955">
            <v>41330</v>
          </cell>
          <cell r="H955" t="str">
            <v>Installed</v>
          </cell>
          <cell r="J955" t="str">
            <v>Dish</v>
          </cell>
          <cell r="L955">
            <v>600</v>
          </cell>
        </row>
        <row r="956">
          <cell r="B956" t="str">
            <v>TDL1038</v>
          </cell>
          <cell r="D956" t="str">
            <v>TME</v>
          </cell>
          <cell r="G956">
            <v>41338</v>
          </cell>
          <cell r="H956" t="str">
            <v>Installed</v>
          </cell>
          <cell r="J956" t="str">
            <v>Dish</v>
          </cell>
          <cell r="L956">
            <v>600</v>
          </cell>
        </row>
        <row r="957">
          <cell r="B957" t="str">
            <v>TSO2034</v>
          </cell>
          <cell r="D957" t="str">
            <v>TME</v>
          </cell>
          <cell r="G957">
            <v>41383</v>
          </cell>
          <cell r="H957" t="str">
            <v>Removed</v>
          </cell>
          <cell r="J957" t="str">
            <v>Dish</v>
          </cell>
          <cell r="L957">
            <v>1200</v>
          </cell>
        </row>
        <row r="958">
          <cell r="B958" t="str">
            <v>TSO2034</v>
          </cell>
          <cell r="D958" t="str">
            <v>TME</v>
          </cell>
          <cell r="G958">
            <v>39596</v>
          </cell>
          <cell r="H958" t="str">
            <v>Installed</v>
          </cell>
          <cell r="J958" t="str">
            <v>Dish</v>
          </cell>
          <cell r="L958">
            <v>1200</v>
          </cell>
        </row>
        <row r="959">
          <cell r="B959" t="str">
            <v>TSO2034</v>
          </cell>
          <cell r="D959" t="str">
            <v>TME</v>
          </cell>
          <cell r="G959">
            <v>39596</v>
          </cell>
          <cell r="H959" t="str">
            <v>Installed</v>
          </cell>
          <cell r="J959" t="str">
            <v>Dish</v>
          </cell>
          <cell r="L959">
            <v>2000</v>
          </cell>
        </row>
        <row r="960">
          <cell r="B960" t="str">
            <v>TSO2034</v>
          </cell>
          <cell r="D960" t="str">
            <v>TME</v>
          </cell>
          <cell r="G960">
            <v>39685</v>
          </cell>
          <cell r="H960" t="str">
            <v>Removed</v>
          </cell>
          <cell r="J960" t="str">
            <v>Other</v>
          </cell>
          <cell r="L960" t="str">
            <v>-</v>
          </cell>
        </row>
        <row r="961">
          <cell r="B961" t="str">
            <v>TSO2034</v>
          </cell>
          <cell r="D961" t="str">
            <v>TME</v>
          </cell>
          <cell r="G961">
            <v>39685</v>
          </cell>
          <cell r="H961" t="str">
            <v>Removed</v>
          </cell>
          <cell r="J961" t="str">
            <v>Other</v>
          </cell>
          <cell r="L961" t="str">
            <v>-</v>
          </cell>
        </row>
        <row r="962">
          <cell r="B962" t="str">
            <v>TSO2034</v>
          </cell>
          <cell r="D962" t="str">
            <v>TME</v>
          </cell>
          <cell r="G962">
            <v>39596</v>
          </cell>
          <cell r="H962" t="str">
            <v>Installed</v>
          </cell>
          <cell r="J962" t="str">
            <v>Dish</v>
          </cell>
          <cell r="L962">
            <v>600</v>
          </cell>
        </row>
        <row r="963">
          <cell r="B963" t="str">
            <v>TSO2034</v>
          </cell>
          <cell r="D963" t="str">
            <v>TME</v>
          </cell>
          <cell r="G963">
            <v>39596</v>
          </cell>
          <cell r="H963" t="str">
            <v>Installed</v>
          </cell>
          <cell r="J963" t="str">
            <v>Dish</v>
          </cell>
          <cell r="L963">
            <v>600</v>
          </cell>
        </row>
        <row r="964">
          <cell r="B964" t="str">
            <v>TSO2034</v>
          </cell>
          <cell r="D964" t="str">
            <v>TME</v>
          </cell>
          <cell r="G964">
            <v>41383</v>
          </cell>
          <cell r="H964" t="str">
            <v>Removed</v>
          </cell>
          <cell r="J964" t="str">
            <v>Dish</v>
          </cell>
          <cell r="L964">
            <v>600</v>
          </cell>
        </row>
        <row r="965">
          <cell r="B965" t="str">
            <v>TSO2034</v>
          </cell>
          <cell r="D965" t="str">
            <v>TME</v>
          </cell>
          <cell r="G965">
            <v>39596</v>
          </cell>
          <cell r="H965" t="str">
            <v>Installed</v>
          </cell>
          <cell r="J965" t="str">
            <v>Dish</v>
          </cell>
          <cell r="L965">
            <v>600</v>
          </cell>
        </row>
        <row r="966">
          <cell r="B966" t="str">
            <v>TSO2034</v>
          </cell>
          <cell r="D966" t="str">
            <v>TME</v>
          </cell>
          <cell r="G966">
            <v>39685</v>
          </cell>
          <cell r="H966" t="str">
            <v>Removed</v>
          </cell>
          <cell r="J966" t="str">
            <v>Other</v>
          </cell>
          <cell r="L966" t="str">
            <v>-</v>
          </cell>
        </row>
        <row r="967">
          <cell r="B967" t="str">
            <v>TSO2034</v>
          </cell>
          <cell r="D967" t="str">
            <v>TME</v>
          </cell>
          <cell r="G967">
            <v>41383</v>
          </cell>
          <cell r="H967" t="str">
            <v>Removed</v>
          </cell>
          <cell r="J967" t="str">
            <v>Dish</v>
          </cell>
          <cell r="L967">
            <v>2500</v>
          </cell>
        </row>
        <row r="968">
          <cell r="B968" t="str">
            <v>TSO2034</v>
          </cell>
          <cell r="D968" t="str">
            <v>TME</v>
          </cell>
          <cell r="G968">
            <v>39596</v>
          </cell>
          <cell r="H968" t="str">
            <v>Installed</v>
          </cell>
          <cell r="J968" t="str">
            <v>Dish</v>
          </cell>
          <cell r="L968">
            <v>2500</v>
          </cell>
        </row>
        <row r="969">
          <cell r="B969" t="str">
            <v>TSO2034</v>
          </cell>
          <cell r="D969" t="str">
            <v>TME</v>
          </cell>
          <cell r="G969">
            <v>41383</v>
          </cell>
          <cell r="H969" t="str">
            <v>Removed</v>
          </cell>
          <cell r="J969" t="str">
            <v>Other</v>
          </cell>
          <cell r="L969">
            <v>1000</v>
          </cell>
        </row>
        <row r="970">
          <cell r="B970" t="str">
            <v>TSO2034</v>
          </cell>
          <cell r="D970" t="str">
            <v>TME</v>
          </cell>
          <cell r="G970">
            <v>39596</v>
          </cell>
          <cell r="H970" t="str">
            <v>Installed</v>
          </cell>
          <cell r="J970" t="str">
            <v>Dish</v>
          </cell>
          <cell r="L970">
            <v>1200</v>
          </cell>
        </row>
        <row r="971">
          <cell r="B971" t="str">
            <v>TSO2034</v>
          </cell>
          <cell r="D971" t="str">
            <v>TME</v>
          </cell>
          <cell r="G971">
            <v>41383</v>
          </cell>
          <cell r="H971" t="str">
            <v>Removed</v>
          </cell>
          <cell r="J971" t="str">
            <v>Dish</v>
          </cell>
          <cell r="L971">
            <v>3000</v>
          </cell>
        </row>
        <row r="972">
          <cell r="B972" t="str">
            <v>TSO2034</v>
          </cell>
          <cell r="D972" t="str">
            <v>TME</v>
          </cell>
          <cell r="G972">
            <v>41383</v>
          </cell>
          <cell r="H972" t="str">
            <v>Removed</v>
          </cell>
          <cell r="J972" t="str">
            <v>Dish</v>
          </cell>
          <cell r="L972">
            <v>1200</v>
          </cell>
        </row>
        <row r="973">
          <cell r="B973" t="str">
            <v>TSO2034</v>
          </cell>
          <cell r="D973" t="str">
            <v>TME</v>
          </cell>
          <cell r="G973">
            <v>41383</v>
          </cell>
          <cell r="H973" t="str">
            <v>Removed</v>
          </cell>
          <cell r="J973" t="str">
            <v>Dish</v>
          </cell>
          <cell r="L973">
            <v>600</v>
          </cell>
        </row>
        <row r="974">
          <cell r="B974" t="str">
            <v>TSO2034</v>
          </cell>
          <cell r="D974" t="str">
            <v>TME</v>
          </cell>
          <cell r="G974">
            <v>40121</v>
          </cell>
          <cell r="H974" t="str">
            <v>Installed</v>
          </cell>
          <cell r="J974" t="str">
            <v>Dish</v>
          </cell>
          <cell r="L974">
            <v>600</v>
          </cell>
        </row>
        <row r="975">
          <cell r="B975" t="str">
            <v>TLK3015</v>
          </cell>
          <cell r="D975" t="str">
            <v>TME</v>
          </cell>
          <cell r="G975">
            <v>41366</v>
          </cell>
          <cell r="H975" t="str">
            <v>Removed</v>
          </cell>
          <cell r="J975" t="str">
            <v>Dish</v>
          </cell>
          <cell r="L975">
            <v>3600</v>
          </cell>
        </row>
        <row r="976">
          <cell r="B976" t="str">
            <v>TLK3015</v>
          </cell>
          <cell r="D976" t="str">
            <v>TME</v>
          </cell>
          <cell r="G976">
            <v>39695</v>
          </cell>
          <cell r="H976" t="str">
            <v>Removed</v>
          </cell>
          <cell r="J976" t="str">
            <v>Other</v>
          </cell>
          <cell r="L976">
            <v>1000</v>
          </cell>
        </row>
        <row r="977">
          <cell r="B977" t="str">
            <v>TLK3015</v>
          </cell>
          <cell r="D977" t="str">
            <v>TME</v>
          </cell>
          <cell r="G977">
            <v>41366</v>
          </cell>
          <cell r="H977" t="str">
            <v>Removed</v>
          </cell>
          <cell r="J977" t="str">
            <v>Dish</v>
          </cell>
          <cell r="L977">
            <v>3000</v>
          </cell>
        </row>
        <row r="978">
          <cell r="B978" t="str">
            <v>TLK3015</v>
          </cell>
          <cell r="D978" t="str">
            <v>TME</v>
          </cell>
          <cell r="G978">
            <v>41366</v>
          </cell>
          <cell r="H978" t="str">
            <v>Removed</v>
          </cell>
          <cell r="J978" t="str">
            <v>Dish</v>
          </cell>
          <cell r="L978">
            <v>2400</v>
          </cell>
        </row>
        <row r="979">
          <cell r="B979" t="str">
            <v>TLK3015</v>
          </cell>
          <cell r="D979" t="str">
            <v>TME</v>
          </cell>
          <cell r="G979">
            <v>39695</v>
          </cell>
          <cell r="H979" t="str">
            <v>Installed</v>
          </cell>
          <cell r="J979" t="str">
            <v>Dish</v>
          </cell>
          <cell r="L979">
            <v>2500</v>
          </cell>
        </row>
        <row r="980">
          <cell r="B980" t="str">
            <v>TLK3015</v>
          </cell>
          <cell r="D980" t="str">
            <v>TME</v>
          </cell>
          <cell r="G980">
            <v>39695</v>
          </cell>
          <cell r="H980" t="str">
            <v>Installed</v>
          </cell>
          <cell r="J980" t="str">
            <v>Dish</v>
          </cell>
          <cell r="L980">
            <v>2000</v>
          </cell>
        </row>
        <row r="981">
          <cell r="B981" t="str">
            <v>TLK3015</v>
          </cell>
          <cell r="D981" t="str">
            <v>TME</v>
          </cell>
          <cell r="G981">
            <v>39695</v>
          </cell>
          <cell r="H981" t="str">
            <v>Installed</v>
          </cell>
          <cell r="J981" t="str">
            <v>Dish</v>
          </cell>
          <cell r="L981">
            <v>1200</v>
          </cell>
        </row>
        <row r="982">
          <cell r="B982" t="str">
            <v>TLK3015</v>
          </cell>
          <cell r="D982" t="str">
            <v>TME</v>
          </cell>
          <cell r="G982">
            <v>39695</v>
          </cell>
          <cell r="H982" t="str">
            <v>Installed</v>
          </cell>
          <cell r="J982" t="str">
            <v>Dish</v>
          </cell>
          <cell r="L982">
            <v>2000</v>
          </cell>
        </row>
        <row r="983">
          <cell r="B983" t="str">
            <v>TLK3015</v>
          </cell>
          <cell r="D983" t="str">
            <v>TME</v>
          </cell>
          <cell r="G983">
            <v>41366</v>
          </cell>
          <cell r="H983" t="str">
            <v>Removed</v>
          </cell>
          <cell r="J983" t="str">
            <v>Dish</v>
          </cell>
          <cell r="L983">
            <v>2000</v>
          </cell>
        </row>
        <row r="984">
          <cell r="B984" t="str">
            <v>TLK3015</v>
          </cell>
          <cell r="D984" t="str">
            <v>TME</v>
          </cell>
          <cell r="G984">
            <v>40427</v>
          </cell>
          <cell r="H984" t="str">
            <v>Removed</v>
          </cell>
          <cell r="J984" t="str">
            <v>Dish</v>
          </cell>
          <cell r="L984">
            <v>600</v>
          </cell>
        </row>
        <row r="985">
          <cell r="B985" t="str">
            <v>TLK3015</v>
          </cell>
          <cell r="D985" t="str">
            <v>TME</v>
          </cell>
          <cell r="G985">
            <v>39695</v>
          </cell>
          <cell r="H985" t="str">
            <v>Installed</v>
          </cell>
          <cell r="J985" t="str">
            <v>Dish</v>
          </cell>
          <cell r="L985">
            <v>600</v>
          </cell>
        </row>
        <row r="986">
          <cell r="B986" t="str">
            <v>TLK3015</v>
          </cell>
          <cell r="D986" t="str">
            <v>TME</v>
          </cell>
          <cell r="G986">
            <v>39695</v>
          </cell>
          <cell r="H986" t="str">
            <v>Installed</v>
          </cell>
          <cell r="J986" t="str">
            <v>Dish</v>
          </cell>
          <cell r="L986">
            <v>600</v>
          </cell>
        </row>
        <row r="987">
          <cell r="B987" t="str">
            <v>TLK3015</v>
          </cell>
          <cell r="D987" t="str">
            <v>TME</v>
          </cell>
          <cell r="G987">
            <v>39695</v>
          </cell>
          <cell r="H987" t="str">
            <v>Installed</v>
          </cell>
          <cell r="J987" t="str">
            <v>Dish</v>
          </cell>
          <cell r="L987">
            <v>600</v>
          </cell>
        </row>
        <row r="988">
          <cell r="B988" t="str">
            <v>TLK3015</v>
          </cell>
          <cell r="D988" t="str">
            <v>TME</v>
          </cell>
          <cell r="G988">
            <v>41366</v>
          </cell>
          <cell r="H988" t="str">
            <v>Removed</v>
          </cell>
          <cell r="J988" t="str">
            <v>Dish</v>
          </cell>
          <cell r="L988">
            <v>600</v>
          </cell>
        </row>
        <row r="989">
          <cell r="B989" t="str">
            <v>TLK3015</v>
          </cell>
          <cell r="D989" t="str">
            <v>TME</v>
          </cell>
          <cell r="G989">
            <v>41366</v>
          </cell>
          <cell r="H989" t="str">
            <v>Removed</v>
          </cell>
          <cell r="J989" t="str">
            <v>Dish</v>
          </cell>
          <cell r="L989">
            <v>600</v>
          </cell>
        </row>
        <row r="990">
          <cell r="B990" t="str">
            <v>TLK3015</v>
          </cell>
          <cell r="D990" t="str">
            <v>TME</v>
          </cell>
          <cell r="G990">
            <v>39695</v>
          </cell>
          <cell r="H990" t="str">
            <v>Installed</v>
          </cell>
          <cell r="J990" t="str">
            <v>Dish</v>
          </cell>
          <cell r="L990">
            <v>2000</v>
          </cell>
        </row>
        <row r="991">
          <cell r="B991" t="str">
            <v>TLK3015</v>
          </cell>
          <cell r="D991" t="str">
            <v>TME</v>
          </cell>
          <cell r="G991">
            <v>41366</v>
          </cell>
          <cell r="H991" t="str">
            <v>Removed</v>
          </cell>
          <cell r="J991" t="str">
            <v>Dish</v>
          </cell>
          <cell r="L991">
            <v>3000</v>
          </cell>
        </row>
        <row r="992">
          <cell r="B992" t="str">
            <v>TLK3015</v>
          </cell>
          <cell r="D992" t="str">
            <v>TME</v>
          </cell>
          <cell r="G992">
            <v>41332</v>
          </cell>
          <cell r="H992" t="str">
            <v>Prop Removal</v>
          </cell>
          <cell r="J992" t="str">
            <v>Dish</v>
          </cell>
          <cell r="L992">
            <v>3000</v>
          </cell>
        </row>
        <row r="993">
          <cell r="B993" t="str">
            <v>TLK3015</v>
          </cell>
          <cell r="D993" t="str">
            <v>TME</v>
          </cell>
          <cell r="G993">
            <v>40408</v>
          </cell>
          <cell r="H993" t="str">
            <v>Removed</v>
          </cell>
          <cell r="J993" t="str">
            <v>Other</v>
          </cell>
          <cell r="L993">
            <v>1000</v>
          </cell>
        </row>
        <row r="994">
          <cell r="B994" t="str">
            <v>TLK3015</v>
          </cell>
          <cell r="D994" t="str">
            <v>TME</v>
          </cell>
          <cell r="G994">
            <v>40408</v>
          </cell>
          <cell r="H994" t="str">
            <v>Removed</v>
          </cell>
          <cell r="J994" t="str">
            <v>Other</v>
          </cell>
          <cell r="L994">
            <v>1000</v>
          </cell>
        </row>
        <row r="995">
          <cell r="B995" t="str">
            <v>TLK3015</v>
          </cell>
          <cell r="D995" t="str">
            <v>TME</v>
          </cell>
          <cell r="G995">
            <v>40408</v>
          </cell>
          <cell r="H995" t="str">
            <v>Removed</v>
          </cell>
          <cell r="J995" t="str">
            <v>Other</v>
          </cell>
          <cell r="L995">
            <v>1000</v>
          </cell>
        </row>
        <row r="996">
          <cell r="B996" t="str">
            <v>TLK3015</v>
          </cell>
          <cell r="D996" t="str">
            <v>TME</v>
          </cell>
          <cell r="G996">
            <v>41157</v>
          </cell>
          <cell r="H996" t="str">
            <v>Removed</v>
          </cell>
          <cell r="J996" t="str">
            <v>Panel</v>
          </cell>
          <cell r="L996">
            <v>1000</v>
          </cell>
        </row>
        <row r="997">
          <cell r="B997" t="str">
            <v>TLK3015</v>
          </cell>
          <cell r="D997" t="str">
            <v>TME</v>
          </cell>
          <cell r="G997">
            <v>41157</v>
          </cell>
          <cell r="H997" t="str">
            <v>Removed</v>
          </cell>
          <cell r="J997" t="str">
            <v>Panel</v>
          </cell>
          <cell r="L997">
            <v>1000</v>
          </cell>
        </row>
        <row r="998">
          <cell r="B998" t="str">
            <v>TLK3015</v>
          </cell>
          <cell r="D998" t="str">
            <v>TME</v>
          </cell>
          <cell r="G998">
            <v>39853</v>
          </cell>
          <cell r="H998" t="str">
            <v>Installed</v>
          </cell>
          <cell r="J998" t="str">
            <v>Dish</v>
          </cell>
          <cell r="L998">
            <v>300</v>
          </cell>
        </row>
        <row r="999">
          <cell r="B999" t="str">
            <v>TLK3015</v>
          </cell>
          <cell r="D999" t="str">
            <v>TME</v>
          </cell>
          <cell r="G999">
            <v>39946</v>
          </cell>
          <cell r="H999" t="str">
            <v>Installed</v>
          </cell>
          <cell r="J999" t="str">
            <v>Dish</v>
          </cell>
          <cell r="L999">
            <v>600</v>
          </cell>
        </row>
        <row r="1000">
          <cell r="B1000" t="str">
            <v>TWH2035</v>
          </cell>
          <cell r="D1000" t="str">
            <v>TME</v>
          </cell>
          <cell r="G1000">
            <v>41417</v>
          </cell>
          <cell r="H1000" t="str">
            <v>Prop Removal</v>
          </cell>
          <cell r="J1000" t="str">
            <v>Dish</v>
          </cell>
          <cell r="L1000">
            <v>2000</v>
          </cell>
        </row>
        <row r="1001">
          <cell r="B1001" t="str">
            <v>TWH2035</v>
          </cell>
          <cell r="D1001" t="str">
            <v>TME</v>
          </cell>
          <cell r="G1001">
            <v>39562</v>
          </cell>
          <cell r="H1001" t="str">
            <v>Installed</v>
          </cell>
          <cell r="J1001" t="str">
            <v>Dish</v>
          </cell>
          <cell r="L1001">
            <v>1200</v>
          </cell>
        </row>
        <row r="1002">
          <cell r="B1002" t="str">
            <v>TWH2035</v>
          </cell>
          <cell r="D1002" t="str">
            <v>TME</v>
          </cell>
          <cell r="G1002">
            <v>39562</v>
          </cell>
          <cell r="H1002" t="str">
            <v>Installed</v>
          </cell>
          <cell r="J1002" t="str">
            <v>Dish</v>
          </cell>
          <cell r="L1002">
            <v>600</v>
          </cell>
        </row>
        <row r="1003">
          <cell r="B1003" t="str">
            <v>TWH2035</v>
          </cell>
          <cell r="D1003" t="str">
            <v>TME</v>
          </cell>
          <cell r="G1003">
            <v>41194</v>
          </cell>
          <cell r="H1003" t="str">
            <v>Removed</v>
          </cell>
          <cell r="J1003" t="str">
            <v>Panel</v>
          </cell>
          <cell r="L1003">
            <v>750</v>
          </cell>
        </row>
        <row r="1004">
          <cell r="B1004" t="str">
            <v>TWH2035</v>
          </cell>
          <cell r="D1004" t="str">
            <v>TME</v>
          </cell>
          <cell r="G1004">
            <v>41194</v>
          </cell>
          <cell r="H1004" t="str">
            <v>Removed</v>
          </cell>
          <cell r="J1004" t="str">
            <v>Panel</v>
          </cell>
          <cell r="L1004">
            <v>750</v>
          </cell>
        </row>
        <row r="1005">
          <cell r="B1005" t="str">
            <v>TWH2035</v>
          </cell>
          <cell r="D1005" t="str">
            <v>TME</v>
          </cell>
          <cell r="G1005">
            <v>41194</v>
          </cell>
          <cell r="H1005" t="str">
            <v>Removed</v>
          </cell>
          <cell r="J1005" t="str">
            <v>Panel</v>
          </cell>
          <cell r="L1005">
            <v>750</v>
          </cell>
        </row>
        <row r="1006">
          <cell r="B1006" t="str">
            <v>TWH2035</v>
          </cell>
          <cell r="D1006" t="str">
            <v>TME</v>
          </cell>
          <cell r="G1006">
            <v>39562</v>
          </cell>
          <cell r="H1006" t="str">
            <v>Installed</v>
          </cell>
          <cell r="J1006" t="str">
            <v>Dish</v>
          </cell>
          <cell r="L1006">
            <v>1200</v>
          </cell>
        </row>
        <row r="1007">
          <cell r="B1007" t="str">
            <v>TWH2035</v>
          </cell>
          <cell r="D1007" t="str">
            <v>TME</v>
          </cell>
          <cell r="G1007">
            <v>41396</v>
          </cell>
          <cell r="H1007" t="str">
            <v>Removed</v>
          </cell>
          <cell r="J1007" t="str">
            <v>Dish</v>
          </cell>
          <cell r="L1007">
            <v>2000</v>
          </cell>
        </row>
        <row r="1008">
          <cell r="B1008" t="str">
            <v>TWH2035</v>
          </cell>
          <cell r="D1008" t="str">
            <v>TME</v>
          </cell>
          <cell r="G1008">
            <v>41417</v>
          </cell>
          <cell r="H1008" t="str">
            <v>Prop Removal</v>
          </cell>
          <cell r="J1008" t="str">
            <v>Dish</v>
          </cell>
          <cell r="L1008">
            <v>2000</v>
          </cell>
        </row>
        <row r="1009">
          <cell r="B1009" t="str">
            <v>TWH2035</v>
          </cell>
          <cell r="D1009" t="str">
            <v>TME</v>
          </cell>
          <cell r="G1009">
            <v>41296</v>
          </cell>
          <cell r="H1009" t="str">
            <v>Removed</v>
          </cell>
          <cell r="J1009" t="str">
            <v>Dish</v>
          </cell>
          <cell r="L1009">
            <v>2400</v>
          </cell>
        </row>
        <row r="1010">
          <cell r="B1010" t="str">
            <v>TWH2035</v>
          </cell>
          <cell r="D1010" t="str">
            <v>TME</v>
          </cell>
          <cell r="G1010">
            <v>40113</v>
          </cell>
          <cell r="H1010" t="str">
            <v>Removed</v>
          </cell>
          <cell r="J1010" t="str">
            <v>Dish</v>
          </cell>
          <cell r="L1010">
            <v>3000</v>
          </cell>
        </row>
        <row r="1011">
          <cell r="B1011" t="str">
            <v>TWH2035</v>
          </cell>
          <cell r="D1011" t="str">
            <v>TME</v>
          </cell>
          <cell r="G1011">
            <v>41296</v>
          </cell>
          <cell r="H1011" t="str">
            <v>Removed</v>
          </cell>
          <cell r="J1011" t="str">
            <v>Dish</v>
          </cell>
          <cell r="L1011">
            <v>2400</v>
          </cell>
        </row>
        <row r="1012">
          <cell r="B1012" t="str">
            <v>TWH2035</v>
          </cell>
          <cell r="D1012" t="str">
            <v>TME</v>
          </cell>
          <cell r="G1012">
            <v>41296</v>
          </cell>
          <cell r="H1012" t="str">
            <v>Removed</v>
          </cell>
          <cell r="J1012" t="str">
            <v>Dish</v>
          </cell>
          <cell r="L1012">
            <v>2000</v>
          </cell>
        </row>
        <row r="1013">
          <cell r="B1013" t="str">
            <v>TWH2035</v>
          </cell>
          <cell r="D1013" t="str">
            <v>TME</v>
          </cell>
          <cell r="G1013">
            <v>41450</v>
          </cell>
          <cell r="H1013" t="str">
            <v>Removed</v>
          </cell>
          <cell r="J1013" t="str">
            <v>Dish</v>
          </cell>
          <cell r="L1013">
            <v>600</v>
          </cell>
        </row>
        <row r="1014">
          <cell r="B1014" t="str">
            <v>TWH2035</v>
          </cell>
          <cell r="D1014" t="str">
            <v>TME</v>
          </cell>
          <cell r="G1014">
            <v>40239</v>
          </cell>
          <cell r="H1014" t="str">
            <v>Removed</v>
          </cell>
          <cell r="J1014" t="str">
            <v>Other</v>
          </cell>
          <cell r="L1014" t="str">
            <v>-</v>
          </cell>
        </row>
        <row r="1015">
          <cell r="B1015" t="str">
            <v>TWH2035</v>
          </cell>
          <cell r="D1015" t="str">
            <v>TME</v>
          </cell>
          <cell r="G1015">
            <v>41450</v>
          </cell>
          <cell r="H1015" t="str">
            <v>Removed</v>
          </cell>
          <cell r="J1015" t="str">
            <v>Dish</v>
          </cell>
          <cell r="L1015">
            <v>600</v>
          </cell>
        </row>
        <row r="1016">
          <cell r="B1016" t="str">
            <v>TWH2035</v>
          </cell>
          <cell r="D1016" t="str">
            <v>TME</v>
          </cell>
          <cell r="G1016">
            <v>40239</v>
          </cell>
          <cell r="H1016" t="str">
            <v>Removed</v>
          </cell>
          <cell r="J1016" t="str">
            <v>Other</v>
          </cell>
          <cell r="L1016" t="str">
            <v>-</v>
          </cell>
        </row>
        <row r="1017">
          <cell r="B1017" t="str">
            <v>TWH2035</v>
          </cell>
          <cell r="D1017" t="str">
            <v>TME</v>
          </cell>
          <cell r="G1017">
            <v>40239</v>
          </cell>
          <cell r="H1017" t="str">
            <v>Removed</v>
          </cell>
          <cell r="J1017" t="str">
            <v>Other</v>
          </cell>
          <cell r="L1017" t="str">
            <v>-</v>
          </cell>
        </row>
        <row r="1018">
          <cell r="B1018" t="str">
            <v>TWH2035</v>
          </cell>
          <cell r="D1018" t="str">
            <v>TME</v>
          </cell>
          <cell r="G1018" t="str">
            <v>-</v>
          </cell>
          <cell r="H1018" t="str">
            <v>Licenced</v>
          </cell>
          <cell r="J1018" t="str">
            <v>Dish</v>
          </cell>
          <cell r="L1018">
            <v>600</v>
          </cell>
        </row>
        <row r="1019">
          <cell r="B1019" t="str">
            <v>TWH2035</v>
          </cell>
          <cell r="D1019" t="str">
            <v>TME</v>
          </cell>
          <cell r="G1019">
            <v>39855</v>
          </cell>
          <cell r="H1019" t="str">
            <v>Installed</v>
          </cell>
          <cell r="J1019" t="str">
            <v>Dish</v>
          </cell>
          <cell r="L1019">
            <v>1200</v>
          </cell>
        </row>
        <row r="1020">
          <cell r="B1020" t="str">
            <v>TWH2035</v>
          </cell>
          <cell r="D1020" t="str">
            <v>TME</v>
          </cell>
          <cell r="G1020">
            <v>39925</v>
          </cell>
          <cell r="H1020" t="str">
            <v>Installed</v>
          </cell>
          <cell r="J1020" t="str">
            <v>Dish</v>
          </cell>
          <cell r="L1020">
            <v>600</v>
          </cell>
        </row>
        <row r="1021">
          <cell r="B1021" t="str">
            <v>TWH2035</v>
          </cell>
          <cell r="D1021" t="str">
            <v>TME</v>
          </cell>
          <cell r="G1021">
            <v>41009</v>
          </cell>
          <cell r="H1021" t="str">
            <v>Installed</v>
          </cell>
          <cell r="J1021" t="str">
            <v>Dish</v>
          </cell>
          <cell r="L1021">
            <v>1200</v>
          </cell>
        </row>
        <row r="1022">
          <cell r="B1022" t="str">
            <v>TWH2035</v>
          </cell>
          <cell r="D1022" t="str">
            <v>TME</v>
          </cell>
          <cell r="G1022">
            <v>41430</v>
          </cell>
          <cell r="H1022" t="str">
            <v>Installed</v>
          </cell>
          <cell r="J1022" t="str">
            <v>Dish</v>
          </cell>
          <cell r="L1022">
            <v>900</v>
          </cell>
        </row>
        <row r="1023">
          <cell r="B1023" t="str">
            <v>TMO1039</v>
          </cell>
          <cell r="D1023" t="str">
            <v>TME</v>
          </cell>
          <cell r="G1023">
            <v>39658</v>
          </cell>
          <cell r="H1023" t="str">
            <v>Installed</v>
          </cell>
          <cell r="J1023" t="str">
            <v>Dish</v>
          </cell>
          <cell r="L1023">
            <v>600</v>
          </cell>
        </row>
        <row r="1024">
          <cell r="B1024" t="str">
            <v>TMO1039</v>
          </cell>
          <cell r="D1024" t="str">
            <v>TME</v>
          </cell>
          <cell r="G1024">
            <v>39658</v>
          </cell>
          <cell r="H1024" t="str">
            <v>Installed</v>
          </cell>
          <cell r="J1024" t="str">
            <v>Dish</v>
          </cell>
          <cell r="L1024">
            <v>600</v>
          </cell>
        </row>
        <row r="1025">
          <cell r="B1025" t="str">
            <v>TMO1039</v>
          </cell>
          <cell r="D1025" t="str">
            <v>TME</v>
          </cell>
          <cell r="G1025">
            <v>39658</v>
          </cell>
          <cell r="H1025" t="str">
            <v>Installed</v>
          </cell>
          <cell r="J1025" t="str">
            <v>Dish</v>
          </cell>
          <cell r="L1025">
            <v>600</v>
          </cell>
        </row>
        <row r="1026">
          <cell r="B1026" t="str">
            <v>TMO1039</v>
          </cell>
          <cell r="D1026" t="str">
            <v>TME</v>
          </cell>
          <cell r="G1026">
            <v>39658</v>
          </cell>
          <cell r="H1026" t="str">
            <v>Installed</v>
          </cell>
          <cell r="J1026" t="str">
            <v>Dish</v>
          </cell>
          <cell r="L1026">
            <v>1200</v>
          </cell>
        </row>
        <row r="1027">
          <cell r="B1027" t="str">
            <v>TMO1039</v>
          </cell>
          <cell r="D1027" t="str">
            <v>TME</v>
          </cell>
          <cell r="G1027">
            <v>39658</v>
          </cell>
          <cell r="H1027" t="str">
            <v>Installed</v>
          </cell>
          <cell r="J1027" t="str">
            <v>Dish</v>
          </cell>
          <cell r="L1027">
            <v>2000</v>
          </cell>
        </row>
        <row r="1028">
          <cell r="B1028" t="str">
            <v>TMO1039</v>
          </cell>
          <cell r="D1028" t="str">
            <v>TME</v>
          </cell>
          <cell r="G1028">
            <v>39658</v>
          </cell>
          <cell r="H1028" t="str">
            <v>Installed</v>
          </cell>
          <cell r="J1028" t="str">
            <v>Dish</v>
          </cell>
          <cell r="L1028">
            <v>2000</v>
          </cell>
        </row>
        <row r="1029">
          <cell r="B1029" t="str">
            <v>TMO1039</v>
          </cell>
          <cell r="D1029" t="str">
            <v>TME</v>
          </cell>
          <cell r="G1029">
            <v>41122</v>
          </cell>
          <cell r="H1029" t="str">
            <v>Removed</v>
          </cell>
          <cell r="J1029" t="str">
            <v>Panel</v>
          </cell>
          <cell r="L1029">
            <v>800</v>
          </cell>
        </row>
        <row r="1030">
          <cell r="B1030" t="str">
            <v>TMO1039</v>
          </cell>
          <cell r="D1030" t="str">
            <v>TME</v>
          </cell>
          <cell r="G1030">
            <v>39658</v>
          </cell>
          <cell r="H1030" t="str">
            <v>Installed</v>
          </cell>
          <cell r="J1030" t="str">
            <v>Dish</v>
          </cell>
          <cell r="L1030">
            <v>1200</v>
          </cell>
        </row>
        <row r="1031">
          <cell r="B1031" t="str">
            <v>TMO1039</v>
          </cell>
          <cell r="D1031" t="str">
            <v>TME</v>
          </cell>
          <cell r="G1031">
            <v>41122</v>
          </cell>
          <cell r="H1031" t="str">
            <v>Removed</v>
          </cell>
          <cell r="J1031" t="str">
            <v>Panel</v>
          </cell>
          <cell r="L1031">
            <v>800</v>
          </cell>
        </row>
        <row r="1032">
          <cell r="B1032" t="str">
            <v>TMO1039</v>
          </cell>
          <cell r="D1032" t="str">
            <v>TME</v>
          </cell>
          <cell r="G1032" t="str">
            <v>-</v>
          </cell>
          <cell r="H1032" t="str">
            <v>Licenced</v>
          </cell>
          <cell r="J1032" t="str">
            <v>Dish</v>
          </cell>
          <cell r="L1032">
            <v>1200</v>
          </cell>
        </row>
        <row r="1033">
          <cell r="B1033" t="str">
            <v>TMO1039</v>
          </cell>
          <cell r="D1033" t="str">
            <v>TME</v>
          </cell>
          <cell r="G1033">
            <v>40084</v>
          </cell>
          <cell r="H1033" t="str">
            <v>Installed</v>
          </cell>
          <cell r="J1033" t="str">
            <v>Dish</v>
          </cell>
          <cell r="L1033">
            <v>600</v>
          </cell>
        </row>
        <row r="1034">
          <cell r="B1034" t="str">
            <v>TCE4008</v>
          </cell>
          <cell r="D1034" t="str">
            <v>TME</v>
          </cell>
          <cell r="G1034">
            <v>41368</v>
          </cell>
          <cell r="H1034" t="str">
            <v>Removed</v>
          </cell>
          <cell r="J1034" t="str">
            <v>Dish</v>
          </cell>
          <cell r="L1034">
            <v>1200</v>
          </cell>
        </row>
        <row r="1035">
          <cell r="B1035" t="str">
            <v>TWX1040</v>
          </cell>
          <cell r="D1035" t="str">
            <v>TME</v>
          </cell>
          <cell r="G1035">
            <v>41253</v>
          </cell>
          <cell r="H1035" t="str">
            <v>Removed</v>
          </cell>
          <cell r="J1035" t="str">
            <v>Dish</v>
          </cell>
          <cell r="L1035">
            <v>3000</v>
          </cell>
        </row>
        <row r="1036">
          <cell r="B1036" t="str">
            <v>TWX1040</v>
          </cell>
          <cell r="D1036" t="str">
            <v>TME</v>
          </cell>
          <cell r="G1036">
            <v>41253</v>
          </cell>
          <cell r="H1036" t="str">
            <v>Removed</v>
          </cell>
          <cell r="J1036" t="str">
            <v>Dish</v>
          </cell>
          <cell r="L1036">
            <v>2000</v>
          </cell>
        </row>
        <row r="1037">
          <cell r="B1037" t="str">
            <v>TWX1040</v>
          </cell>
          <cell r="D1037" t="str">
            <v>TME</v>
          </cell>
          <cell r="G1037">
            <v>39674</v>
          </cell>
          <cell r="H1037" t="str">
            <v>Installed</v>
          </cell>
          <cell r="J1037" t="str">
            <v>Dish</v>
          </cell>
          <cell r="L1037">
            <v>1200</v>
          </cell>
        </row>
        <row r="1038">
          <cell r="B1038" t="str">
            <v>TWX1040</v>
          </cell>
          <cell r="D1038" t="str">
            <v>TME</v>
          </cell>
          <cell r="G1038">
            <v>41253</v>
          </cell>
          <cell r="H1038" t="str">
            <v>Removed</v>
          </cell>
          <cell r="J1038" t="str">
            <v>Dish</v>
          </cell>
          <cell r="L1038">
            <v>600</v>
          </cell>
        </row>
        <row r="1039">
          <cell r="B1039" t="str">
            <v>TWX1040</v>
          </cell>
          <cell r="D1039" t="str">
            <v>TME</v>
          </cell>
          <cell r="G1039">
            <v>41253</v>
          </cell>
          <cell r="H1039" t="str">
            <v>Removed</v>
          </cell>
          <cell r="J1039" t="str">
            <v>Dish</v>
          </cell>
          <cell r="L1039">
            <v>1200</v>
          </cell>
        </row>
        <row r="1040">
          <cell r="B1040" t="str">
            <v>TWX1040</v>
          </cell>
          <cell r="D1040" t="str">
            <v>TME</v>
          </cell>
          <cell r="G1040">
            <v>40407</v>
          </cell>
          <cell r="H1040" t="str">
            <v>Removed</v>
          </cell>
          <cell r="J1040" t="str">
            <v>Other</v>
          </cell>
          <cell r="L1040">
            <v>500</v>
          </cell>
        </row>
        <row r="1041">
          <cell r="B1041" t="str">
            <v>TWX1040</v>
          </cell>
          <cell r="D1041" t="str">
            <v>TME</v>
          </cell>
          <cell r="G1041">
            <v>41234</v>
          </cell>
          <cell r="H1041" t="str">
            <v>Removed</v>
          </cell>
          <cell r="J1041" t="str">
            <v>Panel</v>
          </cell>
          <cell r="L1041">
            <v>800</v>
          </cell>
        </row>
        <row r="1042">
          <cell r="B1042" t="str">
            <v>TWX1040</v>
          </cell>
          <cell r="D1042" t="str">
            <v>TME</v>
          </cell>
          <cell r="G1042">
            <v>39674</v>
          </cell>
          <cell r="H1042" t="str">
            <v>Installed</v>
          </cell>
          <cell r="J1042" t="str">
            <v>Dish</v>
          </cell>
          <cell r="L1042">
            <v>1200</v>
          </cell>
        </row>
        <row r="1043">
          <cell r="B1043" t="str">
            <v>TWX1040</v>
          </cell>
          <cell r="D1043" t="str">
            <v>TME</v>
          </cell>
          <cell r="G1043">
            <v>41234</v>
          </cell>
          <cell r="H1043" t="str">
            <v>Removed</v>
          </cell>
          <cell r="J1043" t="str">
            <v>Dish</v>
          </cell>
          <cell r="L1043">
            <v>2500</v>
          </cell>
        </row>
        <row r="1044">
          <cell r="B1044" t="str">
            <v>TWX1040</v>
          </cell>
          <cell r="D1044" t="str">
            <v>TME</v>
          </cell>
          <cell r="G1044">
            <v>41234</v>
          </cell>
          <cell r="H1044" t="str">
            <v>Removed</v>
          </cell>
          <cell r="J1044" t="str">
            <v>Panel</v>
          </cell>
          <cell r="L1044">
            <v>800</v>
          </cell>
        </row>
        <row r="1045">
          <cell r="B1045" t="str">
            <v>TWX1040</v>
          </cell>
          <cell r="D1045" t="str">
            <v>TME</v>
          </cell>
          <cell r="G1045">
            <v>39674</v>
          </cell>
          <cell r="H1045" t="str">
            <v>Installed</v>
          </cell>
          <cell r="J1045" t="str">
            <v>Dish</v>
          </cell>
          <cell r="L1045">
            <v>1200</v>
          </cell>
        </row>
        <row r="1046">
          <cell r="B1046" t="str">
            <v>TWX1040</v>
          </cell>
          <cell r="D1046" t="str">
            <v>TME</v>
          </cell>
          <cell r="G1046">
            <v>39674</v>
          </cell>
          <cell r="H1046" t="str">
            <v>Installed</v>
          </cell>
          <cell r="J1046" t="str">
            <v>Dish</v>
          </cell>
          <cell r="L1046">
            <v>600</v>
          </cell>
        </row>
        <row r="1047">
          <cell r="B1047" t="str">
            <v>TWX1040</v>
          </cell>
          <cell r="D1047" t="str">
            <v>TME</v>
          </cell>
          <cell r="G1047">
            <v>39674</v>
          </cell>
          <cell r="H1047" t="str">
            <v>Installed</v>
          </cell>
          <cell r="J1047" t="str">
            <v>Dish</v>
          </cell>
          <cell r="L1047">
            <v>600</v>
          </cell>
        </row>
        <row r="1048">
          <cell r="B1048" t="str">
            <v>TWX1040</v>
          </cell>
          <cell r="D1048" t="str">
            <v>TME</v>
          </cell>
          <cell r="G1048">
            <v>39674</v>
          </cell>
          <cell r="H1048" t="str">
            <v>Installed</v>
          </cell>
          <cell r="J1048" t="str">
            <v>Dish</v>
          </cell>
          <cell r="L1048">
            <v>2000</v>
          </cell>
        </row>
        <row r="1049">
          <cell r="B1049" t="str">
            <v>TWX1040</v>
          </cell>
          <cell r="D1049" t="str">
            <v>TME</v>
          </cell>
          <cell r="G1049">
            <v>41253</v>
          </cell>
          <cell r="H1049" t="str">
            <v>Removed</v>
          </cell>
          <cell r="J1049" t="str">
            <v>Dish</v>
          </cell>
          <cell r="L1049">
            <v>2000</v>
          </cell>
        </row>
        <row r="1050">
          <cell r="B1050" t="str">
            <v>TWX1040</v>
          </cell>
          <cell r="D1050" t="str">
            <v>TME</v>
          </cell>
          <cell r="G1050">
            <v>40407</v>
          </cell>
          <cell r="H1050" t="str">
            <v>Removed</v>
          </cell>
          <cell r="J1050" t="str">
            <v>Other</v>
          </cell>
          <cell r="L1050">
            <v>500</v>
          </cell>
        </row>
        <row r="1051">
          <cell r="B1051" t="str">
            <v>TWX1040</v>
          </cell>
          <cell r="D1051" t="str">
            <v>TME</v>
          </cell>
          <cell r="G1051">
            <v>39706</v>
          </cell>
          <cell r="H1051" t="str">
            <v>Installed</v>
          </cell>
          <cell r="J1051" t="str">
            <v>Dish</v>
          </cell>
          <cell r="L1051">
            <v>600</v>
          </cell>
        </row>
        <row r="1052">
          <cell r="B1052" t="str">
            <v>TWX1040</v>
          </cell>
          <cell r="D1052" t="str">
            <v>TME</v>
          </cell>
          <cell r="G1052">
            <v>39874</v>
          </cell>
          <cell r="H1052" t="str">
            <v>Installed</v>
          </cell>
          <cell r="J1052" t="str">
            <v>Dish</v>
          </cell>
          <cell r="L1052">
            <v>1200</v>
          </cell>
        </row>
        <row r="1053">
          <cell r="B1053" t="str">
            <v>TWX1040</v>
          </cell>
          <cell r="D1053" t="str">
            <v>TME</v>
          </cell>
          <cell r="G1053">
            <v>41234</v>
          </cell>
          <cell r="H1053" t="str">
            <v>Removed</v>
          </cell>
          <cell r="J1053" t="str">
            <v>Panel</v>
          </cell>
          <cell r="L1053">
            <v>800</v>
          </cell>
        </row>
        <row r="1054">
          <cell r="B1054" t="str">
            <v>TLK3017</v>
          </cell>
          <cell r="D1054" t="str">
            <v>TME</v>
          </cell>
          <cell r="G1054">
            <v>39636</v>
          </cell>
          <cell r="H1054" t="str">
            <v>Installed</v>
          </cell>
          <cell r="J1054" t="str">
            <v>Dish</v>
          </cell>
          <cell r="L1054">
            <v>300</v>
          </cell>
        </row>
        <row r="1055">
          <cell r="B1055" t="str">
            <v>TLK3017</v>
          </cell>
          <cell r="D1055" t="str">
            <v>TME</v>
          </cell>
          <cell r="G1055">
            <v>39636</v>
          </cell>
          <cell r="H1055" t="str">
            <v>Installed</v>
          </cell>
          <cell r="J1055" t="str">
            <v>Dish</v>
          </cell>
          <cell r="L1055">
            <v>600</v>
          </cell>
        </row>
        <row r="1056">
          <cell r="B1056" t="str">
            <v>TLK3017</v>
          </cell>
          <cell r="D1056" t="str">
            <v>TME</v>
          </cell>
          <cell r="G1056">
            <v>39636</v>
          </cell>
          <cell r="H1056" t="str">
            <v>Installed</v>
          </cell>
          <cell r="J1056" t="str">
            <v>Dish</v>
          </cell>
          <cell r="L1056">
            <v>600</v>
          </cell>
        </row>
        <row r="1057">
          <cell r="B1057" t="str">
            <v>TLK3017</v>
          </cell>
          <cell r="D1057" t="str">
            <v>TME</v>
          </cell>
          <cell r="G1057">
            <v>40759</v>
          </cell>
          <cell r="H1057" t="str">
            <v>Removed</v>
          </cell>
          <cell r="J1057" t="str">
            <v>Dish</v>
          </cell>
          <cell r="L1057">
            <v>600</v>
          </cell>
        </row>
        <row r="1058">
          <cell r="B1058" t="str">
            <v>TLK3017</v>
          </cell>
          <cell r="D1058" t="str">
            <v>TME</v>
          </cell>
          <cell r="G1058">
            <v>40759</v>
          </cell>
          <cell r="H1058" t="str">
            <v>Removed</v>
          </cell>
          <cell r="J1058" t="str">
            <v>Dish</v>
          </cell>
          <cell r="L1058">
            <v>600</v>
          </cell>
        </row>
        <row r="1059">
          <cell r="B1059" t="str">
            <v>TLK3017</v>
          </cell>
          <cell r="D1059" t="str">
            <v>TME</v>
          </cell>
          <cell r="G1059">
            <v>39636</v>
          </cell>
          <cell r="H1059" t="str">
            <v>Installed</v>
          </cell>
          <cell r="J1059" t="str">
            <v>Dish</v>
          </cell>
          <cell r="L1059">
            <v>600</v>
          </cell>
        </row>
        <row r="1060">
          <cell r="B1060" t="str">
            <v>TLK3017</v>
          </cell>
          <cell r="D1060" t="str">
            <v>TME</v>
          </cell>
          <cell r="G1060">
            <v>39636</v>
          </cell>
          <cell r="H1060" t="str">
            <v>Installed</v>
          </cell>
          <cell r="J1060" t="str">
            <v>Dish</v>
          </cell>
          <cell r="L1060">
            <v>600</v>
          </cell>
        </row>
        <row r="1061">
          <cell r="B1061" t="str">
            <v>TLK3017</v>
          </cell>
          <cell r="D1061" t="str">
            <v>TME</v>
          </cell>
          <cell r="G1061">
            <v>39636</v>
          </cell>
          <cell r="H1061" t="str">
            <v>Installed</v>
          </cell>
          <cell r="J1061" t="str">
            <v>Dish</v>
          </cell>
          <cell r="L1061">
            <v>600</v>
          </cell>
        </row>
        <row r="1062">
          <cell r="B1062" t="str">
            <v>TLK3017</v>
          </cell>
          <cell r="D1062" t="str">
            <v>TME</v>
          </cell>
          <cell r="G1062">
            <v>39636</v>
          </cell>
          <cell r="H1062" t="str">
            <v>Installed</v>
          </cell>
          <cell r="J1062" t="str">
            <v>Dish</v>
          </cell>
          <cell r="L1062">
            <v>1200</v>
          </cell>
        </row>
        <row r="1063">
          <cell r="B1063" t="str">
            <v>TLK3017</v>
          </cell>
          <cell r="D1063" t="str">
            <v>TME</v>
          </cell>
          <cell r="G1063">
            <v>39636</v>
          </cell>
          <cell r="H1063" t="str">
            <v>Installed</v>
          </cell>
          <cell r="J1063" t="str">
            <v>Dish</v>
          </cell>
          <cell r="L1063">
            <v>1200</v>
          </cell>
        </row>
        <row r="1064">
          <cell r="B1064" t="str">
            <v>TLK3017</v>
          </cell>
          <cell r="D1064" t="str">
            <v>TME</v>
          </cell>
          <cell r="G1064">
            <v>40631</v>
          </cell>
          <cell r="H1064" t="str">
            <v>Removed</v>
          </cell>
          <cell r="J1064" t="str">
            <v>Dish</v>
          </cell>
          <cell r="L1064">
            <v>600</v>
          </cell>
        </row>
        <row r="1065">
          <cell r="B1065" t="str">
            <v>TLK3017</v>
          </cell>
          <cell r="D1065" t="str">
            <v>TME</v>
          </cell>
          <cell r="G1065">
            <v>39636</v>
          </cell>
          <cell r="H1065" t="str">
            <v>Installed</v>
          </cell>
          <cell r="J1065" t="str">
            <v>Dish</v>
          </cell>
          <cell r="L1065">
            <v>600</v>
          </cell>
        </row>
        <row r="1066">
          <cell r="B1066" t="str">
            <v>TLK3017</v>
          </cell>
          <cell r="D1066" t="str">
            <v>TME</v>
          </cell>
          <cell r="G1066">
            <v>39636</v>
          </cell>
          <cell r="H1066" t="str">
            <v>Installed</v>
          </cell>
          <cell r="J1066" t="str">
            <v>Dish</v>
          </cell>
          <cell r="L1066">
            <v>600</v>
          </cell>
        </row>
        <row r="1067">
          <cell r="B1067" t="str">
            <v>TLK3017</v>
          </cell>
          <cell r="D1067" t="str">
            <v>TME</v>
          </cell>
          <cell r="G1067">
            <v>40406</v>
          </cell>
          <cell r="H1067" t="str">
            <v>Removed</v>
          </cell>
          <cell r="J1067" t="str">
            <v>Other</v>
          </cell>
          <cell r="L1067">
            <v>800</v>
          </cell>
        </row>
        <row r="1068">
          <cell r="B1068" t="str">
            <v>TLK3017</v>
          </cell>
          <cell r="D1068" t="str">
            <v>TME</v>
          </cell>
          <cell r="G1068">
            <v>39636</v>
          </cell>
          <cell r="H1068" t="str">
            <v>Installed</v>
          </cell>
          <cell r="J1068" t="str">
            <v>Dish</v>
          </cell>
          <cell r="L1068">
            <v>600</v>
          </cell>
        </row>
        <row r="1069">
          <cell r="B1069" t="str">
            <v>TLK3017</v>
          </cell>
          <cell r="D1069" t="str">
            <v>TME</v>
          </cell>
          <cell r="G1069">
            <v>39636</v>
          </cell>
          <cell r="H1069" t="str">
            <v>Installed</v>
          </cell>
          <cell r="J1069" t="str">
            <v>Dish</v>
          </cell>
          <cell r="L1069">
            <v>600</v>
          </cell>
        </row>
        <row r="1070">
          <cell r="B1070" t="str">
            <v>TLK3017</v>
          </cell>
          <cell r="D1070" t="str">
            <v>TME</v>
          </cell>
          <cell r="G1070">
            <v>39636</v>
          </cell>
          <cell r="H1070" t="str">
            <v>Installed</v>
          </cell>
          <cell r="J1070" t="str">
            <v>Dish</v>
          </cell>
          <cell r="L1070">
            <v>600</v>
          </cell>
        </row>
        <row r="1071">
          <cell r="B1071" t="str">
            <v>TLK3017</v>
          </cell>
          <cell r="D1071" t="str">
            <v>TME</v>
          </cell>
          <cell r="G1071">
            <v>39636</v>
          </cell>
          <cell r="H1071" t="str">
            <v>Installed</v>
          </cell>
          <cell r="J1071" t="str">
            <v>Dish</v>
          </cell>
          <cell r="L1071">
            <v>600</v>
          </cell>
        </row>
        <row r="1072">
          <cell r="B1072" t="str">
            <v>TLK3017</v>
          </cell>
          <cell r="D1072" t="str">
            <v>TME</v>
          </cell>
          <cell r="G1072">
            <v>39636</v>
          </cell>
          <cell r="H1072" t="str">
            <v>Installed</v>
          </cell>
          <cell r="J1072" t="str">
            <v>Dish</v>
          </cell>
          <cell r="L1072">
            <v>2500</v>
          </cell>
        </row>
        <row r="1073">
          <cell r="B1073" t="str">
            <v>TLK3017</v>
          </cell>
          <cell r="D1073" t="str">
            <v>TME</v>
          </cell>
          <cell r="G1073">
            <v>39636</v>
          </cell>
          <cell r="H1073" t="str">
            <v>Installed</v>
          </cell>
          <cell r="J1073" t="str">
            <v>Dish</v>
          </cell>
          <cell r="L1073">
            <v>1200</v>
          </cell>
        </row>
        <row r="1074">
          <cell r="B1074" t="str">
            <v>TLK3017</v>
          </cell>
          <cell r="D1074" t="str">
            <v>TME</v>
          </cell>
          <cell r="G1074">
            <v>39636</v>
          </cell>
          <cell r="H1074" t="str">
            <v>Request Remove</v>
          </cell>
          <cell r="J1074" t="str">
            <v>Dish</v>
          </cell>
          <cell r="L1074">
            <v>600</v>
          </cell>
        </row>
        <row r="1075">
          <cell r="B1075" t="str">
            <v>TLK3017</v>
          </cell>
          <cell r="D1075" t="str">
            <v>TME</v>
          </cell>
          <cell r="G1075">
            <v>39636</v>
          </cell>
          <cell r="H1075" t="str">
            <v>Installed</v>
          </cell>
          <cell r="J1075" t="str">
            <v>Dish</v>
          </cell>
          <cell r="L1075">
            <v>1200</v>
          </cell>
        </row>
        <row r="1076">
          <cell r="B1076" t="str">
            <v>TLK3017</v>
          </cell>
          <cell r="D1076" t="str">
            <v>TME</v>
          </cell>
          <cell r="G1076" t="str">
            <v>-</v>
          </cell>
          <cell r="H1076" t="str">
            <v>Removed</v>
          </cell>
          <cell r="J1076" t="str">
            <v>Dish</v>
          </cell>
          <cell r="L1076">
            <v>1200</v>
          </cell>
        </row>
        <row r="1077">
          <cell r="B1077" t="str">
            <v>TLK3017</v>
          </cell>
          <cell r="D1077" t="str">
            <v>TME</v>
          </cell>
          <cell r="G1077">
            <v>39636</v>
          </cell>
          <cell r="H1077" t="str">
            <v>Installed</v>
          </cell>
          <cell r="J1077" t="str">
            <v>Dish</v>
          </cell>
          <cell r="L1077">
            <v>600</v>
          </cell>
        </row>
        <row r="1078">
          <cell r="B1078" t="str">
            <v>TLK3017</v>
          </cell>
          <cell r="D1078" t="str">
            <v>TME</v>
          </cell>
          <cell r="G1078">
            <v>39636</v>
          </cell>
          <cell r="H1078" t="str">
            <v>Installed</v>
          </cell>
          <cell r="J1078" t="str">
            <v>Dish</v>
          </cell>
          <cell r="L1078">
            <v>600</v>
          </cell>
        </row>
        <row r="1079">
          <cell r="B1079" t="str">
            <v>TLK3017</v>
          </cell>
          <cell r="D1079" t="str">
            <v>TME</v>
          </cell>
          <cell r="G1079">
            <v>39636</v>
          </cell>
          <cell r="H1079" t="str">
            <v>Installed</v>
          </cell>
          <cell r="J1079" t="str">
            <v>Dish</v>
          </cell>
          <cell r="L1079">
            <v>2000</v>
          </cell>
        </row>
        <row r="1080">
          <cell r="B1080" t="str">
            <v>TLK3017</v>
          </cell>
          <cell r="D1080" t="str">
            <v>TME</v>
          </cell>
          <cell r="G1080">
            <v>39636</v>
          </cell>
          <cell r="H1080" t="str">
            <v>Removed</v>
          </cell>
          <cell r="J1080" t="str">
            <v>Dish</v>
          </cell>
          <cell r="L1080">
            <v>600</v>
          </cell>
        </row>
        <row r="1081">
          <cell r="B1081" t="str">
            <v>TLK3017</v>
          </cell>
          <cell r="D1081" t="str">
            <v>TME</v>
          </cell>
          <cell r="G1081">
            <v>39636</v>
          </cell>
          <cell r="H1081" t="str">
            <v>Installed</v>
          </cell>
          <cell r="J1081" t="str">
            <v>Dish</v>
          </cell>
          <cell r="L1081">
            <v>600</v>
          </cell>
        </row>
        <row r="1082">
          <cell r="B1082" t="str">
            <v>TLK3017</v>
          </cell>
          <cell r="D1082" t="str">
            <v>TME</v>
          </cell>
          <cell r="G1082">
            <v>39636</v>
          </cell>
          <cell r="H1082" t="str">
            <v>Installed</v>
          </cell>
          <cell r="J1082" t="str">
            <v>Dish</v>
          </cell>
          <cell r="L1082">
            <v>600</v>
          </cell>
        </row>
        <row r="1083">
          <cell r="B1083" t="str">
            <v>TLK3017</v>
          </cell>
          <cell r="D1083" t="str">
            <v>TME</v>
          </cell>
          <cell r="G1083">
            <v>39636</v>
          </cell>
          <cell r="H1083" t="str">
            <v>Installed</v>
          </cell>
          <cell r="J1083" t="str">
            <v>Dish</v>
          </cell>
          <cell r="L1083">
            <v>600</v>
          </cell>
        </row>
        <row r="1084">
          <cell r="B1084" t="str">
            <v>TLK3017</v>
          </cell>
          <cell r="D1084" t="str">
            <v>TME</v>
          </cell>
          <cell r="G1084">
            <v>39637</v>
          </cell>
          <cell r="H1084" t="str">
            <v>Installed</v>
          </cell>
          <cell r="J1084" t="str">
            <v>Dish</v>
          </cell>
          <cell r="L1084">
            <v>600</v>
          </cell>
        </row>
        <row r="1085">
          <cell r="B1085" t="str">
            <v>TLK3017</v>
          </cell>
          <cell r="D1085" t="str">
            <v>TME</v>
          </cell>
          <cell r="G1085">
            <v>39818</v>
          </cell>
          <cell r="H1085" t="str">
            <v>Installed</v>
          </cell>
          <cell r="J1085" t="str">
            <v>Dish</v>
          </cell>
          <cell r="L1085">
            <v>600</v>
          </cell>
        </row>
        <row r="1086">
          <cell r="B1086" t="str">
            <v>TLK3017</v>
          </cell>
          <cell r="D1086" t="str">
            <v>TME</v>
          </cell>
          <cell r="G1086">
            <v>39868</v>
          </cell>
          <cell r="H1086" t="str">
            <v>Removed</v>
          </cell>
          <cell r="J1086" t="str">
            <v>Dish</v>
          </cell>
          <cell r="L1086">
            <v>1200</v>
          </cell>
        </row>
        <row r="1087">
          <cell r="B1087" t="str">
            <v>TLK3017</v>
          </cell>
          <cell r="D1087" t="str">
            <v>TME</v>
          </cell>
          <cell r="G1087">
            <v>39868</v>
          </cell>
          <cell r="H1087" t="str">
            <v>Installed</v>
          </cell>
          <cell r="J1087" t="str">
            <v>Dish</v>
          </cell>
          <cell r="L1087">
            <v>300</v>
          </cell>
        </row>
        <row r="1088">
          <cell r="B1088" t="str">
            <v>TLK3017</v>
          </cell>
          <cell r="D1088" t="str">
            <v>TME</v>
          </cell>
          <cell r="G1088">
            <v>39868</v>
          </cell>
          <cell r="H1088" t="str">
            <v>Installed</v>
          </cell>
          <cell r="J1088" t="str">
            <v>Dish</v>
          </cell>
          <cell r="L1088">
            <v>1200</v>
          </cell>
        </row>
        <row r="1089">
          <cell r="B1089" t="str">
            <v>TLK3017</v>
          </cell>
          <cell r="D1089" t="str">
            <v>TME</v>
          </cell>
          <cell r="G1089">
            <v>40024</v>
          </cell>
          <cell r="H1089" t="str">
            <v>Installed</v>
          </cell>
          <cell r="J1089" t="str">
            <v>Dish</v>
          </cell>
          <cell r="L1089">
            <v>600</v>
          </cell>
        </row>
        <row r="1090">
          <cell r="B1090" t="str">
            <v>TLK3017</v>
          </cell>
          <cell r="D1090" t="str">
            <v>TME</v>
          </cell>
          <cell r="G1090">
            <v>40140</v>
          </cell>
          <cell r="H1090" t="str">
            <v>Installed</v>
          </cell>
          <cell r="J1090" t="str">
            <v>Dish</v>
          </cell>
          <cell r="L1090">
            <v>1800</v>
          </cell>
        </row>
        <row r="1091">
          <cell r="B1091" t="str">
            <v>TTP1041</v>
          </cell>
          <cell r="D1091" t="str">
            <v>TME</v>
          </cell>
          <cell r="G1091">
            <v>39619</v>
          </cell>
          <cell r="H1091" t="str">
            <v>Obsolete</v>
          </cell>
          <cell r="J1091" t="str">
            <v>Dish</v>
          </cell>
          <cell r="L1091">
            <v>1200</v>
          </cell>
        </row>
        <row r="1092">
          <cell r="B1092" t="str">
            <v>TTP1041</v>
          </cell>
          <cell r="D1092" t="str">
            <v>TME</v>
          </cell>
          <cell r="G1092">
            <v>39619</v>
          </cell>
          <cell r="H1092" t="str">
            <v>Obsolete</v>
          </cell>
          <cell r="J1092" t="str">
            <v>Dish</v>
          </cell>
          <cell r="L1092">
            <v>1200</v>
          </cell>
        </row>
        <row r="1093">
          <cell r="B1093" t="str">
            <v>TTP1041</v>
          </cell>
          <cell r="D1093" t="str">
            <v>TME</v>
          </cell>
          <cell r="G1093">
            <v>39619</v>
          </cell>
          <cell r="H1093" t="str">
            <v>Obsolete</v>
          </cell>
          <cell r="J1093" t="str">
            <v>Other</v>
          </cell>
          <cell r="L1093">
            <v>3000</v>
          </cell>
        </row>
        <row r="1094">
          <cell r="B1094" t="str">
            <v>TDU3018</v>
          </cell>
          <cell r="D1094" t="str">
            <v>TME</v>
          </cell>
          <cell r="G1094">
            <v>41199</v>
          </cell>
          <cell r="H1094" t="str">
            <v>Removed</v>
          </cell>
          <cell r="J1094" t="str">
            <v>Other</v>
          </cell>
          <cell r="L1094" t="str">
            <v>-</v>
          </cell>
        </row>
        <row r="1095">
          <cell r="B1095" t="str">
            <v>TDU3018</v>
          </cell>
          <cell r="D1095" t="str">
            <v>TME</v>
          </cell>
          <cell r="G1095">
            <v>41199</v>
          </cell>
          <cell r="H1095" t="str">
            <v>Removed</v>
          </cell>
          <cell r="J1095" t="str">
            <v>Dish</v>
          </cell>
          <cell r="L1095">
            <v>3400</v>
          </cell>
        </row>
        <row r="1096">
          <cell r="B1096" t="str">
            <v>TDU3018</v>
          </cell>
          <cell r="D1096" t="str">
            <v>TME</v>
          </cell>
          <cell r="G1096">
            <v>39560</v>
          </cell>
          <cell r="H1096" t="str">
            <v>Installed</v>
          </cell>
          <cell r="J1096" t="str">
            <v>Dish</v>
          </cell>
          <cell r="L1096">
            <v>1200</v>
          </cell>
        </row>
        <row r="1097">
          <cell r="B1097" t="str">
            <v>TDU3018</v>
          </cell>
          <cell r="D1097" t="str">
            <v>TME</v>
          </cell>
          <cell r="G1097">
            <v>39560</v>
          </cell>
          <cell r="H1097" t="str">
            <v>Installed</v>
          </cell>
          <cell r="J1097" t="str">
            <v>Dish</v>
          </cell>
          <cell r="L1097">
            <v>600</v>
          </cell>
        </row>
        <row r="1098">
          <cell r="B1098" t="str">
            <v>TDU3018</v>
          </cell>
          <cell r="D1098" t="str">
            <v>TME</v>
          </cell>
          <cell r="G1098">
            <v>41186</v>
          </cell>
          <cell r="H1098" t="str">
            <v>Removed</v>
          </cell>
          <cell r="J1098" t="str">
            <v>Dish</v>
          </cell>
          <cell r="L1098">
            <v>600</v>
          </cell>
        </row>
        <row r="1099">
          <cell r="B1099" t="str">
            <v>TDU3018</v>
          </cell>
          <cell r="D1099" t="str">
            <v>TME</v>
          </cell>
          <cell r="G1099">
            <v>39560</v>
          </cell>
          <cell r="H1099" t="str">
            <v>Installed</v>
          </cell>
          <cell r="J1099" t="str">
            <v>Dish</v>
          </cell>
          <cell r="L1099">
            <v>600</v>
          </cell>
        </row>
        <row r="1100">
          <cell r="B1100" t="str">
            <v>TDU3018</v>
          </cell>
          <cell r="D1100" t="str">
            <v>TME</v>
          </cell>
          <cell r="G1100">
            <v>39560</v>
          </cell>
          <cell r="H1100" t="str">
            <v>Obsolete</v>
          </cell>
          <cell r="J1100" t="str">
            <v>Dish</v>
          </cell>
          <cell r="L1100">
            <v>2000</v>
          </cell>
        </row>
        <row r="1101">
          <cell r="B1101" t="str">
            <v>TDU3018</v>
          </cell>
          <cell r="D1101" t="str">
            <v>TME</v>
          </cell>
          <cell r="G1101">
            <v>41199</v>
          </cell>
          <cell r="H1101" t="str">
            <v>Removed</v>
          </cell>
          <cell r="J1101" t="str">
            <v>Dish</v>
          </cell>
          <cell r="L1101">
            <v>3400</v>
          </cell>
        </row>
        <row r="1102">
          <cell r="B1102" t="str">
            <v>TDU3018</v>
          </cell>
          <cell r="D1102" t="str">
            <v>TME</v>
          </cell>
          <cell r="G1102">
            <v>41199</v>
          </cell>
          <cell r="H1102" t="str">
            <v>Removed</v>
          </cell>
          <cell r="J1102" t="str">
            <v>Dish</v>
          </cell>
          <cell r="L1102">
            <v>3400</v>
          </cell>
        </row>
        <row r="1103">
          <cell r="B1103" t="str">
            <v>TDU3018</v>
          </cell>
          <cell r="D1103" t="str">
            <v>TME</v>
          </cell>
          <cell r="G1103">
            <v>41186</v>
          </cell>
          <cell r="H1103" t="str">
            <v>Removed</v>
          </cell>
          <cell r="J1103" t="str">
            <v>Dish</v>
          </cell>
          <cell r="L1103">
            <v>600</v>
          </cell>
        </row>
        <row r="1104">
          <cell r="B1104" t="str">
            <v>TDU3018</v>
          </cell>
          <cell r="D1104" t="str">
            <v>TME</v>
          </cell>
          <cell r="G1104">
            <v>39560</v>
          </cell>
          <cell r="H1104" t="str">
            <v>Installed</v>
          </cell>
          <cell r="J1104" t="str">
            <v>Dish</v>
          </cell>
          <cell r="L1104">
            <v>600</v>
          </cell>
        </row>
        <row r="1105">
          <cell r="B1105" t="str">
            <v>TDU3018</v>
          </cell>
          <cell r="D1105" t="str">
            <v>TME</v>
          </cell>
          <cell r="G1105">
            <v>40400</v>
          </cell>
          <cell r="H1105" t="str">
            <v>Removed</v>
          </cell>
          <cell r="J1105" t="str">
            <v>Dish</v>
          </cell>
          <cell r="L1105">
            <v>600</v>
          </cell>
        </row>
        <row r="1106">
          <cell r="B1106" t="str">
            <v>TDU3018</v>
          </cell>
          <cell r="D1106" t="str">
            <v>TME</v>
          </cell>
          <cell r="G1106">
            <v>39560</v>
          </cell>
          <cell r="H1106" t="str">
            <v>Installed</v>
          </cell>
          <cell r="J1106" t="str">
            <v>Dish</v>
          </cell>
          <cell r="L1106">
            <v>1200</v>
          </cell>
        </row>
        <row r="1107">
          <cell r="B1107" t="str">
            <v>TDU3018</v>
          </cell>
          <cell r="D1107" t="str">
            <v>TME</v>
          </cell>
          <cell r="G1107">
            <v>39560</v>
          </cell>
          <cell r="H1107" t="str">
            <v>Obsolete</v>
          </cell>
          <cell r="J1107" t="str">
            <v>Dish</v>
          </cell>
          <cell r="L1107">
            <v>1200</v>
          </cell>
        </row>
        <row r="1108">
          <cell r="B1108" t="str">
            <v>TDU3018</v>
          </cell>
          <cell r="D1108" t="str">
            <v>TME</v>
          </cell>
          <cell r="G1108">
            <v>39560</v>
          </cell>
          <cell r="H1108" t="str">
            <v>Installed</v>
          </cell>
          <cell r="J1108" t="str">
            <v>Dish</v>
          </cell>
          <cell r="L1108">
            <v>600</v>
          </cell>
        </row>
        <row r="1109">
          <cell r="B1109" t="str">
            <v>TDU3018</v>
          </cell>
          <cell r="D1109" t="str">
            <v>TME</v>
          </cell>
          <cell r="G1109">
            <v>39560</v>
          </cell>
          <cell r="H1109" t="str">
            <v>Installed</v>
          </cell>
          <cell r="J1109" t="str">
            <v>Dish</v>
          </cell>
          <cell r="L1109">
            <v>600</v>
          </cell>
        </row>
        <row r="1110">
          <cell r="B1110" t="str">
            <v>TDU3018</v>
          </cell>
          <cell r="D1110" t="str">
            <v>TME</v>
          </cell>
          <cell r="G1110">
            <v>41186</v>
          </cell>
          <cell r="H1110" t="str">
            <v>Removed</v>
          </cell>
          <cell r="J1110" t="str">
            <v>Dish</v>
          </cell>
          <cell r="L1110">
            <v>600</v>
          </cell>
        </row>
        <row r="1111">
          <cell r="B1111" t="str">
            <v>TDU3018</v>
          </cell>
          <cell r="D1111" t="str">
            <v>TME</v>
          </cell>
          <cell r="G1111">
            <v>41186</v>
          </cell>
          <cell r="H1111" t="str">
            <v>Removed</v>
          </cell>
          <cell r="J1111" t="str">
            <v>Dish</v>
          </cell>
          <cell r="L1111">
            <v>600</v>
          </cell>
        </row>
        <row r="1112">
          <cell r="B1112" t="str">
            <v>TDU3018</v>
          </cell>
          <cell r="D1112" t="str">
            <v>TME</v>
          </cell>
          <cell r="G1112">
            <v>39560</v>
          </cell>
          <cell r="H1112" t="str">
            <v>Obsolete</v>
          </cell>
          <cell r="J1112" t="str">
            <v>Dish</v>
          </cell>
          <cell r="L1112">
            <v>1200</v>
          </cell>
        </row>
        <row r="1113">
          <cell r="B1113" t="str">
            <v>TDU3018</v>
          </cell>
          <cell r="D1113" t="str">
            <v>TME</v>
          </cell>
          <cell r="G1113">
            <v>41186</v>
          </cell>
          <cell r="H1113" t="str">
            <v>Removed</v>
          </cell>
          <cell r="J1113" t="str">
            <v>Dish</v>
          </cell>
          <cell r="L1113">
            <v>600</v>
          </cell>
        </row>
        <row r="1114">
          <cell r="B1114" t="str">
            <v>TDU3018</v>
          </cell>
          <cell r="D1114" t="str">
            <v>TME</v>
          </cell>
          <cell r="G1114">
            <v>39560</v>
          </cell>
          <cell r="H1114" t="str">
            <v>Installed</v>
          </cell>
          <cell r="J1114" t="str">
            <v>Omni</v>
          </cell>
          <cell r="L1114">
            <v>1500</v>
          </cell>
        </row>
        <row r="1115">
          <cell r="B1115" t="str">
            <v>TDU3018</v>
          </cell>
          <cell r="D1115" t="str">
            <v>TME</v>
          </cell>
          <cell r="G1115">
            <v>41199</v>
          </cell>
          <cell r="H1115" t="str">
            <v>Removed</v>
          </cell>
          <cell r="J1115" t="str">
            <v>Dish</v>
          </cell>
          <cell r="L1115">
            <v>4000</v>
          </cell>
        </row>
        <row r="1116">
          <cell r="B1116" t="str">
            <v>TDU3018</v>
          </cell>
          <cell r="D1116" t="str">
            <v>TME</v>
          </cell>
          <cell r="G1116">
            <v>39560</v>
          </cell>
          <cell r="H1116" t="str">
            <v>Installed</v>
          </cell>
          <cell r="J1116" t="str">
            <v>Dish</v>
          </cell>
          <cell r="L1116">
            <v>600</v>
          </cell>
        </row>
        <row r="1117">
          <cell r="B1117" t="str">
            <v>TDU3018</v>
          </cell>
          <cell r="D1117" t="str">
            <v>TME</v>
          </cell>
          <cell r="G1117">
            <v>39560</v>
          </cell>
          <cell r="H1117" t="str">
            <v>Obsolete</v>
          </cell>
          <cell r="J1117" t="str">
            <v>Dish</v>
          </cell>
          <cell r="L1117">
            <v>2000</v>
          </cell>
        </row>
        <row r="1118">
          <cell r="B1118" t="str">
            <v>TDU3018</v>
          </cell>
          <cell r="D1118" t="str">
            <v>TME</v>
          </cell>
          <cell r="G1118">
            <v>39560</v>
          </cell>
          <cell r="H1118" t="str">
            <v>Obsolete</v>
          </cell>
          <cell r="J1118" t="str">
            <v>Dish</v>
          </cell>
          <cell r="L1118">
            <v>2500</v>
          </cell>
        </row>
        <row r="1119">
          <cell r="B1119" t="str">
            <v>TDU3018</v>
          </cell>
          <cell r="D1119" t="str">
            <v>TME</v>
          </cell>
          <cell r="G1119">
            <v>39560</v>
          </cell>
          <cell r="H1119" t="str">
            <v>Installed</v>
          </cell>
          <cell r="J1119" t="str">
            <v>Dish</v>
          </cell>
          <cell r="L1119">
            <v>1200</v>
          </cell>
        </row>
        <row r="1120">
          <cell r="B1120" t="str">
            <v>TDU3018</v>
          </cell>
          <cell r="D1120" t="str">
            <v>TME</v>
          </cell>
          <cell r="G1120">
            <v>39560</v>
          </cell>
          <cell r="H1120" t="str">
            <v>Installed</v>
          </cell>
          <cell r="J1120" t="str">
            <v>Omni</v>
          </cell>
          <cell r="L1120">
            <v>1500</v>
          </cell>
        </row>
        <row r="1121">
          <cell r="B1121" t="str">
            <v>TDU3018</v>
          </cell>
          <cell r="D1121" t="str">
            <v>TME</v>
          </cell>
          <cell r="G1121">
            <v>39560</v>
          </cell>
          <cell r="H1121" t="str">
            <v>Installed</v>
          </cell>
          <cell r="J1121" t="str">
            <v>Omni</v>
          </cell>
          <cell r="L1121">
            <v>1500</v>
          </cell>
        </row>
        <row r="1122">
          <cell r="B1122" t="str">
            <v>TDU3018</v>
          </cell>
          <cell r="D1122" t="str">
            <v>TME</v>
          </cell>
          <cell r="G1122">
            <v>39744</v>
          </cell>
          <cell r="H1122" t="str">
            <v>Installed</v>
          </cell>
          <cell r="J1122" t="str">
            <v>Dish</v>
          </cell>
          <cell r="L1122">
            <v>1200</v>
          </cell>
        </row>
        <row r="1123">
          <cell r="B1123" t="str">
            <v>TDU3018</v>
          </cell>
          <cell r="D1123" t="str">
            <v>TME</v>
          </cell>
          <cell r="G1123">
            <v>39560</v>
          </cell>
          <cell r="H1123" t="str">
            <v>Installed</v>
          </cell>
          <cell r="J1123" t="str">
            <v>Dish</v>
          </cell>
          <cell r="L1123">
            <v>600</v>
          </cell>
        </row>
        <row r="1124">
          <cell r="B1124" t="str">
            <v>TDU3018</v>
          </cell>
          <cell r="D1124" t="str">
            <v>TME</v>
          </cell>
          <cell r="G1124">
            <v>39584</v>
          </cell>
          <cell r="H1124" t="str">
            <v>Removed</v>
          </cell>
          <cell r="J1124" t="str">
            <v>Dish</v>
          </cell>
          <cell r="L1124">
            <v>600</v>
          </cell>
        </row>
        <row r="1125">
          <cell r="B1125" t="str">
            <v>TDU3018</v>
          </cell>
          <cell r="D1125" t="str">
            <v>TME</v>
          </cell>
          <cell r="G1125">
            <v>39560</v>
          </cell>
          <cell r="H1125" t="str">
            <v>Installed</v>
          </cell>
          <cell r="J1125" t="str">
            <v>Dish</v>
          </cell>
          <cell r="L1125">
            <v>600</v>
          </cell>
        </row>
        <row r="1126">
          <cell r="B1126" t="str">
            <v>TDU3018</v>
          </cell>
          <cell r="D1126" t="str">
            <v>TME</v>
          </cell>
          <cell r="G1126">
            <v>39560</v>
          </cell>
          <cell r="H1126" t="str">
            <v>Obsolete</v>
          </cell>
          <cell r="J1126" t="str">
            <v>Dish</v>
          </cell>
          <cell r="L1126">
            <v>1200</v>
          </cell>
        </row>
        <row r="1127">
          <cell r="B1127" t="str">
            <v>TDU3018</v>
          </cell>
          <cell r="D1127" t="str">
            <v>TME</v>
          </cell>
          <cell r="G1127">
            <v>39560</v>
          </cell>
          <cell r="H1127" t="str">
            <v>Installed</v>
          </cell>
          <cell r="J1127" t="str">
            <v>Dish</v>
          </cell>
          <cell r="L1127">
            <v>300</v>
          </cell>
        </row>
        <row r="1128">
          <cell r="B1128" t="str">
            <v>TDU3018</v>
          </cell>
          <cell r="D1128" t="str">
            <v>TME</v>
          </cell>
          <cell r="G1128">
            <v>40360</v>
          </cell>
          <cell r="H1128" t="str">
            <v>Removed</v>
          </cell>
          <cell r="J1128" t="str">
            <v>Dish</v>
          </cell>
          <cell r="L1128">
            <v>600</v>
          </cell>
        </row>
        <row r="1129">
          <cell r="B1129" t="str">
            <v>TDU3018</v>
          </cell>
          <cell r="D1129" t="str">
            <v>TME</v>
          </cell>
          <cell r="G1129">
            <v>39560</v>
          </cell>
          <cell r="H1129" t="str">
            <v>Obsolete</v>
          </cell>
          <cell r="J1129" t="str">
            <v>Dish</v>
          </cell>
          <cell r="L1129">
            <v>4000</v>
          </cell>
        </row>
        <row r="1130">
          <cell r="B1130" t="str">
            <v>TDU3018</v>
          </cell>
          <cell r="D1130" t="str">
            <v>TME</v>
          </cell>
          <cell r="G1130">
            <v>41199</v>
          </cell>
          <cell r="H1130" t="str">
            <v>Removed</v>
          </cell>
          <cell r="J1130" t="str">
            <v>Dish</v>
          </cell>
          <cell r="L1130">
            <v>4000</v>
          </cell>
        </row>
        <row r="1131">
          <cell r="B1131" t="str">
            <v>TDU3018</v>
          </cell>
          <cell r="D1131" t="str">
            <v>TME</v>
          </cell>
          <cell r="G1131">
            <v>39560</v>
          </cell>
          <cell r="H1131" t="str">
            <v>Installed</v>
          </cell>
          <cell r="J1131" t="str">
            <v>Other</v>
          </cell>
          <cell r="L1131" t="str">
            <v>-</v>
          </cell>
        </row>
        <row r="1132">
          <cell r="B1132" t="str">
            <v>TDU3018</v>
          </cell>
          <cell r="D1132" t="str">
            <v>TME</v>
          </cell>
          <cell r="G1132">
            <v>39560</v>
          </cell>
          <cell r="H1132" t="str">
            <v>Obsolete</v>
          </cell>
          <cell r="J1132" t="str">
            <v>Dish</v>
          </cell>
          <cell r="L1132">
            <v>1000</v>
          </cell>
        </row>
        <row r="1133">
          <cell r="B1133" t="str">
            <v>TDU3018</v>
          </cell>
          <cell r="D1133" t="str">
            <v>TME</v>
          </cell>
          <cell r="G1133">
            <v>39560</v>
          </cell>
          <cell r="H1133" t="str">
            <v>Installed</v>
          </cell>
          <cell r="J1133" t="str">
            <v>Dish</v>
          </cell>
          <cell r="L1133">
            <v>2400</v>
          </cell>
        </row>
        <row r="1134">
          <cell r="B1134" t="str">
            <v>TDU3018</v>
          </cell>
          <cell r="D1134" t="str">
            <v>TME</v>
          </cell>
          <cell r="G1134">
            <v>41199</v>
          </cell>
          <cell r="H1134" t="str">
            <v>Removed</v>
          </cell>
          <cell r="J1134" t="str">
            <v>Dish</v>
          </cell>
          <cell r="L1134">
            <v>4000</v>
          </cell>
        </row>
        <row r="1135">
          <cell r="B1135" t="str">
            <v>TDU3018</v>
          </cell>
          <cell r="D1135" t="str">
            <v>TME</v>
          </cell>
          <cell r="G1135">
            <v>39560</v>
          </cell>
          <cell r="H1135" t="str">
            <v>Installed</v>
          </cell>
          <cell r="J1135" t="str">
            <v>Dish</v>
          </cell>
          <cell r="L1135">
            <v>2000</v>
          </cell>
        </row>
        <row r="1136">
          <cell r="B1136" t="str">
            <v>TDU3018</v>
          </cell>
          <cell r="D1136" t="str">
            <v>TME</v>
          </cell>
          <cell r="G1136">
            <v>39560</v>
          </cell>
          <cell r="H1136" t="str">
            <v>Installed</v>
          </cell>
          <cell r="J1136" t="str">
            <v>Other</v>
          </cell>
          <cell r="L1136" t="str">
            <v>-</v>
          </cell>
        </row>
        <row r="1137">
          <cell r="B1137" t="str">
            <v>TDU3018</v>
          </cell>
          <cell r="D1137" t="str">
            <v>TME</v>
          </cell>
          <cell r="G1137">
            <v>41199</v>
          </cell>
          <cell r="H1137" t="str">
            <v>Removed</v>
          </cell>
          <cell r="J1137" t="str">
            <v>Dish</v>
          </cell>
          <cell r="L1137">
            <v>2000</v>
          </cell>
        </row>
        <row r="1138">
          <cell r="B1138" t="str">
            <v>TDU3018</v>
          </cell>
          <cell r="D1138" t="str">
            <v>TME</v>
          </cell>
          <cell r="G1138">
            <v>41199</v>
          </cell>
          <cell r="H1138" t="str">
            <v>Removed</v>
          </cell>
          <cell r="J1138" t="str">
            <v>Dish</v>
          </cell>
          <cell r="L1138">
            <v>2000</v>
          </cell>
        </row>
        <row r="1139">
          <cell r="B1139" t="str">
            <v>TDU3018</v>
          </cell>
          <cell r="D1139" t="str">
            <v>TME</v>
          </cell>
          <cell r="G1139">
            <v>40400</v>
          </cell>
          <cell r="H1139" t="str">
            <v>Removed</v>
          </cell>
          <cell r="J1139" t="str">
            <v>Other</v>
          </cell>
          <cell r="L1139">
            <v>750</v>
          </cell>
        </row>
        <row r="1140">
          <cell r="B1140" t="str">
            <v>TDU3018</v>
          </cell>
          <cell r="D1140" t="str">
            <v>TME</v>
          </cell>
          <cell r="G1140">
            <v>40400</v>
          </cell>
          <cell r="H1140" t="str">
            <v>Removed</v>
          </cell>
          <cell r="J1140" t="str">
            <v>Other</v>
          </cell>
          <cell r="L1140">
            <v>750</v>
          </cell>
        </row>
        <row r="1141">
          <cell r="B1141" t="str">
            <v>TDU3018</v>
          </cell>
          <cell r="D1141" t="str">
            <v>TME</v>
          </cell>
          <cell r="G1141">
            <v>39560</v>
          </cell>
          <cell r="H1141" t="str">
            <v>Installed</v>
          </cell>
          <cell r="J1141" t="str">
            <v>Other</v>
          </cell>
          <cell r="L1141" t="str">
            <v>-</v>
          </cell>
        </row>
        <row r="1142">
          <cell r="B1142" t="str">
            <v>TDU3018</v>
          </cell>
          <cell r="D1142" t="str">
            <v>TME</v>
          </cell>
          <cell r="G1142">
            <v>39560</v>
          </cell>
          <cell r="H1142" t="str">
            <v>Installed</v>
          </cell>
          <cell r="J1142" t="str">
            <v>Dish</v>
          </cell>
          <cell r="L1142">
            <v>600</v>
          </cell>
        </row>
        <row r="1143">
          <cell r="B1143" t="str">
            <v>TDU3018</v>
          </cell>
          <cell r="D1143" t="str">
            <v>TME</v>
          </cell>
          <cell r="G1143">
            <v>39560</v>
          </cell>
          <cell r="H1143" t="str">
            <v>Installed</v>
          </cell>
          <cell r="J1143" t="str">
            <v>Dish</v>
          </cell>
          <cell r="L1143">
            <v>600</v>
          </cell>
        </row>
        <row r="1144">
          <cell r="B1144" t="str">
            <v>TDU3018</v>
          </cell>
          <cell r="D1144" t="str">
            <v>TME</v>
          </cell>
          <cell r="G1144">
            <v>40400</v>
          </cell>
          <cell r="H1144" t="str">
            <v>Removed</v>
          </cell>
          <cell r="J1144" t="str">
            <v>Panel</v>
          </cell>
          <cell r="L1144">
            <v>700</v>
          </cell>
        </row>
        <row r="1145">
          <cell r="B1145" t="str">
            <v>TTP3019</v>
          </cell>
          <cell r="D1145" t="str">
            <v>TME</v>
          </cell>
          <cell r="G1145">
            <v>39605</v>
          </cell>
          <cell r="H1145" t="str">
            <v>Installed</v>
          </cell>
          <cell r="J1145" t="str">
            <v>Dish</v>
          </cell>
          <cell r="L1145">
            <v>1200</v>
          </cell>
        </row>
        <row r="1146">
          <cell r="B1146" t="str">
            <v>TTP3019</v>
          </cell>
          <cell r="D1146" t="str">
            <v>TME</v>
          </cell>
          <cell r="G1146">
            <v>39605</v>
          </cell>
          <cell r="H1146" t="str">
            <v>Installed</v>
          </cell>
          <cell r="J1146" t="str">
            <v>Dish</v>
          </cell>
          <cell r="L1146">
            <v>2000</v>
          </cell>
        </row>
        <row r="1147">
          <cell r="B1147" t="str">
            <v>TTP3019</v>
          </cell>
          <cell r="D1147" t="str">
            <v>TME</v>
          </cell>
          <cell r="G1147">
            <v>39605</v>
          </cell>
          <cell r="H1147" t="str">
            <v>Installed</v>
          </cell>
          <cell r="J1147" t="str">
            <v>Dish</v>
          </cell>
          <cell r="L1147">
            <v>1200</v>
          </cell>
        </row>
        <row r="1148">
          <cell r="B1148" t="str">
            <v>TTP3019</v>
          </cell>
          <cell r="D1148" t="str">
            <v>TME</v>
          </cell>
          <cell r="G1148">
            <v>40220</v>
          </cell>
          <cell r="H1148" t="str">
            <v>Removed</v>
          </cell>
          <cell r="J1148" t="str">
            <v>Dish</v>
          </cell>
          <cell r="L1148">
            <v>250</v>
          </cell>
        </row>
        <row r="1149">
          <cell r="B1149" t="str">
            <v>TTP3019</v>
          </cell>
          <cell r="D1149" t="str">
            <v>TME</v>
          </cell>
          <cell r="G1149">
            <v>39605</v>
          </cell>
          <cell r="H1149" t="str">
            <v>Installed</v>
          </cell>
          <cell r="J1149" t="str">
            <v>Dish</v>
          </cell>
          <cell r="L1149">
            <v>1200</v>
          </cell>
        </row>
        <row r="1150">
          <cell r="B1150" t="str">
            <v>TTP3019</v>
          </cell>
          <cell r="D1150" t="str">
            <v>TME</v>
          </cell>
          <cell r="G1150">
            <v>39605</v>
          </cell>
          <cell r="H1150" t="str">
            <v>Installed</v>
          </cell>
          <cell r="J1150" t="str">
            <v>Dish</v>
          </cell>
          <cell r="L1150">
            <v>2000</v>
          </cell>
        </row>
        <row r="1151">
          <cell r="B1151" t="str">
            <v>TTP3019</v>
          </cell>
          <cell r="D1151" t="str">
            <v>TME</v>
          </cell>
          <cell r="G1151">
            <v>39605</v>
          </cell>
          <cell r="H1151" t="str">
            <v>Installed</v>
          </cell>
          <cell r="J1151" t="str">
            <v>Dish</v>
          </cell>
          <cell r="L1151">
            <v>1000</v>
          </cell>
        </row>
        <row r="1152">
          <cell r="B1152" t="str">
            <v>TTP3019</v>
          </cell>
          <cell r="D1152" t="str">
            <v>TME</v>
          </cell>
          <cell r="G1152">
            <v>41142</v>
          </cell>
          <cell r="H1152" t="str">
            <v>Removed</v>
          </cell>
          <cell r="J1152" t="str">
            <v>Omni</v>
          </cell>
          <cell r="L1152">
            <v>800</v>
          </cell>
        </row>
        <row r="1153">
          <cell r="B1153" t="str">
            <v>TKY3020</v>
          </cell>
          <cell r="D1153" t="str">
            <v>TME</v>
          </cell>
          <cell r="G1153">
            <v>39615</v>
          </cell>
          <cell r="H1153" t="str">
            <v>Obsolete</v>
          </cell>
          <cell r="J1153" t="str">
            <v>Other</v>
          </cell>
          <cell r="L1153">
            <v>1000</v>
          </cell>
        </row>
        <row r="1154">
          <cell r="B1154" t="str">
            <v>TGY3021</v>
          </cell>
          <cell r="D1154" t="str">
            <v>TME</v>
          </cell>
          <cell r="G1154">
            <v>41386</v>
          </cell>
          <cell r="H1154" t="str">
            <v>Removed</v>
          </cell>
          <cell r="J1154" t="str">
            <v>Dish</v>
          </cell>
          <cell r="L1154">
            <v>600</v>
          </cell>
        </row>
        <row r="1155">
          <cell r="B1155" t="str">
            <v>TGY3021</v>
          </cell>
          <cell r="D1155" t="str">
            <v>TME</v>
          </cell>
          <cell r="G1155">
            <v>41386</v>
          </cell>
          <cell r="H1155" t="str">
            <v>Removed</v>
          </cell>
          <cell r="J1155" t="str">
            <v>Dish</v>
          </cell>
          <cell r="L1155">
            <v>600</v>
          </cell>
        </row>
        <row r="1156">
          <cell r="B1156" t="str">
            <v>TGY3021</v>
          </cell>
          <cell r="D1156" t="str">
            <v>TME</v>
          </cell>
          <cell r="G1156">
            <v>41117</v>
          </cell>
          <cell r="H1156" t="str">
            <v>Removed</v>
          </cell>
          <cell r="J1156" t="str">
            <v>Panel</v>
          </cell>
          <cell r="L1156">
            <v>840</v>
          </cell>
        </row>
        <row r="1157">
          <cell r="B1157" t="str">
            <v>TGY3021</v>
          </cell>
          <cell r="D1157" t="str">
            <v>TME</v>
          </cell>
          <cell r="G1157">
            <v>41117</v>
          </cell>
          <cell r="H1157" t="str">
            <v>Removed</v>
          </cell>
          <cell r="J1157" t="str">
            <v>Panel</v>
          </cell>
          <cell r="L1157">
            <v>840</v>
          </cell>
        </row>
        <row r="1158">
          <cell r="B1158" t="str">
            <v>TGY3021</v>
          </cell>
          <cell r="D1158" t="str">
            <v>TME</v>
          </cell>
          <cell r="G1158">
            <v>39555</v>
          </cell>
          <cell r="H1158" t="str">
            <v>Removed</v>
          </cell>
          <cell r="J1158" t="str">
            <v>Dish</v>
          </cell>
          <cell r="L1158">
            <v>3000</v>
          </cell>
        </row>
        <row r="1159">
          <cell r="B1159" t="str">
            <v>TGY3021</v>
          </cell>
          <cell r="D1159" t="str">
            <v>TME</v>
          </cell>
          <cell r="G1159">
            <v>40315</v>
          </cell>
          <cell r="H1159" t="str">
            <v>Removed</v>
          </cell>
          <cell r="J1159" t="str">
            <v>Dish</v>
          </cell>
          <cell r="L1159">
            <v>3000</v>
          </cell>
        </row>
        <row r="1160">
          <cell r="B1160" t="str">
            <v>TGY3021</v>
          </cell>
          <cell r="D1160" t="str">
            <v>TME</v>
          </cell>
          <cell r="G1160">
            <v>39555</v>
          </cell>
          <cell r="H1160" t="str">
            <v>Removed</v>
          </cell>
          <cell r="J1160" t="str">
            <v>Dish</v>
          </cell>
          <cell r="L1160">
            <v>3000</v>
          </cell>
        </row>
        <row r="1161">
          <cell r="B1161" t="str">
            <v>TGY3021</v>
          </cell>
          <cell r="D1161" t="str">
            <v>TME</v>
          </cell>
          <cell r="G1161">
            <v>40315</v>
          </cell>
          <cell r="H1161" t="str">
            <v>Removed</v>
          </cell>
          <cell r="J1161" t="str">
            <v>Dish</v>
          </cell>
          <cell r="L1161">
            <v>3000</v>
          </cell>
        </row>
        <row r="1162">
          <cell r="B1162" t="str">
            <v>TGY3021</v>
          </cell>
          <cell r="D1162" t="str">
            <v>TME</v>
          </cell>
          <cell r="G1162">
            <v>39855</v>
          </cell>
          <cell r="H1162" t="str">
            <v>Installed</v>
          </cell>
          <cell r="J1162" t="str">
            <v>Dish</v>
          </cell>
          <cell r="L1162">
            <v>600</v>
          </cell>
        </row>
        <row r="1163">
          <cell r="B1163" t="str">
            <v>TOY2036</v>
          </cell>
          <cell r="D1163" t="str">
            <v>TME</v>
          </cell>
          <cell r="G1163">
            <v>39661</v>
          </cell>
          <cell r="H1163" t="str">
            <v>Installed</v>
          </cell>
          <cell r="J1163" t="str">
            <v>Dish</v>
          </cell>
          <cell r="L1163">
            <v>1000</v>
          </cell>
        </row>
        <row r="1164">
          <cell r="B1164" t="str">
            <v>TOY2036</v>
          </cell>
          <cell r="D1164" t="str">
            <v>TME</v>
          </cell>
          <cell r="G1164">
            <v>39661</v>
          </cell>
          <cell r="H1164" t="str">
            <v>Installed</v>
          </cell>
          <cell r="J1164" t="str">
            <v>Dish</v>
          </cell>
          <cell r="L1164">
            <v>600</v>
          </cell>
        </row>
        <row r="1165">
          <cell r="B1165" t="str">
            <v>TOY2036</v>
          </cell>
          <cell r="D1165" t="str">
            <v>TME</v>
          </cell>
          <cell r="G1165">
            <v>39661</v>
          </cell>
          <cell r="H1165" t="str">
            <v>Installed</v>
          </cell>
          <cell r="J1165" t="str">
            <v>Omni</v>
          </cell>
          <cell r="L1165">
            <v>4500</v>
          </cell>
        </row>
        <row r="1166">
          <cell r="B1166" t="str">
            <v>TWX2037</v>
          </cell>
          <cell r="D1166" t="str">
            <v>TME</v>
          </cell>
          <cell r="G1166">
            <v>39681</v>
          </cell>
          <cell r="H1166" t="str">
            <v>Prop Removal</v>
          </cell>
          <cell r="J1166" t="str">
            <v>Dish</v>
          </cell>
          <cell r="L1166">
            <v>1800</v>
          </cell>
        </row>
        <row r="1167">
          <cell r="B1167" t="str">
            <v>TWX2037</v>
          </cell>
          <cell r="D1167" t="str">
            <v>TME</v>
          </cell>
          <cell r="G1167">
            <v>39681</v>
          </cell>
          <cell r="H1167" t="str">
            <v>Prop Removal</v>
          </cell>
          <cell r="J1167" t="str">
            <v>Dish</v>
          </cell>
          <cell r="L1167">
            <v>1200</v>
          </cell>
        </row>
        <row r="1168">
          <cell r="B1168" t="str">
            <v>TWX2037</v>
          </cell>
          <cell r="D1168" t="str">
            <v>TME</v>
          </cell>
          <cell r="G1168">
            <v>39681</v>
          </cell>
          <cell r="H1168" t="str">
            <v>Prop Removal</v>
          </cell>
          <cell r="J1168" t="str">
            <v>Dish</v>
          </cell>
          <cell r="L1168">
            <v>1200</v>
          </cell>
        </row>
        <row r="1169">
          <cell r="B1169" t="str">
            <v>TWX2037</v>
          </cell>
          <cell r="D1169" t="str">
            <v>TME</v>
          </cell>
          <cell r="G1169">
            <v>39681</v>
          </cell>
          <cell r="H1169" t="str">
            <v>Prop Removal</v>
          </cell>
          <cell r="J1169" t="str">
            <v>Dish</v>
          </cell>
          <cell r="L1169">
            <v>600</v>
          </cell>
        </row>
        <row r="1170">
          <cell r="B1170" t="str">
            <v>TWX2037</v>
          </cell>
          <cell r="D1170" t="str">
            <v>TME</v>
          </cell>
          <cell r="G1170">
            <v>39681</v>
          </cell>
          <cell r="H1170" t="str">
            <v>Prop Removal</v>
          </cell>
          <cell r="J1170" t="str">
            <v>Dish</v>
          </cell>
          <cell r="L1170">
            <v>600</v>
          </cell>
        </row>
        <row r="1171">
          <cell r="B1171" t="str">
            <v>TWX2037</v>
          </cell>
          <cell r="D1171" t="str">
            <v>TME</v>
          </cell>
          <cell r="G1171">
            <v>39681</v>
          </cell>
          <cell r="H1171" t="str">
            <v>Prop Removal</v>
          </cell>
          <cell r="J1171" t="str">
            <v>Dish</v>
          </cell>
          <cell r="L1171">
            <v>2000</v>
          </cell>
        </row>
        <row r="1172">
          <cell r="B1172" t="str">
            <v>TWX2037</v>
          </cell>
          <cell r="D1172" t="str">
            <v>TME</v>
          </cell>
          <cell r="G1172">
            <v>39681</v>
          </cell>
          <cell r="H1172" t="str">
            <v>Installed</v>
          </cell>
          <cell r="J1172" t="str">
            <v>Dish</v>
          </cell>
          <cell r="L1172">
            <v>2000</v>
          </cell>
        </row>
        <row r="1173">
          <cell r="B1173" t="str">
            <v>TWX2037</v>
          </cell>
          <cell r="D1173" t="str">
            <v>TME</v>
          </cell>
          <cell r="G1173">
            <v>39681</v>
          </cell>
          <cell r="H1173" t="str">
            <v>Installed</v>
          </cell>
          <cell r="J1173" t="str">
            <v>Dish</v>
          </cell>
          <cell r="L1173">
            <v>1200</v>
          </cell>
        </row>
        <row r="1174">
          <cell r="B1174" t="str">
            <v>TWX2037</v>
          </cell>
          <cell r="D1174" t="str">
            <v>TME</v>
          </cell>
          <cell r="G1174">
            <v>39681</v>
          </cell>
          <cell r="H1174" t="str">
            <v>Prop Removal</v>
          </cell>
          <cell r="J1174" t="str">
            <v>Dish</v>
          </cell>
          <cell r="L1174">
            <v>600</v>
          </cell>
        </row>
        <row r="1175">
          <cell r="B1175" t="str">
            <v>TWX2037</v>
          </cell>
          <cell r="D1175" t="str">
            <v>TME</v>
          </cell>
          <cell r="G1175">
            <v>39681</v>
          </cell>
          <cell r="H1175" t="str">
            <v>Prop Removal</v>
          </cell>
          <cell r="J1175" t="str">
            <v>Dish</v>
          </cell>
          <cell r="L1175">
            <v>600</v>
          </cell>
        </row>
        <row r="1176">
          <cell r="B1176" t="str">
            <v>TWX2037</v>
          </cell>
          <cell r="D1176" t="str">
            <v>TME</v>
          </cell>
          <cell r="G1176">
            <v>41053</v>
          </cell>
          <cell r="H1176" t="str">
            <v>Removed</v>
          </cell>
          <cell r="J1176" t="str">
            <v>Dish</v>
          </cell>
          <cell r="L1176">
            <v>1000</v>
          </cell>
        </row>
        <row r="1177">
          <cell r="B1177" t="str">
            <v>TWX2037</v>
          </cell>
          <cell r="D1177" t="str">
            <v>TME</v>
          </cell>
          <cell r="G1177">
            <v>40233</v>
          </cell>
          <cell r="H1177" t="str">
            <v>Removed</v>
          </cell>
          <cell r="J1177" t="str">
            <v>Panel</v>
          </cell>
          <cell r="L1177">
            <v>200</v>
          </cell>
        </row>
        <row r="1178">
          <cell r="B1178" t="str">
            <v>TWX2037</v>
          </cell>
          <cell r="D1178" t="str">
            <v>TME</v>
          </cell>
          <cell r="G1178">
            <v>40233</v>
          </cell>
          <cell r="H1178" t="str">
            <v>Removed</v>
          </cell>
          <cell r="J1178" t="str">
            <v>Panel</v>
          </cell>
          <cell r="L1178">
            <v>200</v>
          </cell>
        </row>
        <row r="1179">
          <cell r="B1179" t="str">
            <v>TWX2037</v>
          </cell>
          <cell r="D1179" t="str">
            <v>TME</v>
          </cell>
          <cell r="G1179">
            <v>39681</v>
          </cell>
          <cell r="H1179" t="str">
            <v>Prop Removal</v>
          </cell>
          <cell r="J1179" t="str">
            <v>Dish</v>
          </cell>
          <cell r="L1179">
            <v>600</v>
          </cell>
        </row>
        <row r="1180">
          <cell r="B1180" t="str">
            <v>TWX2037</v>
          </cell>
          <cell r="D1180" t="str">
            <v>TME</v>
          </cell>
          <cell r="G1180">
            <v>39681</v>
          </cell>
          <cell r="H1180" t="str">
            <v>Prop Removal</v>
          </cell>
          <cell r="J1180" t="str">
            <v>Dish</v>
          </cell>
          <cell r="L1180">
            <v>600</v>
          </cell>
        </row>
        <row r="1181">
          <cell r="B1181" t="str">
            <v>TWX2037</v>
          </cell>
          <cell r="D1181" t="str">
            <v>TME</v>
          </cell>
          <cell r="G1181">
            <v>40233</v>
          </cell>
          <cell r="H1181" t="str">
            <v>Removed</v>
          </cell>
          <cell r="J1181" t="str">
            <v>Panel</v>
          </cell>
          <cell r="L1181">
            <v>200</v>
          </cell>
        </row>
        <row r="1182">
          <cell r="B1182" t="str">
            <v>TWX2037</v>
          </cell>
          <cell r="D1182" t="str">
            <v>TME</v>
          </cell>
          <cell r="G1182">
            <v>40868</v>
          </cell>
          <cell r="H1182" t="str">
            <v>Installed</v>
          </cell>
          <cell r="J1182" t="str">
            <v>Dish</v>
          </cell>
          <cell r="L1182">
            <v>1200</v>
          </cell>
        </row>
        <row r="1183">
          <cell r="B1183" t="str">
            <v>TWX2037</v>
          </cell>
          <cell r="D1183" t="str">
            <v>TME</v>
          </cell>
          <cell r="G1183">
            <v>41053</v>
          </cell>
          <cell r="H1183" t="str">
            <v>Installed</v>
          </cell>
          <cell r="J1183" t="str">
            <v>Dish</v>
          </cell>
          <cell r="L1183">
            <v>900</v>
          </cell>
        </row>
        <row r="1184">
          <cell r="B1184" t="str">
            <v>TCK1042</v>
          </cell>
          <cell r="D1184" t="str">
            <v>TME</v>
          </cell>
          <cell r="G1184">
            <v>39633</v>
          </cell>
          <cell r="H1184" t="str">
            <v>Installed</v>
          </cell>
          <cell r="J1184" t="str">
            <v>Dish</v>
          </cell>
          <cell r="L1184">
            <v>300</v>
          </cell>
        </row>
        <row r="1185">
          <cell r="B1185" t="str">
            <v>TCK1042</v>
          </cell>
          <cell r="D1185" t="str">
            <v>TME</v>
          </cell>
          <cell r="G1185">
            <v>39633</v>
          </cell>
          <cell r="H1185" t="str">
            <v>Request Remove</v>
          </cell>
          <cell r="J1185" t="str">
            <v>Dish</v>
          </cell>
          <cell r="L1185">
            <v>3000</v>
          </cell>
        </row>
        <row r="1186">
          <cell r="B1186" t="str">
            <v>TCK1042</v>
          </cell>
          <cell r="D1186" t="str">
            <v>TME</v>
          </cell>
          <cell r="G1186">
            <v>39633</v>
          </cell>
          <cell r="H1186" t="str">
            <v>Installed</v>
          </cell>
          <cell r="J1186" t="str">
            <v>Dish</v>
          </cell>
          <cell r="L1186">
            <v>1200</v>
          </cell>
        </row>
        <row r="1187">
          <cell r="B1187" t="str">
            <v>TCK1042</v>
          </cell>
          <cell r="D1187" t="str">
            <v>TME</v>
          </cell>
          <cell r="G1187">
            <v>40387</v>
          </cell>
          <cell r="H1187" t="str">
            <v>Removed</v>
          </cell>
          <cell r="J1187" t="str">
            <v>Panel</v>
          </cell>
          <cell r="L1187">
            <v>300</v>
          </cell>
        </row>
        <row r="1188">
          <cell r="B1188" t="str">
            <v>TCK1042</v>
          </cell>
          <cell r="D1188" t="str">
            <v>TME</v>
          </cell>
          <cell r="G1188">
            <v>40569</v>
          </cell>
          <cell r="H1188" t="str">
            <v>Installed</v>
          </cell>
          <cell r="J1188" t="str">
            <v>Dish</v>
          </cell>
          <cell r="L1188">
            <v>600</v>
          </cell>
        </row>
        <row r="1189">
          <cell r="B1189" t="str">
            <v>TCK1042</v>
          </cell>
          <cell r="D1189" t="str">
            <v>TME</v>
          </cell>
          <cell r="G1189">
            <v>41232</v>
          </cell>
          <cell r="H1189" t="str">
            <v>Removed</v>
          </cell>
          <cell r="J1189" t="str">
            <v>Panel</v>
          </cell>
          <cell r="L1189">
            <v>800</v>
          </cell>
        </row>
        <row r="1190">
          <cell r="B1190" t="str">
            <v>TLK1027</v>
          </cell>
          <cell r="D1190" t="str">
            <v>TME</v>
          </cell>
          <cell r="G1190">
            <v>41547</v>
          </cell>
          <cell r="H1190" t="str">
            <v>Installed</v>
          </cell>
          <cell r="J1190" t="str">
            <v>Dish</v>
          </cell>
          <cell r="L1190">
            <v>600</v>
          </cell>
        </row>
        <row r="1191">
          <cell r="B1191" t="str">
            <v>TMO1033</v>
          </cell>
          <cell r="D1191" t="str">
            <v>TME</v>
          </cell>
          <cell r="G1191">
            <v>41465</v>
          </cell>
          <cell r="H1191" t="str">
            <v>Installed</v>
          </cell>
          <cell r="J1191" t="str">
            <v>Dish</v>
          </cell>
          <cell r="L1191">
            <v>3000</v>
          </cell>
        </row>
        <row r="1192">
          <cell r="B1192" t="str">
            <v>TDL2016</v>
          </cell>
          <cell r="D1192" t="str">
            <v>TME</v>
          </cell>
          <cell r="G1192">
            <v>41486</v>
          </cell>
          <cell r="H1192" t="str">
            <v>Installed</v>
          </cell>
          <cell r="J1192" t="str">
            <v>Dish</v>
          </cell>
          <cell r="L1192">
            <v>600</v>
          </cell>
        </row>
        <row r="1193">
          <cell r="B1193" t="str">
            <v>TLK6044</v>
          </cell>
          <cell r="D1193" t="str">
            <v>TME</v>
          </cell>
          <cell r="G1193">
            <v>41508</v>
          </cell>
          <cell r="H1193" t="str">
            <v>Licenced</v>
          </cell>
          <cell r="J1193" t="str">
            <v>Dish</v>
          </cell>
          <cell r="L1193">
            <v>600</v>
          </cell>
        </row>
        <row r="1194">
          <cell r="B1194" t="str">
            <v>TCK2011</v>
          </cell>
          <cell r="D1194" t="str">
            <v>TME</v>
          </cell>
          <cell r="G1194">
            <v>41542</v>
          </cell>
          <cell r="H1194" t="str">
            <v>Installed</v>
          </cell>
          <cell r="J1194" t="str">
            <v>Dish</v>
          </cell>
          <cell r="L1194">
            <v>600</v>
          </cell>
        </row>
        <row r="1195">
          <cell r="B1195" t="str">
            <v>TCK1042</v>
          </cell>
          <cell r="D1195" t="str">
            <v>TME</v>
          </cell>
          <cell r="G1195">
            <v>41541</v>
          </cell>
          <cell r="H1195" t="str">
            <v>Request Install</v>
          </cell>
          <cell r="J1195" t="str">
            <v>Dish</v>
          </cell>
          <cell r="L1195">
            <v>600</v>
          </cell>
        </row>
        <row r="1196">
          <cell r="B1196" t="str">
            <v>TCK1042</v>
          </cell>
          <cell r="D1196" t="str">
            <v>TME</v>
          </cell>
          <cell r="G1196">
            <v>41541</v>
          </cell>
          <cell r="H1196" t="str">
            <v>Request Install</v>
          </cell>
          <cell r="J1196" t="str">
            <v>Dish</v>
          </cell>
          <cell r="L1196">
            <v>600</v>
          </cell>
        </row>
        <row r="1197">
          <cell r="B1197" t="str">
            <v>TTP1032</v>
          </cell>
          <cell r="D1197" t="str">
            <v>TME</v>
          </cell>
          <cell r="G1197">
            <v>39643</v>
          </cell>
          <cell r="H1197" t="str">
            <v>Installed</v>
          </cell>
          <cell r="J1197" t="str">
            <v>Dish</v>
          </cell>
          <cell r="L1197">
            <v>600</v>
          </cell>
        </row>
        <row r="1198">
          <cell r="B1198" t="str">
            <v>TGY4006</v>
          </cell>
          <cell r="D1198" t="str">
            <v>TME</v>
          </cell>
          <cell r="G1198">
            <v>39692</v>
          </cell>
          <cell r="H1198" t="str">
            <v>Prop Removal</v>
          </cell>
          <cell r="J1198" t="str">
            <v>Other</v>
          </cell>
          <cell r="L1198">
            <v>100</v>
          </cell>
        </row>
        <row r="1199">
          <cell r="B1199" t="str">
            <v>TLK3017</v>
          </cell>
          <cell r="D1199" t="str">
            <v>TME</v>
          </cell>
          <cell r="G1199" t="str">
            <v>-</v>
          </cell>
          <cell r="H1199" t="str">
            <v>Request Install</v>
          </cell>
          <cell r="J1199" t="str">
            <v>Dish</v>
          </cell>
          <cell r="L1199">
            <v>900</v>
          </cell>
        </row>
      </sheetData>
      <sheetData sheetId="6">
        <row r="2">
          <cell r="B2" t="str">
            <v>TMO1001</v>
          </cell>
          <cell r="G2" t="str">
            <v>Installed</v>
          </cell>
          <cell r="W2" t="str">
            <v>Y</v>
          </cell>
          <cell r="X2">
            <v>0</v>
          </cell>
          <cell r="Y2">
            <v>19</v>
          </cell>
        </row>
        <row r="3">
          <cell r="B3" t="str">
            <v>TWW1002</v>
          </cell>
          <cell r="G3" t="str">
            <v>Installed</v>
          </cell>
          <cell r="W3" t="str">
            <v>N</v>
          </cell>
          <cell r="X3">
            <v>4</v>
          </cell>
          <cell r="Y3">
            <v>0</v>
          </cell>
        </row>
        <row r="4">
          <cell r="B4" t="str">
            <v>TWW1002</v>
          </cell>
          <cell r="G4" t="str">
            <v>Installed</v>
          </cell>
          <cell r="W4" t="str">
            <v>Y</v>
          </cell>
          <cell r="X4">
            <v>1</v>
          </cell>
          <cell r="Y4">
            <v>0</v>
          </cell>
        </row>
        <row r="5">
          <cell r="B5" t="str">
            <v>TWW1002</v>
          </cell>
          <cell r="G5" t="str">
            <v>Installed</v>
          </cell>
          <cell r="W5" t="str">
            <v>Y</v>
          </cell>
          <cell r="X5">
            <v>1</v>
          </cell>
          <cell r="Y5">
            <v>0</v>
          </cell>
        </row>
        <row r="6">
          <cell r="B6" t="str">
            <v>TWW1002</v>
          </cell>
          <cell r="G6" t="str">
            <v>Installed</v>
          </cell>
          <cell r="W6" t="str">
            <v>N</v>
          </cell>
          <cell r="X6">
            <v>2</v>
          </cell>
          <cell r="Y6">
            <v>0</v>
          </cell>
        </row>
        <row r="7">
          <cell r="B7" t="str">
            <v>TWW1002</v>
          </cell>
          <cell r="G7" t="str">
            <v>Removed</v>
          </cell>
          <cell r="W7" t="str">
            <v>Y</v>
          </cell>
          <cell r="X7">
            <v>1</v>
          </cell>
          <cell r="Y7">
            <v>0</v>
          </cell>
        </row>
        <row r="8">
          <cell r="B8" t="str">
            <v>TWW1002</v>
          </cell>
          <cell r="G8" t="str">
            <v>Removed</v>
          </cell>
          <cell r="W8" t="str">
            <v>Y</v>
          </cell>
          <cell r="X8">
            <v>1</v>
          </cell>
          <cell r="Y8">
            <v>0</v>
          </cell>
        </row>
        <row r="9">
          <cell r="B9" t="str">
            <v>TWW1002</v>
          </cell>
          <cell r="G9" t="str">
            <v>Removed</v>
          </cell>
          <cell r="W9" t="str">
            <v>Y</v>
          </cell>
          <cell r="X9">
            <v>0</v>
          </cell>
          <cell r="Y9">
            <v>0</v>
          </cell>
        </row>
        <row r="10">
          <cell r="B10" t="str">
            <v>TWW1002</v>
          </cell>
          <cell r="G10" t="str">
            <v>Removed</v>
          </cell>
          <cell r="W10" t="str">
            <v>Y</v>
          </cell>
          <cell r="X10">
            <v>2</v>
          </cell>
          <cell r="Y10">
            <v>0</v>
          </cell>
        </row>
        <row r="11">
          <cell r="B11" t="str">
            <v>TWW1002</v>
          </cell>
          <cell r="G11" t="str">
            <v>Removed</v>
          </cell>
          <cell r="W11" t="str">
            <v>Y</v>
          </cell>
          <cell r="X11">
            <v>0</v>
          </cell>
          <cell r="Y11">
            <v>0</v>
          </cell>
        </row>
        <row r="12">
          <cell r="B12" t="str">
            <v>TWW1002</v>
          </cell>
          <cell r="G12" t="str">
            <v>Removed</v>
          </cell>
          <cell r="W12" t="str">
            <v>Y</v>
          </cell>
          <cell r="X12">
            <v>0</v>
          </cell>
          <cell r="Y12">
            <v>0</v>
          </cell>
        </row>
        <row r="13">
          <cell r="B13" t="str">
            <v>TWW1002</v>
          </cell>
          <cell r="G13" t="str">
            <v>Removed</v>
          </cell>
          <cell r="W13" t="str">
            <v>Y</v>
          </cell>
          <cell r="X13">
            <v>0</v>
          </cell>
          <cell r="Y13">
            <v>0</v>
          </cell>
        </row>
        <row r="14">
          <cell r="B14" t="str">
            <v>TWW1002</v>
          </cell>
          <cell r="G14" t="str">
            <v>Removed</v>
          </cell>
          <cell r="W14" t="str">
            <v>Y</v>
          </cell>
          <cell r="X14">
            <v>0</v>
          </cell>
          <cell r="Y14">
            <v>0</v>
          </cell>
        </row>
        <row r="15">
          <cell r="B15" t="str">
            <v>TWW1002</v>
          </cell>
          <cell r="G15" t="str">
            <v>Removed</v>
          </cell>
          <cell r="W15" t="str">
            <v>Y</v>
          </cell>
          <cell r="X15">
            <v>0</v>
          </cell>
          <cell r="Y15">
            <v>0</v>
          </cell>
        </row>
        <row r="16">
          <cell r="B16" t="str">
            <v>TWW1002</v>
          </cell>
          <cell r="G16" t="str">
            <v>Removed</v>
          </cell>
          <cell r="W16" t="str">
            <v>Y</v>
          </cell>
          <cell r="X16">
            <v>1</v>
          </cell>
          <cell r="Y16">
            <v>0</v>
          </cell>
        </row>
        <row r="17">
          <cell r="B17" t="str">
            <v>TWW1002</v>
          </cell>
          <cell r="G17" t="str">
            <v>Removed</v>
          </cell>
          <cell r="W17" t="str">
            <v>Y</v>
          </cell>
          <cell r="X17">
            <v>0</v>
          </cell>
          <cell r="Y17">
            <v>0</v>
          </cell>
        </row>
        <row r="18">
          <cell r="B18" t="str">
            <v>TWW1002</v>
          </cell>
          <cell r="G18" t="str">
            <v>Removed</v>
          </cell>
          <cell r="W18" t="str">
            <v>Y</v>
          </cell>
          <cell r="X18">
            <v>0</v>
          </cell>
          <cell r="Y18">
            <v>0</v>
          </cell>
        </row>
        <row r="19">
          <cell r="B19" t="str">
            <v>TWW1002</v>
          </cell>
          <cell r="G19" t="str">
            <v>Removed</v>
          </cell>
          <cell r="W19" t="str">
            <v>Y</v>
          </cell>
          <cell r="X19">
            <v>0</v>
          </cell>
          <cell r="Y19">
            <v>0</v>
          </cell>
        </row>
        <row r="20">
          <cell r="B20" t="str">
            <v>TWW1002</v>
          </cell>
          <cell r="G20" t="str">
            <v>Removed</v>
          </cell>
          <cell r="W20" t="str">
            <v>Y</v>
          </cell>
          <cell r="X20">
            <v>1</v>
          </cell>
          <cell r="Y20">
            <v>0</v>
          </cell>
        </row>
        <row r="21">
          <cell r="B21" t="str">
            <v>TWW1002</v>
          </cell>
          <cell r="G21" t="str">
            <v>Installed</v>
          </cell>
          <cell r="W21" t="str">
            <v>Y</v>
          </cell>
          <cell r="X21">
            <v>1</v>
          </cell>
          <cell r="Y21">
            <v>0</v>
          </cell>
        </row>
        <row r="22">
          <cell r="B22" t="str">
            <v>TWW1002</v>
          </cell>
          <cell r="G22" t="str">
            <v>Installed</v>
          </cell>
          <cell r="W22" t="str">
            <v>Y</v>
          </cell>
          <cell r="X22">
            <v>1</v>
          </cell>
          <cell r="Y22">
            <v>0</v>
          </cell>
        </row>
        <row r="23">
          <cell r="B23" t="str">
            <v>TWW1002</v>
          </cell>
          <cell r="G23" t="str">
            <v>Installed</v>
          </cell>
          <cell r="W23" t="str">
            <v>Y</v>
          </cell>
          <cell r="X23">
            <v>1</v>
          </cell>
          <cell r="Y23">
            <v>0</v>
          </cell>
        </row>
        <row r="24">
          <cell r="B24" t="str">
            <v>TWW1002</v>
          </cell>
          <cell r="G24" t="str">
            <v>Installed</v>
          </cell>
          <cell r="W24" t="str">
            <v>Y</v>
          </cell>
          <cell r="X24">
            <v>2</v>
          </cell>
          <cell r="Y24">
            <v>0</v>
          </cell>
        </row>
        <row r="25">
          <cell r="B25" t="str">
            <v>TWW1002</v>
          </cell>
          <cell r="G25" t="str">
            <v>Installed</v>
          </cell>
          <cell r="W25" t="str">
            <v>N</v>
          </cell>
          <cell r="X25">
            <v>2</v>
          </cell>
          <cell r="Y25">
            <v>0</v>
          </cell>
        </row>
        <row r="26">
          <cell r="B26" t="str">
            <v>TWW1002</v>
          </cell>
          <cell r="G26" t="str">
            <v>Installed</v>
          </cell>
          <cell r="W26" t="str">
            <v>N</v>
          </cell>
          <cell r="X26">
            <v>1</v>
          </cell>
          <cell r="Y26">
            <v>0</v>
          </cell>
        </row>
        <row r="27">
          <cell r="B27" t="str">
            <v>TWW1002</v>
          </cell>
          <cell r="G27" t="str">
            <v>Installed</v>
          </cell>
          <cell r="W27" t="str">
            <v>Y</v>
          </cell>
          <cell r="X27">
            <v>1</v>
          </cell>
          <cell r="Y27">
            <v>0</v>
          </cell>
        </row>
        <row r="28">
          <cell r="B28" t="str">
            <v>TWW1002</v>
          </cell>
          <cell r="G28" t="str">
            <v>Installed</v>
          </cell>
          <cell r="W28" t="str">
            <v>N</v>
          </cell>
          <cell r="X28">
            <v>6</v>
          </cell>
          <cell r="Y28">
            <v>0</v>
          </cell>
        </row>
        <row r="29">
          <cell r="B29" t="str">
            <v>TWW1002</v>
          </cell>
          <cell r="G29" t="str">
            <v>Installed</v>
          </cell>
          <cell r="W29" t="str">
            <v>N</v>
          </cell>
          <cell r="X29">
            <v>3</v>
          </cell>
          <cell r="Y29">
            <v>0</v>
          </cell>
        </row>
        <row r="30">
          <cell r="B30" t="str">
            <v>TWW1002</v>
          </cell>
          <cell r="G30" t="str">
            <v>Removed</v>
          </cell>
          <cell r="W30" t="str">
            <v>Y</v>
          </cell>
          <cell r="X30">
            <v>1</v>
          </cell>
          <cell r="Y30">
            <v>0</v>
          </cell>
        </row>
        <row r="31">
          <cell r="B31" t="str">
            <v>TWW1002</v>
          </cell>
          <cell r="G31" t="str">
            <v>Installed</v>
          </cell>
          <cell r="W31" t="str">
            <v>Y</v>
          </cell>
          <cell r="X31">
            <v>1</v>
          </cell>
          <cell r="Y31">
            <v>0</v>
          </cell>
        </row>
        <row r="32">
          <cell r="B32" t="str">
            <v>TWW1002</v>
          </cell>
          <cell r="G32" t="str">
            <v>Installed</v>
          </cell>
          <cell r="W32" t="str">
            <v>Y</v>
          </cell>
          <cell r="X32">
            <v>1</v>
          </cell>
          <cell r="Y32">
            <v>0</v>
          </cell>
        </row>
        <row r="33">
          <cell r="B33" t="str">
            <v>TWW1002</v>
          </cell>
          <cell r="G33" t="str">
            <v>Installed</v>
          </cell>
          <cell r="W33" t="str">
            <v>Y</v>
          </cell>
          <cell r="X33">
            <v>1</v>
          </cell>
          <cell r="Y33">
            <v>0</v>
          </cell>
        </row>
        <row r="34">
          <cell r="B34" t="str">
            <v>TWW1002</v>
          </cell>
          <cell r="G34" t="str">
            <v>Installed</v>
          </cell>
          <cell r="W34" t="str">
            <v>N</v>
          </cell>
          <cell r="X34">
            <v>1</v>
          </cell>
          <cell r="Y34">
            <v>0</v>
          </cell>
        </row>
        <row r="35">
          <cell r="B35" t="str">
            <v>TWW1002</v>
          </cell>
          <cell r="G35" t="str">
            <v>Installed</v>
          </cell>
          <cell r="W35" t="str">
            <v>N</v>
          </cell>
          <cell r="X35">
            <v>1</v>
          </cell>
          <cell r="Y35">
            <v>0</v>
          </cell>
        </row>
        <row r="36">
          <cell r="B36" t="str">
            <v>TWW1002</v>
          </cell>
          <cell r="G36" t="str">
            <v>Installed</v>
          </cell>
          <cell r="W36" t="str">
            <v>N</v>
          </cell>
          <cell r="X36">
            <v>1</v>
          </cell>
          <cell r="Y36">
            <v>0</v>
          </cell>
        </row>
        <row r="37">
          <cell r="B37" t="str">
            <v>TWW1002</v>
          </cell>
          <cell r="G37" t="str">
            <v>Installed</v>
          </cell>
          <cell r="W37" t="str">
            <v>N</v>
          </cell>
          <cell r="X37">
            <v>0</v>
          </cell>
          <cell r="Y37">
            <v>0</v>
          </cell>
        </row>
        <row r="38">
          <cell r="B38" t="str">
            <v>TWW1002</v>
          </cell>
          <cell r="G38" t="str">
            <v>Installed</v>
          </cell>
          <cell r="W38" t="str">
            <v>N</v>
          </cell>
          <cell r="X38">
            <v>4</v>
          </cell>
          <cell r="Y38">
            <v>0</v>
          </cell>
        </row>
        <row r="39">
          <cell r="B39" t="str">
            <v>TWW1002</v>
          </cell>
          <cell r="G39" t="str">
            <v>Removed</v>
          </cell>
          <cell r="W39" t="str">
            <v>Y</v>
          </cell>
          <cell r="X39">
            <v>1</v>
          </cell>
          <cell r="Y39">
            <v>0</v>
          </cell>
        </row>
        <row r="40">
          <cell r="B40" t="str">
            <v>TWW1002</v>
          </cell>
          <cell r="G40" t="str">
            <v>Removed</v>
          </cell>
          <cell r="W40" t="str">
            <v>Y</v>
          </cell>
          <cell r="X40">
            <v>1</v>
          </cell>
          <cell r="Y40">
            <v>0</v>
          </cell>
        </row>
        <row r="41">
          <cell r="B41" t="str">
            <v>TWW1002</v>
          </cell>
          <cell r="G41" t="str">
            <v>Removed</v>
          </cell>
          <cell r="W41" t="str">
            <v>Y</v>
          </cell>
          <cell r="X41">
            <v>1</v>
          </cell>
          <cell r="Y41">
            <v>0</v>
          </cell>
        </row>
        <row r="42">
          <cell r="B42" t="str">
            <v>TWW1002</v>
          </cell>
          <cell r="G42" t="str">
            <v>Installed</v>
          </cell>
          <cell r="W42" t="str">
            <v>N</v>
          </cell>
          <cell r="X42">
            <v>1</v>
          </cell>
          <cell r="Y42">
            <v>0</v>
          </cell>
        </row>
        <row r="43">
          <cell r="B43" t="str">
            <v>TWW1002</v>
          </cell>
          <cell r="G43" t="str">
            <v>Installed</v>
          </cell>
          <cell r="W43" t="str">
            <v>Y</v>
          </cell>
          <cell r="X43">
            <v>2</v>
          </cell>
          <cell r="Y43">
            <v>0</v>
          </cell>
        </row>
        <row r="44">
          <cell r="B44" t="str">
            <v>TWW1002</v>
          </cell>
          <cell r="G44" t="str">
            <v>Installed</v>
          </cell>
          <cell r="W44" t="str">
            <v>Y</v>
          </cell>
          <cell r="X44">
            <v>14</v>
          </cell>
          <cell r="Y44">
            <v>0</v>
          </cell>
        </row>
        <row r="45">
          <cell r="B45" t="str">
            <v>TWW1002</v>
          </cell>
          <cell r="G45" t="str">
            <v>Installed</v>
          </cell>
          <cell r="W45" t="str">
            <v>Y</v>
          </cell>
          <cell r="X45">
            <v>4</v>
          </cell>
          <cell r="Y45">
            <v>0</v>
          </cell>
        </row>
        <row r="46">
          <cell r="B46" t="str">
            <v>TWW1002</v>
          </cell>
          <cell r="G46" t="str">
            <v>Installed</v>
          </cell>
          <cell r="W46" t="str">
            <v>Y</v>
          </cell>
          <cell r="X46">
            <v>2</v>
          </cell>
          <cell r="Y46">
            <v>0</v>
          </cell>
        </row>
        <row r="47">
          <cell r="B47" t="str">
            <v>TWW1002</v>
          </cell>
          <cell r="G47" t="str">
            <v>Installed</v>
          </cell>
          <cell r="W47" t="str">
            <v>Y</v>
          </cell>
          <cell r="X47">
            <v>2</v>
          </cell>
          <cell r="Y47">
            <v>0</v>
          </cell>
        </row>
        <row r="48">
          <cell r="B48" t="str">
            <v>TWW1002</v>
          </cell>
          <cell r="G48" t="str">
            <v>Installed</v>
          </cell>
          <cell r="W48" t="str">
            <v>Y</v>
          </cell>
          <cell r="X48">
            <v>2</v>
          </cell>
          <cell r="Y48">
            <v>0</v>
          </cell>
        </row>
        <row r="49">
          <cell r="B49" t="str">
            <v>TWW1002</v>
          </cell>
          <cell r="G49" t="str">
            <v>Installed</v>
          </cell>
          <cell r="W49" t="str">
            <v>Y</v>
          </cell>
          <cell r="X49">
            <v>2</v>
          </cell>
          <cell r="Y49">
            <v>0</v>
          </cell>
        </row>
        <row r="50">
          <cell r="B50" t="str">
            <v>TWW1002</v>
          </cell>
          <cell r="G50" t="str">
            <v>Installed</v>
          </cell>
          <cell r="W50" t="str">
            <v>Y</v>
          </cell>
          <cell r="X50">
            <v>4</v>
          </cell>
          <cell r="Y50">
            <v>0</v>
          </cell>
        </row>
        <row r="51">
          <cell r="B51" t="str">
            <v>TWW1002</v>
          </cell>
          <cell r="G51" t="str">
            <v>Installed</v>
          </cell>
          <cell r="W51" t="str">
            <v>Y</v>
          </cell>
          <cell r="X51">
            <v>7</v>
          </cell>
          <cell r="Y51">
            <v>0</v>
          </cell>
        </row>
        <row r="52">
          <cell r="B52" t="str">
            <v>TWW1002</v>
          </cell>
          <cell r="G52" t="str">
            <v>Installed</v>
          </cell>
          <cell r="W52" t="str">
            <v>N</v>
          </cell>
          <cell r="X52">
            <v>1</v>
          </cell>
          <cell r="Y52">
            <v>0</v>
          </cell>
        </row>
        <row r="53">
          <cell r="B53" t="str">
            <v>TLK1003</v>
          </cell>
          <cell r="G53" t="str">
            <v>Installed</v>
          </cell>
          <cell r="W53" t="str">
            <v>Y</v>
          </cell>
          <cell r="X53">
            <v>2</v>
          </cell>
          <cell r="Y53">
            <v>0</v>
          </cell>
        </row>
        <row r="54">
          <cell r="B54" t="str">
            <v>TLK1003</v>
          </cell>
          <cell r="G54" t="str">
            <v>Installed</v>
          </cell>
          <cell r="W54" t="str">
            <v>Y</v>
          </cell>
          <cell r="X54">
            <v>2</v>
          </cell>
          <cell r="Y54">
            <v>0</v>
          </cell>
        </row>
        <row r="55">
          <cell r="B55" t="str">
            <v>TLK1003</v>
          </cell>
          <cell r="G55" t="str">
            <v>Installed</v>
          </cell>
          <cell r="W55" t="str">
            <v>N</v>
          </cell>
          <cell r="X55">
            <v>2</v>
          </cell>
          <cell r="Y55">
            <v>0</v>
          </cell>
        </row>
        <row r="56">
          <cell r="B56" t="str">
            <v>TLK1003</v>
          </cell>
          <cell r="G56" t="str">
            <v>Installed</v>
          </cell>
          <cell r="W56" t="str">
            <v>Y</v>
          </cell>
          <cell r="X56">
            <v>1</v>
          </cell>
          <cell r="Y56">
            <v>0</v>
          </cell>
        </row>
        <row r="57">
          <cell r="B57" t="str">
            <v>TLK1003</v>
          </cell>
          <cell r="G57" t="str">
            <v>Installed</v>
          </cell>
          <cell r="W57" t="str">
            <v>Y</v>
          </cell>
          <cell r="X57">
            <v>0</v>
          </cell>
          <cell r="Y57">
            <v>0</v>
          </cell>
        </row>
        <row r="58">
          <cell r="B58" t="str">
            <v>TLK1003</v>
          </cell>
          <cell r="G58" t="str">
            <v>Installed</v>
          </cell>
          <cell r="W58" t="str">
            <v>Y</v>
          </cell>
          <cell r="X58">
            <v>0</v>
          </cell>
          <cell r="Y58">
            <v>0</v>
          </cell>
        </row>
        <row r="59">
          <cell r="B59" t="str">
            <v>TLK1003</v>
          </cell>
          <cell r="G59" t="str">
            <v>Installed</v>
          </cell>
          <cell r="W59" t="str">
            <v>Y</v>
          </cell>
          <cell r="X59">
            <v>0</v>
          </cell>
          <cell r="Y59">
            <v>0</v>
          </cell>
        </row>
        <row r="60">
          <cell r="B60" t="str">
            <v>TLK1003</v>
          </cell>
          <cell r="G60" t="str">
            <v>Installed</v>
          </cell>
          <cell r="W60" t="str">
            <v>Y</v>
          </cell>
          <cell r="X60">
            <v>1</v>
          </cell>
          <cell r="Y60">
            <v>0</v>
          </cell>
        </row>
        <row r="61">
          <cell r="B61" t="str">
            <v>TLK1003</v>
          </cell>
          <cell r="G61" t="str">
            <v>Installed</v>
          </cell>
          <cell r="W61" t="str">
            <v>Y</v>
          </cell>
          <cell r="X61">
            <v>0</v>
          </cell>
          <cell r="Y61">
            <v>0</v>
          </cell>
        </row>
        <row r="62">
          <cell r="B62" t="str">
            <v>TLK1003</v>
          </cell>
          <cell r="G62" t="str">
            <v>Installed</v>
          </cell>
          <cell r="W62" t="str">
            <v>Y</v>
          </cell>
          <cell r="X62">
            <v>2</v>
          </cell>
          <cell r="Y62">
            <v>0</v>
          </cell>
        </row>
        <row r="63">
          <cell r="B63" t="str">
            <v>TLK1003</v>
          </cell>
          <cell r="G63" t="str">
            <v>Installed</v>
          </cell>
          <cell r="W63" t="str">
            <v>Y</v>
          </cell>
          <cell r="X63">
            <v>1</v>
          </cell>
          <cell r="Y63">
            <v>0</v>
          </cell>
        </row>
        <row r="64">
          <cell r="B64" t="str">
            <v>TLK1003</v>
          </cell>
          <cell r="G64" t="str">
            <v>Installed</v>
          </cell>
          <cell r="W64" t="str">
            <v>N</v>
          </cell>
          <cell r="X64">
            <v>2</v>
          </cell>
          <cell r="Y64">
            <v>0</v>
          </cell>
        </row>
        <row r="65">
          <cell r="B65" t="str">
            <v>TLK1003</v>
          </cell>
          <cell r="G65" t="str">
            <v>Installed</v>
          </cell>
          <cell r="W65" t="str">
            <v>Y</v>
          </cell>
          <cell r="X65">
            <v>2</v>
          </cell>
          <cell r="Y65">
            <v>0</v>
          </cell>
        </row>
        <row r="66">
          <cell r="B66" t="str">
            <v>TLK1003</v>
          </cell>
          <cell r="G66" t="str">
            <v>Removed</v>
          </cell>
          <cell r="W66" t="str">
            <v>Y</v>
          </cell>
          <cell r="X66">
            <v>1</v>
          </cell>
          <cell r="Y66">
            <v>0</v>
          </cell>
        </row>
        <row r="67">
          <cell r="B67" t="str">
            <v>TLK1003</v>
          </cell>
          <cell r="G67" t="str">
            <v>Installed</v>
          </cell>
          <cell r="W67" t="str">
            <v>Y</v>
          </cell>
          <cell r="X67">
            <v>1</v>
          </cell>
          <cell r="Y67">
            <v>0</v>
          </cell>
        </row>
        <row r="68">
          <cell r="B68" t="str">
            <v>TLK1003</v>
          </cell>
          <cell r="G68" t="str">
            <v>Installed</v>
          </cell>
          <cell r="W68" t="str">
            <v>Y</v>
          </cell>
          <cell r="X68">
            <v>2</v>
          </cell>
          <cell r="Y68">
            <v>0</v>
          </cell>
        </row>
        <row r="69">
          <cell r="B69" t="str">
            <v>TLK1003</v>
          </cell>
          <cell r="G69" t="str">
            <v>Installed</v>
          </cell>
          <cell r="W69" t="str">
            <v>Y</v>
          </cell>
          <cell r="X69">
            <v>2</v>
          </cell>
          <cell r="Y69">
            <v>0</v>
          </cell>
        </row>
        <row r="70">
          <cell r="B70" t="str">
            <v>TLK1003</v>
          </cell>
          <cell r="G70" t="str">
            <v>Installed</v>
          </cell>
          <cell r="W70" t="str">
            <v>Y</v>
          </cell>
          <cell r="X70">
            <v>1</v>
          </cell>
          <cell r="Y70">
            <v>0</v>
          </cell>
        </row>
        <row r="71">
          <cell r="B71" t="str">
            <v>TLK1003</v>
          </cell>
          <cell r="G71" t="str">
            <v>Installed</v>
          </cell>
          <cell r="W71" t="str">
            <v>Y</v>
          </cell>
          <cell r="X71">
            <v>1</v>
          </cell>
          <cell r="Y71">
            <v>0</v>
          </cell>
        </row>
        <row r="72">
          <cell r="B72" t="str">
            <v>TLK1003</v>
          </cell>
          <cell r="G72" t="str">
            <v>Installed</v>
          </cell>
          <cell r="W72" t="str">
            <v>Y</v>
          </cell>
          <cell r="X72">
            <v>1</v>
          </cell>
          <cell r="Y72">
            <v>0</v>
          </cell>
        </row>
        <row r="73">
          <cell r="B73" t="str">
            <v>TLK1003</v>
          </cell>
          <cell r="G73" t="str">
            <v>Installed</v>
          </cell>
          <cell r="W73" t="str">
            <v>Y</v>
          </cell>
          <cell r="X73">
            <v>2</v>
          </cell>
          <cell r="Y73">
            <v>0</v>
          </cell>
        </row>
        <row r="74">
          <cell r="B74" t="str">
            <v>TLK1003</v>
          </cell>
          <cell r="G74" t="str">
            <v>Installed</v>
          </cell>
          <cell r="W74" t="str">
            <v>Y</v>
          </cell>
          <cell r="X74">
            <v>1</v>
          </cell>
          <cell r="Y74">
            <v>0</v>
          </cell>
        </row>
        <row r="75">
          <cell r="B75" t="str">
            <v>TLK1003</v>
          </cell>
          <cell r="G75" t="str">
            <v>Installed</v>
          </cell>
          <cell r="W75" t="str">
            <v>Y</v>
          </cell>
          <cell r="X75">
            <v>2</v>
          </cell>
          <cell r="Y75">
            <v>0</v>
          </cell>
        </row>
        <row r="76">
          <cell r="B76" t="str">
            <v>TLK1003</v>
          </cell>
          <cell r="G76" t="str">
            <v>Installed</v>
          </cell>
          <cell r="W76" t="str">
            <v>N</v>
          </cell>
          <cell r="X76">
            <v>6</v>
          </cell>
          <cell r="Y76">
            <v>0</v>
          </cell>
        </row>
        <row r="77">
          <cell r="B77" t="str">
            <v>TLK1003</v>
          </cell>
          <cell r="G77" t="str">
            <v>Installed</v>
          </cell>
          <cell r="W77" t="str">
            <v>N</v>
          </cell>
          <cell r="X77">
            <v>8</v>
          </cell>
          <cell r="Y77">
            <v>0</v>
          </cell>
        </row>
        <row r="78">
          <cell r="B78" t="str">
            <v>TLK1003</v>
          </cell>
          <cell r="G78" t="str">
            <v>Installed</v>
          </cell>
          <cell r="W78" t="str">
            <v>N</v>
          </cell>
          <cell r="X78">
            <v>1</v>
          </cell>
          <cell r="Y78">
            <v>0</v>
          </cell>
        </row>
        <row r="79">
          <cell r="B79" t="str">
            <v>TLK1003</v>
          </cell>
          <cell r="G79" t="str">
            <v>Installed</v>
          </cell>
          <cell r="W79" t="str">
            <v>Y</v>
          </cell>
          <cell r="X79">
            <v>1</v>
          </cell>
          <cell r="Y79">
            <v>0</v>
          </cell>
        </row>
        <row r="80">
          <cell r="B80" t="str">
            <v>TLK1003</v>
          </cell>
          <cell r="G80" t="str">
            <v>Installed</v>
          </cell>
          <cell r="W80" t="str">
            <v>Y</v>
          </cell>
          <cell r="X80">
            <v>1</v>
          </cell>
          <cell r="Y80">
            <v>0</v>
          </cell>
        </row>
        <row r="81">
          <cell r="B81" t="str">
            <v>TLK1003</v>
          </cell>
          <cell r="G81" t="str">
            <v>Removed</v>
          </cell>
          <cell r="W81" t="str">
            <v>Y</v>
          </cell>
          <cell r="X81">
            <v>1</v>
          </cell>
          <cell r="Y81">
            <v>0</v>
          </cell>
        </row>
        <row r="82">
          <cell r="B82" t="str">
            <v>TLK1003</v>
          </cell>
          <cell r="G82" t="str">
            <v>Removed</v>
          </cell>
          <cell r="W82" t="str">
            <v>Y</v>
          </cell>
          <cell r="X82">
            <v>1</v>
          </cell>
          <cell r="Y82">
            <v>0</v>
          </cell>
        </row>
        <row r="83">
          <cell r="B83" t="str">
            <v>TLK1003</v>
          </cell>
          <cell r="G83" t="str">
            <v>Removed</v>
          </cell>
          <cell r="W83" t="str">
            <v>Y</v>
          </cell>
          <cell r="X83">
            <v>0</v>
          </cell>
          <cell r="Y83">
            <v>0</v>
          </cell>
        </row>
        <row r="84">
          <cell r="B84" t="str">
            <v>TLK1003</v>
          </cell>
          <cell r="G84" t="str">
            <v>Installed</v>
          </cell>
          <cell r="W84" t="str">
            <v>Y</v>
          </cell>
          <cell r="X84">
            <v>6</v>
          </cell>
          <cell r="Y84">
            <v>0</v>
          </cell>
        </row>
        <row r="85">
          <cell r="B85" t="str">
            <v>TLK1003</v>
          </cell>
          <cell r="G85" t="str">
            <v>Installed</v>
          </cell>
          <cell r="W85" t="str">
            <v>N</v>
          </cell>
          <cell r="X85">
            <v>1</v>
          </cell>
          <cell r="Y85">
            <v>0</v>
          </cell>
        </row>
        <row r="86">
          <cell r="B86" t="str">
            <v>TLK1003</v>
          </cell>
          <cell r="G86" t="str">
            <v>Installed</v>
          </cell>
          <cell r="W86" t="str">
            <v>Y</v>
          </cell>
          <cell r="X86">
            <v>1</v>
          </cell>
          <cell r="Y86">
            <v>0</v>
          </cell>
        </row>
        <row r="87">
          <cell r="B87" t="str">
            <v>TLK1003</v>
          </cell>
          <cell r="G87" t="str">
            <v>Installed</v>
          </cell>
          <cell r="W87" t="str">
            <v>N</v>
          </cell>
          <cell r="X87">
            <v>1</v>
          </cell>
          <cell r="Y87">
            <v>0</v>
          </cell>
        </row>
        <row r="88">
          <cell r="B88" t="str">
            <v>TLK1003</v>
          </cell>
          <cell r="G88" t="str">
            <v>Installed</v>
          </cell>
          <cell r="W88" t="str">
            <v>Y</v>
          </cell>
          <cell r="X88">
            <v>1</v>
          </cell>
          <cell r="Y88">
            <v>0</v>
          </cell>
        </row>
        <row r="89">
          <cell r="B89" t="str">
            <v>TLK1003</v>
          </cell>
          <cell r="G89" t="str">
            <v>Installed</v>
          </cell>
          <cell r="W89" t="str">
            <v>Y</v>
          </cell>
          <cell r="X89">
            <v>4</v>
          </cell>
          <cell r="Y89">
            <v>0</v>
          </cell>
        </row>
        <row r="90">
          <cell r="B90" t="str">
            <v>TLK1003</v>
          </cell>
          <cell r="G90" t="str">
            <v>Installed</v>
          </cell>
          <cell r="W90" t="str">
            <v>Y</v>
          </cell>
          <cell r="X90">
            <v>14</v>
          </cell>
          <cell r="Y90">
            <v>0</v>
          </cell>
        </row>
        <row r="91">
          <cell r="B91" t="str">
            <v>TLK1003</v>
          </cell>
          <cell r="G91" t="str">
            <v>Installed</v>
          </cell>
          <cell r="W91" t="str">
            <v>Y</v>
          </cell>
          <cell r="X91">
            <v>2</v>
          </cell>
          <cell r="Y91">
            <v>0</v>
          </cell>
        </row>
        <row r="92">
          <cell r="B92" t="str">
            <v>TKK1004</v>
          </cell>
          <cell r="G92" t="str">
            <v>Installed</v>
          </cell>
          <cell r="W92" t="str">
            <v>N</v>
          </cell>
          <cell r="X92">
            <v>1</v>
          </cell>
          <cell r="Y92">
            <v>0</v>
          </cell>
        </row>
        <row r="93">
          <cell r="B93" t="str">
            <v>TKK1004</v>
          </cell>
          <cell r="G93" t="str">
            <v>Removed</v>
          </cell>
          <cell r="W93" t="str">
            <v>Y</v>
          </cell>
          <cell r="X93">
            <v>2</v>
          </cell>
          <cell r="Y93">
            <v>0</v>
          </cell>
        </row>
        <row r="94">
          <cell r="B94" t="str">
            <v>TKK1004</v>
          </cell>
          <cell r="G94" t="str">
            <v>Installed</v>
          </cell>
          <cell r="W94" t="str">
            <v>N</v>
          </cell>
          <cell r="X94">
            <v>3</v>
          </cell>
          <cell r="Y94">
            <v>0</v>
          </cell>
        </row>
        <row r="95">
          <cell r="B95" t="str">
            <v>TKK1004</v>
          </cell>
          <cell r="G95" t="str">
            <v>Installed</v>
          </cell>
          <cell r="W95" t="str">
            <v>Y</v>
          </cell>
          <cell r="X95">
            <v>2</v>
          </cell>
          <cell r="Y95">
            <v>0</v>
          </cell>
        </row>
        <row r="96">
          <cell r="B96" t="str">
            <v>TKK1004</v>
          </cell>
          <cell r="G96" t="str">
            <v>Installed</v>
          </cell>
          <cell r="W96" t="str">
            <v>Y</v>
          </cell>
          <cell r="X96">
            <v>2</v>
          </cell>
          <cell r="Y96">
            <v>0</v>
          </cell>
        </row>
        <row r="97">
          <cell r="B97" t="str">
            <v>TKK1004</v>
          </cell>
          <cell r="G97" t="str">
            <v>Installed</v>
          </cell>
          <cell r="W97" t="str">
            <v>Y</v>
          </cell>
          <cell r="X97">
            <v>0</v>
          </cell>
          <cell r="Y97">
            <v>0</v>
          </cell>
        </row>
        <row r="98">
          <cell r="B98" t="str">
            <v>TKK1004</v>
          </cell>
          <cell r="G98" t="str">
            <v>Installed</v>
          </cell>
          <cell r="W98" t="str">
            <v>Y</v>
          </cell>
          <cell r="X98">
            <v>0</v>
          </cell>
          <cell r="Y98">
            <v>0</v>
          </cell>
        </row>
        <row r="99">
          <cell r="B99" t="str">
            <v>TKK1004</v>
          </cell>
          <cell r="G99" t="str">
            <v>Installed</v>
          </cell>
          <cell r="W99" t="str">
            <v>Y</v>
          </cell>
          <cell r="X99">
            <v>0</v>
          </cell>
          <cell r="Y99">
            <v>0</v>
          </cell>
        </row>
        <row r="100">
          <cell r="B100" t="str">
            <v>TKK1004</v>
          </cell>
          <cell r="G100" t="str">
            <v>Installed</v>
          </cell>
          <cell r="W100" t="str">
            <v>Y</v>
          </cell>
          <cell r="X100">
            <v>0</v>
          </cell>
          <cell r="Y100">
            <v>0</v>
          </cell>
        </row>
        <row r="101">
          <cell r="B101" t="str">
            <v>TKK1004</v>
          </cell>
          <cell r="G101" t="str">
            <v>Installed</v>
          </cell>
          <cell r="W101" t="str">
            <v>Y</v>
          </cell>
          <cell r="X101">
            <v>0</v>
          </cell>
          <cell r="Y101">
            <v>0</v>
          </cell>
        </row>
        <row r="102">
          <cell r="B102" t="str">
            <v>TKK1004</v>
          </cell>
          <cell r="G102" t="str">
            <v>Installed</v>
          </cell>
          <cell r="W102" t="str">
            <v>Y</v>
          </cell>
          <cell r="X102">
            <v>1</v>
          </cell>
          <cell r="Y102">
            <v>0</v>
          </cell>
        </row>
        <row r="103">
          <cell r="B103" t="str">
            <v>TKK1004</v>
          </cell>
          <cell r="G103" t="str">
            <v>Installed</v>
          </cell>
          <cell r="W103" t="str">
            <v>Y</v>
          </cell>
          <cell r="X103">
            <v>0</v>
          </cell>
          <cell r="Y103">
            <v>0</v>
          </cell>
        </row>
        <row r="104">
          <cell r="B104" t="str">
            <v>TKK1004</v>
          </cell>
          <cell r="G104" t="str">
            <v>Installed</v>
          </cell>
          <cell r="W104" t="str">
            <v>Y</v>
          </cell>
          <cell r="X104">
            <v>0</v>
          </cell>
          <cell r="Y104">
            <v>0</v>
          </cell>
        </row>
        <row r="105">
          <cell r="B105" t="str">
            <v>TKK1004</v>
          </cell>
          <cell r="G105" t="str">
            <v>Installed</v>
          </cell>
          <cell r="W105" t="str">
            <v>Y</v>
          </cell>
          <cell r="X105">
            <v>0</v>
          </cell>
          <cell r="Y105">
            <v>0</v>
          </cell>
        </row>
        <row r="106">
          <cell r="B106" t="str">
            <v>TKK1004</v>
          </cell>
          <cell r="G106" t="str">
            <v>Installed</v>
          </cell>
          <cell r="W106" t="str">
            <v>Y</v>
          </cell>
          <cell r="X106">
            <v>1</v>
          </cell>
          <cell r="Y106">
            <v>0</v>
          </cell>
        </row>
        <row r="107">
          <cell r="B107" t="str">
            <v>TKK1004</v>
          </cell>
          <cell r="G107" t="str">
            <v>Installed</v>
          </cell>
          <cell r="W107" t="str">
            <v>Y</v>
          </cell>
          <cell r="X107">
            <v>0</v>
          </cell>
          <cell r="Y107">
            <v>0</v>
          </cell>
        </row>
        <row r="108">
          <cell r="B108" t="str">
            <v>TKK1004</v>
          </cell>
          <cell r="G108" t="str">
            <v>Installed</v>
          </cell>
          <cell r="W108" t="str">
            <v>Y</v>
          </cell>
          <cell r="X108">
            <v>0</v>
          </cell>
          <cell r="Y108">
            <v>0</v>
          </cell>
        </row>
        <row r="109">
          <cell r="B109" t="str">
            <v>TKK1004</v>
          </cell>
          <cell r="G109" t="str">
            <v>Installed</v>
          </cell>
          <cell r="W109" t="str">
            <v>Y</v>
          </cell>
          <cell r="X109">
            <v>0</v>
          </cell>
          <cell r="Y109">
            <v>0</v>
          </cell>
        </row>
        <row r="110">
          <cell r="B110" t="str">
            <v>TKK1004</v>
          </cell>
          <cell r="G110" t="str">
            <v>Removed</v>
          </cell>
          <cell r="W110" t="str">
            <v>Y</v>
          </cell>
          <cell r="X110">
            <v>1</v>
          </cell>
          <cell r="Y110">
            <v>0</v>
          </cell>
        </row>
        <row r="111">
          <cell r="B111" t="str">
            <v>TKK1004</v>
          </cell>
          <cell r="G111" t="str">
            <v>Installed</v>
          </cell>
          <cell r="W111" t="str">
            <v>Y</v>
          </cell>
          <cell r="X111">
            <v>2</v>
          </cell>
          <cell r="Y111">
            <v>0</v>
          </cell>
        </row>
        <row r="112">
          <cell r="B112" t="str">
            <v>TKK1004</v>
          </cell>
          <cell r="G112" t="str">
            <v>Installed</v>
          </cell>
          <cell r="W112" t="str">
            <v>Y</v>
          </cell>
          <cell r="X112">
            <v>1</v>
          </cell>
          <cell r="Y112">
            <v>0</v>
          </cell>
        </row>
        <row r="113">
          <cell r="B113" t="str">
            <v>TKK1004</v>
          </cell>
          <cell r="G113" t="str">
            <v>Installed</v>
          </cell>
          <cell r="W113" t="str">
            <v>N</v>
          </cell>
          <cell r="X113">
            <v>2</v>
          </cell>
          <cell r="Y113">
            <v>0</v>
          </cell>
        </row>
        <row r="114">
          <cell r="B114" t="str">
            <v>TKK1004</v>
          </cell>
          <cell r="G114" t="str">
            <v>Installed</v>
          </cell>
          <cell r="W114" t="str">
            <v>N</v>
          </cell>
          <cell r="X114">
            <v>1</v>
          </cell>
          <cell r="Y114">
            <v>0</v>
          </cell>
        </row>
        <row r="115">
          <cell r="B115" t="str">
            <v>TKK1004</v>
          </cell>
          <cell r="G115" t="str">
            <v>Installed</v>
          </cell>
          <cell r="W115" t="str">
            <v>N</v>
          </cell>
          <cell r="X115">
            <v>0</v>
          </cell>
          <cell r="Y115">
            <v>0</v>
          </cell>
        </row>
        <row r="116">
          <cell r="B116" t="str">
            <v>TKK1004</v>
          </cell>
          <cell r="G116" t="str">
            <v>Installed</v>
          </cell>
          <cell r="W116" t="str">
            <v>N</v>
          </cell>
          <cell r="X116">
            <v>3</v>
          </cell>
          <cell r="Y116">
            <v>0</v>
          </cell>
        </row>
        <row r="117">
          <cell r="B117" t="str">
            <v>TKK1004</v>
          </cell>
          <cell r="G117" t="str">
            <v>Installed</v>
          </cell>
          <cell r="W117" t="str">
            <v>Y</v>
          </cell>
          <cell r="X117">
            <v>1</v>
          </cell>
          <cell r="Y117">
            <v>0</v>
          </cell>
        </row>
        <row r="118">
          <cell r="B118" t="str">
            <v>TKK1004</v>
          </cell>
          <cell r="G118" t="str">
            <v>Installed</v>
          </cell>
          <cell r="W118" t="str">
            <v>Y</v>
          </cell>
          <cell r="X118">
            <v>15</v>
          </cell>
          <cell r="Y118">
            <v>0</v>
          </cell>
        </row>
        <row r="119">
          <cell r="B119" t="str">
            <v>TKK1004</v>
          </cell>
          <cell r="G119" t="str">
            <v>Installed</v>
          </cell>
          <cell r="W119" t="str">
            <v>Y</v>
          </cell>
          <cell r="X119">
            <v>1</v>
          </cell>
          <cell r="Y119">
            <v>0</v>
          </cell>
        </row>
        <row r="120">
          <cell r="B120" t="str">
            <v>TKK1004</v>
          </cell>
          <cell r="G120" t="str">
            <v>Installed</v>
          </cell>
          <cell r="W120" t="str">
            <v>Y</v>
          </cell>
          <cell r="X120">
            <v>0</v>
          </cell>
          <cell r="Y120">
            <v>0</v>
          </cell>
        </row>
        <row r="121">
          <cell r="B121" t="str">
            <v>TKK1004</v>
          </cell>
          <cell r="G121" t="str">
            <v>Installed</v>
          </cell>
          <cell r="W121" t="str">
            <v>Y</v>
          </cell>
          <cell r="X121">
            <v>1</v>
          </cell>
          <cell r="Y121">
            <v>0</v>
          </cell>
        </row>
        <row r="122">
          <cell r="B122" t="str">
            <v>TKK1004</v>
          </cell>
          <cell r="G122" t="str">
            <v>Installed</v>
          </cell>
          <cell r="W122" t="str">
            <v>Y</v>
          </cell>
          <cell r="X122">
            <v>5</v>
          </cell>
          <cell r="Y122">
            <v>0</v>
          </cell>
        </row>
        <row r="123">
          <cell r="B123" t="str">
            <v>TKK1004</v>
          </cell>
          <cell r="G123" t="str">
            <v>Installed</v>
          </cell>
          <cell r="W123" t="str">
            <v>Y</v>
          </cell>
          <cell r="X123">
            <v>5</v>
          </cell>
          <cell r="Y123">
            <v>0</v>
          </cell>
        </row>
        <row r="124">
          <cell r="B124" t="str">
            <v>TKK1004</v>
          </cell>
          <cell r="G124" t="str">
            <v>Installed</v>
          </cell>
          <cell r="W124" t="str">
            <v>N</v>
          </cell>
          <cell r="X124">
            <v>4</v>
          </cell>
          <cell r="Y124">
            <v>0</v>
          </cell>
        </row>
        <row r="125">
          <cell r="B125" t="str">
            <v>TKK1004</v>
          </cell>
          <cell r="G125" t="str">
            <v>Installed</v>
          </cell>
          <cell r="W125" t="str">
            <v>Y</v>
          </cell>
          <cell r="X125">
            <v>1</v>
          </cell>
          <cell r="Y125">
            <v>0</v>
          </cell>
        </row>
        <row r="126">
          <cell r="B126" t="str">
            <v>TKK1004</v>
          </cell>
          <cell r="G126" t="str">
            <v>Installed</v>
          </cell>
          <cell r="W126" t="str">
            <v>Y</v>
          </cell>
          <cell r="X126">
            <v>21</v>
          </cell>
          <cell r="Y126">
            <v>0</v>
          </cell>
        </row>
        <row r="127">
          <cell r="B127" t="str">
            <v>TDL1005</v>
          </cell>
          <cell r="G127" t="str">
            <v>Installed</v>
          </cell>
          <cell r="W127" t="str">
            <v>N</v>
          </cell>
          <cell r="X127">
            <v>1</v>
          </cell>
          <cell r="Y127">
            <v>0</v>
          </cell>
        </row>
        <row r="128">
          <cell r="B128" t="str">
            <v>TDL1005</v>
          </cell>
          <cell r="G128" t="str">
            <v>Installed</v>
          </cell>
          <cell r="W128" t="str">
            <v>Y</v>
          </cell>
          <cell r="X128">
            <v>1</v>
          </cell>
          <cell r="Y128">
            <v>0</v>
          </cell>
        </row>
        <row r="129">
          <cell r="B129" t="str">
            <v>TDL1005</v>
          </cell>
          <cell r="G129" t="str">
            <v>Installed</v>
          </cell>
          <cell r="W129" t="str">
            <v>Y</v>
          </cell>
          <cell r="X129">
            <v>2</v>
          </cell>
          <cell r="Y129">
            <v>0</v>
          </cell>
        </row>
        <row r="130">
          <cell r="B130" t="str">
            <v>TDL1005</v>
          </cell>
          <cell r="G130" t="str">
            <v>Installed</v>
          </cell>
          <cell r="W130" t="str">
            <v>Y</v>
          </cell>
          <cell r="X130">
            <v>1</v>
          </cell>
          <cell r="Y130">
            <v>0</v>
          </cell>
        </row>
        <row r="131">
          <cell r="B131" t="str">
            <v>TDL1005</v>
          </cell>
          <cell r="G131" t="str">
            <v>Installed</v>
          </cell>
          <cell r="W131" t="str">
            <v>Y</v>
          </cell>
          <cell r="X131">
            <v>1</v>
          </cell>
          <cell r="Y131">
            <v>0</v>
          </cell>
        </row>
        <row r="132">
          <cell r="B132" t="str">
            <v>TDL1005</v>
          </cell>
          <cell r="G132" t="str">
            <v>Installed</v>
          </cell>
          <cell r="W132" t="str">
            <v>Y</v>
          </cell>
          <cell r="X132">
            <v>1</v>
          </cell>
          <cell r="Y132">
            <v>0</v>
          </cell>
        </row>
        <row r="133">
          <cell r="B133" t="str">
            <v>TDL1005</v>
          </cell>
          <cell r="G133" t="str">
            <v>Installed</v>
          </cell>
          <cell r="W133" t="str">
            <v>Y</v>
          </cell>
          <cell r="X133">
            <v>1</v>
          </cell>
          <cell r="Y133">
            <v>0</v>
          </cell>
        </row>
        <row r="134">
          <cell r="B134" t="str">
            <v>TDL1005</v>
          </cell>
          <cell r="G134" t="str">
            <v>Installed</v>
          </cell>
          <cell r="W134" t="str">
            <v>Y</v>
          </cell>
          <cell r="X134">
            <v>1</v>
          </cell>
          <cell r="Y134">
            <v>0</v>
          </cell>
        </row>
        <row r="135">
          <cell r="B135" t="str">
            <v>TDL1005</v>
          </cell>
          <cell r="G135" t="str">
            <v>Installed</v>
          </cell>
          <cell r="W135" t="str">
            <v>Y</v>
          </cell>
          <cell r="X135">
            <v>2</v>
          </cell>
          <cell r="Y135">
            <v>0</v>
          </cell>
        </row>
        <row r="136">
          <cell r="B136" t="str">
            <v>TDL1005</v>
          </cell>
          <cell r="G136" t="str">
            <v>Installed</v>
          </cell>
          <cell r="W136" t="str">
            <v>Y</v>
          </cell>
          <cell r="X136">
            <v>0</v>
          </cell>
          <cell r="Y136">
            <v>0</v>
          </cell>
        </row>
        <row r="137">
          <cell r="B137" t="str">
            <v>TDL1005</v>
          </cell>
          <cell r="G137" t="str">
            <v>Installed</v>
          </cell>
          <cell r="W137" t="str">
            <v>Y</v>
          </cell>
          <cell r="X137">
            <v>0</v>
          </cell>
          <cell r="Y137">
            <v>0</v>
          </cell>
        </row>
        <row r="138">
          <cell r="B138" t="str">
            <v>TDL1005</v>
          </cell>
          <cell r="G138" t="str">
            <v>Installed</v>
          </cell>
          <cell r="W138" t="str">
            <v>Y</v>
          </cell>
          <cell r="X138">
            <v>0</v>
          </cell>
          <cell r="Y138">
            <v>0</v>
          </cell>
        </row>
        <row r="139">
          <cell r="B139" t="str">
            <v>TDL1005</v>
          </cell>
          <cell r="G139" t="str">
            <v>Installed</v>
          </cell>
          <cell r="W139" t="str">
            <v>Y</v>
          </cell>
          <cell r="X139">
            <v>0</v>
          </cell>
          <cell r="Y139">
            <v>0</v>
          </cell>
        </row>
        <row r="140">
          <cell r="B140" t="str">
            <v>TDL1005</v>
          </cell>
          <cell r="G140" t="str">
            <v>Installed</v>
          </cell>
          <cell r="W140" t="str">
            <v>Y</v>
          </cell>
          <cell r="X140">
            <v>0</v>
          </cell>
          <cell r="Y140">
            <v>0</v>
          </cell>
        </row>
        <row r="141">
          <cell r="B141" t="str">
            <v>TDL1005</v>
          </cell>
          <cell r="G141" t="str">
            <v>Installed</v>
          </cell>
          <cell r="W141" t="str">
            <v>Y</v>
          </cell>
          <cell r="X141">
            <v>0</v>
          </cell>
          <cell r="Y141">
            <v>0</v>
          </cell>
        </row>
        <row r="142">
          <cell r="B142" t="str">
            <v>TDL1005</v>
          </cell>
          <cell r="G142" t="str">
            <v>Installed</v>
          </cell>
          <cell r="W142" t="str">
            <v>Y</v>
          </cell>
          <cell r="X142">
            <v>0</v>
          </cell>
          <cell r="Y142">
            <v>0</v>
          </cell>
        </row>
        <row r="143">
          <cell r="B143" t="str">
            <v>TDL1005</v>
          </cell>
          <cell r="G143" t="str">
            <v>Prop Removal</v>
          </cell>
          <cell r="W143" t="str">
            <v>Y</v>
          </cell>
          <cell r="X143">
            <v>1</v>
          </cell>
          <cell r="Y143">
            <v>0</v>
          </cell>
        </row>
        <row r="144">
          <cell r="B144" t="str">
            <v>TDL1005</v>
          </cell>
          <cell r="G144" t="str">
            <v>Installed</v>
          </cell>
          <cell r="W144" t="str">
            <v>Y</v>
          </cell>
          <cell r="X144">
            <v>1</v>
          </cell>
          <cell r="Y144">
            <v>0</v>
          </cell>
        </row>
        <row r="145">
          <cell r="B145" t="str">
            <v>TDL1005</v>
          </cell>
          <cell r="G145" t="str">
            <v>Removed</v>
          </cell>
          <cell r="W145" t="str">
            <v>Y</v>
          </cell>
          <cell r="X145">
            <v>2</v>
          </cell>
          <cell r="Y145">
            <v>0</v>
          </cell>
        </row>
        <row r="146">
          <cell r="B146" t="str">
            <v>TDL1005</v>
          </cell>
          <cell r="G146" t="str">
            <v>Removed</v>
          </cell>
          <cell r="W146" t="str">
            <v>Y</v>
          </cell>
          <cell r="X146">
            <v>1</v>
          </cell>
          <cell r="Y146">
            <v>0</v>
          </cell>
        </row>
        <row r="147">
          <cell r="B147" t="str">
            <v>TDL1005</v>
          </cell>
          <cell r="G147" t="str">
            <v>Removed</v>
          </cell>
          <cell r="W147" t="str">
            <v>Y</v>
          </cell>
          <cell r="X147">
            <v>1</v>
          </cell>
          <cell r="Y147">
            <v>0</v>
          </cell>
        </row>
        <row r="148">
          <cell r="B148" t="str">
            <v>TDL1005</v>
          </cell>
          <cell r="G148" t="str">
            <v>Removed</v>
          </cell>
          <cell r="W148" t="str">
            <v>Y</v>
          </cell>
          <cell r="X148">
            <v>1</v>
          </cell>
          <cell r="Y148">
            <v>0</v>
          </cell>
        </row>
        <row r="149">
          <cell r="B149" t="str">
            <v>TDL1005</v>
          </cell>
          <cell r="G149" t="str">
            <v>Installed</v>
          </cell>
          <cell r="W149" t="str">
            <v>Y</v>
          </cell>
          <cell r="X149">
            <v>1</v>
          </cell>
          <cell r="Y149">
            <v>0</v>
          </cell>
        </row>
        <row r="150">
          <cell r="B150" t="str">
            <v>TDL1005</v>
          </cell>
          <cell r="G150" t="str">
            <v>Installed</v>
          </cell>
          <cell r="W150" t="str">
            <v>Y</v>
          </cell>
          <cell r="X150">
            <v>1</v>
          </cell>
          <cell r="Y150">
            <v>0</v>
          </cell>
        </row>
        <row r="151">
          <cell r="B151" t="str">
            <v>TDL1005</v>
          </cell>
          <cell r="G151" t="str">
            <v>Prop Removal</v>
          </cell>
          <cell r="W151" t="str">
            <v>Y</v>
          </cell>
          <cell r="X151">
            <v>1</v>
          </cell>
          <cell r="Y151">
            <v>0</v>
          </cell>
        </row>
        <row r="152">
          <cell r="B152" t="str">
            <v>TDL1005</v>
          </cell>
          <cell r="G152" t="str">
            <v>Installed</v>
          </cell>
          <cell r="W152" t="str">
            <v>N</v>
          </cell>
          <cell r="X152">
            <v>2</v>
          </cell>
          <cell r="Y152">
            <v>0</v>
          </cell>
        </row>
        <row r="153">
          <cell r="B153" t="str">
            <v>TDL1005</v>
          </cell>
          <cell r="G153" t="str">
            <v>Installed</v>
          </cell>
          <cell r="W153" t="str">
            <v>N</v>
          </cell>
          <cell r="X153">
            <v>0</v>
          </cell>
          <cell r="Y153">
            <v>0</v>
          </cell>
        </row>
        <row r="154">
          <cell r="B154" t="str">
            <v>TDL1005</v>
          </cell>
          <cell r="G154" t="str">
            <v>Installed</v>
          </cell>
          <cell r="W154" t="str">
            <v>N</v>
          </cell>
          <cell r="X154">
            <v>4</v>
          </cell>
          <cell r="Y154">
            <v>0</v>
          </cell>
        </row>
        <row r="155">
          <cell r="B155" t="str">
            <v>TDL1005</v>
          </cell>
          <cell r="G155" t="str">
            <v>Prop Removal</v>
          </cell>
          <cell r="W155" t="str">
            <v>Y</v>
          </cell>
          <cell r="X155">
            <v>2</v>
          </cell>
          <cell r="Y155">
            <v>0</v>
          </cell>
        </row>
        <row r="156">
          <cell r="B156" t="str">
            <v>TDL1005</v>
          </cell>
          <cell r="G156" t="str">
            <v>Installed</v>
          </cell>
          <cell r="W156" t="str">
            <v>Y</v>
          </cell>
          <cell r="X156">
            <v>1</v>
          </cell>
          <cell r="Y156">
            <v>0</v>
          </cell>
        </row>
        <row r="157">
          <cell r="B157" t="str">
            <v>TDL1005</v>
          </cell>
          <cell r="G157" t="str">
            <v>Installed</v>
          </cell>
          <cell r="W157" t="str">
            <v>Y</v>
          </cell>
          <cell r="X157">
            <v>2</v>
          </cell>
          <cell r="Y157">
            <v>0</v>
          </cell>
        </row>
        <row r="158">
          <cell r="B158" t="str">
            <v>TDL1005</v>
          </cell>
          <cell r="G158" t="str">
            <v>Installed</v>
          </cell>
          <cell r="W158" t="str">
            <v>Y</v>
          </cell>
          <cell r="X158">
            <v>6</v>
          </cell>
          <cell r="Y158">
            <v>0</v>
          </cell>
        </row>
        <row r="159">
          <cell r="B159" t="str">
            <v>TDL1005</v>
          </cell>
          <cell r="G159" t="str">
            <v>Installed</v>
          </cell>
          <cell r="W159" t="str">
            <v>Y</v>
          </cell>
          <cell r="X159">
            <v>6</v>
          </cell>
          <cell r="Y159">
            <v>0</v>
          </cell>
        </row>
        <row r="160">
          <cell r="B160" t="str">
            <v>TDL1005</v>
          </cell>
          <cell r="G160" t="str">
            <v>Installed</v>
          </cell>
          <cell r="W160" t="str">
            <v>N</v>
          </cell>
          <cell r="X160">
            <v>1</v>
          </cell>
          <cell r="Y160">
            <v>0</v>
          </cell>
        </row>
        <row r="161">
          <cell r="B161" t="str">
            <v>TDL1005</v>
          </cell>
          <cell r="G161" t="str">
            <v>Installed</v>
          </cell>
          <cell r="W161" t="str">
            <v>Y</v>
          </cell>
          <cell r="X161">
            <v>2</v>
          </cell>
          <cell r="Y161">
            <v>0</v>
          </cell>
        </row>
        <row r="162">
          <cell r="B162" t="str">
            <v>TDL1005</v>
          </cell>
          <cell r="G162" t="str">
            <v>Installed</v>
          </cell>
          <cell r="W162" t="str">
            <v>Y</v>
          </cell>
          <cell r="X162">
            <v>3</v>
          </cell>
          <cell r="Y162">
            <v>0</v>
          </cell>
        </row>
        <row r="163">
          <cell r="B163" t="str">
            <v>TDL1005</v>
          </cell>
          <cell r="G163" t="str">
            <v>Installed</v>
          </cell>
          <cell r="W163" t="str">
            <v>Y</v>
          </cell>
          <cell r="X163">
            <v>2</v>
          </cell>
          <cell r="Y163">
            <v>0</v>
          </cell>
        </row>
        <row r="164">
          <cell r="B164" t="str">
            <v>TDL1005</v>
          </cell>
          <cell r="G164" t="str">
            <v>Installed</v>
          </cell>
          <cell r="W164" t="str">
            <v>Y</v>
          </cell>
          <cell r="X164">
            <v>8</v>
          </cell>
          <cell r="Y164">
            <v>0</v>
          </cell>
        </row>
        <row r="165">
          <cell r="B165" t="str">
            <v>TDL1005</v>
          </cell>
          <cell r="G165" t="str">
            <v>Installed</v>
          </cell>
          <cell r="W165" t="str">
            <v>Y</v>
          </cell>
          <cell r="X165">
            <v>2</v>
          </cell>
          <cell r="Y165">
            <v>0</v>
          </cell>
        </row>
        <row r="166">
          <cell r="B166" t="str">
            <v>TDL1005</v>
          </cell>
          <cell r="G166" t="str">
            <v>Installed</v>
          </cell>
          <cell r="W166" t="str">
            <v>Y</v>
          </cell>
          <cell r="X166">
            <v>1</v>
          </cell>
          <cell r="Y166">
            <v>0</v>
          </cell>
        </row>
        <row r="167">
          <cell r="B167" t="str">
            <v>TDL1005</v>
          </cell>
          <cell r="G167" t="str">
            <v>Installed</v>
          </cell>
          <cell r="W167" t="str">
            <v>Y</v>
          </cell>
          <cell r="X167">
            <v>25</v>
          </cell>
          <cell r="Y167">
            <v>0</v>
          </cell>
        </row>
        <row r="168">
          <cell r="B168" t="str">
            <v>TCE1006</v>
          </cell>
          <cell r="G168" t="str">
            <v>Installed</v>
          </cell>
          <cell r="W168" t="str">
            <v>Y</v>
          </cell>
          <cell r="X168">
            <v>2</v>
          </cell>
          <cell r="Y168">
            <v>0</v>
          </cell>
        </row>
        <row r="169">
          <cell r="B169" t="str">
            <v>TCE1006</v>
          </cell>
          <cell r="G169" t="str">
            <v>Installed</v>
          </cell>
          <cell r="W169" t="str">
            <v>Y</v>
          </cell>
          <cell r="X169">
            <v>2</v>
          </cell>
          <cell r="Y169">
            <v>0</v>
          </cell>
        </row>
        <row r="170">
          <cell r="B170" t="str">
            <v>TCE1006</v>
          </cell>
          <cell r="G170" t="str">
            <v>Installed</v>
          </cell>
          <cell r="W170" t="str">
            <v>Y</v>
          </cell>
          <cell r="X170">
            <v>2</v>
          </cell>
          <cell r="Y170">
            <v>0</v>
          </cell>
        </row>
        <row r="171">
          <cell r="B171" t="str">
            <v>TCE1006</v>
          </cell>
          <cell r="G171" t="str">
            <v>Installed</v>
          </cell>
          <cell r="W171" t="str">
            <v>Y</v>
          </cell>
          <cell r="X171">
            <v>2</v>
          </cell>
          <cell r="Y171">
            <v>0</v>
          </cell>
        </row>
        <row r="172">
          <cell r="B172" t="str">
            <v>TCE1006</v>
          </cell>
          <cell r="G172" t="str">
            <v>Installed</v>
          </cell>
          <cell r="W172" t="str">
            <v>Y</v>
          </cell>
          <cell r="X172">
            <v>1</v>
          </cell>
          <cell r="Y172">
            <v>0</v>
          </cell>
        </row>
        <row r="173">
          <cell r="B173" t="str">
            <v>TCE1006</v>
          </cell>
          <cell r="G173" t="str">
            <v>Removed</v>
          </cell>
          <cell r="W173" t="str">
            <v>Y</v>
          </cell>
          <cell r="X173">
            <v>1</v>
          </cell>
          <cell r="Y173">
            <v>0</v>
          </cell>
        </row>
        <row r="174">
          <cell r="B174" t="str">
            <v>TCE1006</v>
          </cell>
          <cell r="G174" t="str">
            <v>Installed</v>
          </cell>
          <cell r="W174" t="str">
            <v>Y</v>
          </cell>
          <cell r="X174">
            <v>2</v>
          </cell>
          <cell r="Y174">
            <v>0</v>
          </cell>
        </row>
        <row r="175">
          <cell r="B175" t="str">
            <v>TCE1006</v>
          </cell>
          <cell r="G175" t="str">
            <v>Installed</v>
          </cell>
          <cell r="W175" t="str">
            <v>Y</v>
          </cell>
          <cell r="X175">
            <v>1</v>
          </cell>
          <cell r="Y175">
            <v>0</v>
          </cell>
        </row>
        <row r="176">
          <cell r="B176" t="str">
            <v>TCE1006</v>
          </cell>
          <cell r="G176" t="str">
            <v>Installed</v>
          </cell>
          <cell r="W176" t="str">
            <v>Y</v>
          </cell>
          <cell r="X176">
            <v>1</v>
          </cell>
          <cell r="Y176">
            <v>0</v>
          </cell>
        </row>
        <row r="177">
          <cell r="B177" t="str">
            <v>TCE1006</v>
          </cell>
          <cell r="G177" t="str">
            <v>Installed</v>
          </cell>
          <cell r="W177" t="str">
            <v>N</v>
          </cell>
          <cell r="X177">
            <v>1</v>
          </cell>
          <cell r="Y177">
            <v>0</v>
          </cell>
        </row>
        <row r="178">
          <cell r="B178" t="str">
            <v>TCE1006</v>
          </cell>
          <cell r="G178" t="str">
            <v>Installed</v>
          </cell>
          <cell r="W178" t="str">
            <v>Y</v>
          </cell>
          <cell r="X178">
            <v>2</v>
          </cell>
          <cell r="Y178">
            <v>0</v>
          </cell>
        </row>
        <row r="179">
          <cell r="B179" t="str">
            <v>TCE1006</v>
          </cell>
          <cell r="G179" t="str">
            <v>Installed</v>
          </cell>
          <cell r="W179" t="str">
            <v>Y</v>
          </cell>
          <cell r="X179">
            <v>2</v>
          </cell>
          <cell r="Y179">
            <v>0</v>
          </cell>
        </row>
        <row r="180">
          <cell r="B180" t="str">
            <v>TCE1006</v>
          </cell>
          <cell r="G180" t="str">
            <v>Installed</v>
          </cell>
          <cell r="W180" t="str">
            <v>Y</v>
          </cell>
          <cell r="X180">
            <v>1</v>
          </cell>
          <cell r="Y180">
            <v>0</v>
          </cell>
        </row>
        <row r="181">
          <cell r="B181" t="str">
            <v>TCE1006</v>
          </cell>
          <cell r="G181" t="str">
            <v>Installed</v>
          </cell>
          <cell r="W181" t="str">
            <v>Y</v>
          </cell>
          <cell r="X181">
            <v>1</v>
          </cell>
          <cell r="Y181">
            <v>0</v>
          </cell>
        </row>
        <row r="182">
          <cell r="B182" t="str">
            <v>TCE1006</v>
          </cell>
          <cell r="G182" t="str">
            <v>Installed</v>
          </cell>
          <cell r="W182" t="str">
            <v>Y</v>
          </cell>
          <cell r="X182">
            <v>2</v>
          </cell>
          <cell r="Y182">
            <v>0</v>
          </cell>
        </row>
        <row r="183">
          <cell r="B183" t="str">
            <v>TCE1006</v>
          </cell>
          <cell r="G183" t="str">
            <v>Installed</v>
          </cell>
          <cell r="W183" t="str">
            <v>Y</v>
          </cell>
          <cell r="X183">
            <v>1</v>
          </cell>
          <cell r="Y183">
            <v>0</v>
          </cell>
        </row>
        <row r="184">
          <cell r="B184" t="str">
            <v>TCE1006</v>
          </cell>
          <cell r="G184" t="str">
            <v>Installed</v>
          </cell>
          <cell r="W184" t="str">
            <v>N</v>
          </cell>
          <cell r="X184">
            <v>4</v>
          </cell>
          <cell r="Y184">
            <v>0</v>
          </cell>
        </row>
        <row r="185">
          <cell r="B185" t="str">
            <v>TCE1006</v>
          </cell>
          <cell r="G185" t="str">
            <v>Installed</v>
          </cell>
          <cell r="W185" t="str">
            <v>Y</v>
          </cell>
          <cell r="X185">
            <v>1</v>
          </cell>
          <cell r="Y185">
            <v>0</v>
          </cell>
        </row>
        <row r="186">
          <cell r="B186" t="str">
            <v>TCE1006</v>
          </cell>
          <cell r="G186" t="str">
            <v>Installed</v>
          </cell>
          <cell r="W186" t="str">
            <v>Y</v>
          </cell>
          <cell r="X186">
            <v>1</v>
          </cell>
          <cell r="Y186">
            <v>0</v>
          </cell>
        </row>
        <row r="187">
          <cell r="B187" t="str">
            <v>TCE1006</v>
          </cell>
          <cell r="G187" t="str">
            <v>Installed</v>
          </cell>
          <cell r="W187" t="str">
            <v>Y</v>
          </cell>
          <cell r="X187">
            <v>1</v>
          </cell>
          <cell r="Y187">
            <v>0</v>
          </cell>
        </row>
        <row r="188">
          <cell r="B188" t="str">
            <v>TCE1006</v>
          </cell>
          <cell r="G188" t="str">
            <v>Installed</v>
          </cell>
          <cell r="W188" t="str">
            <v>Y</v>
          </cell>
          <cell r="X188">
            <v>5</v>
          </cell>
          <cell r="Y188">
            <v>0</v>
          </cell>
        </row>
        <row r="189">
          <cell r="B189" t="str">
            <v>TCE1006</v>
          </cell>
          <cell r="G189" t="str">
            <v>Installed</v>
          </cell>
          <cell r="W189" t="str">
            <v>Y</v>
          </cell>
          <cell r="X189">
            <v>5</v>
          </cell>
          <cell r="Y189">
            <v>0</v>
          </cell>
        </row>
        <row r="190">
          <cell r="B190" t="str">
            <v>TCE1006</v>
          </cell>
          <cell r="G190" t="str">
            <v>Installed</v>
          </cell>
          <cell r="W190" t="str">
            <v>N</v>
          </cell>
          <cell r="X190">
            <v>1</v>
          </cell>
          <cell r="Y190">
            <v>0</v>
          </cell>
        </row>
        <row r="191">
          <cell r="B191" t="str">
            <v>TCE1006</v>
          </cell>
          <cell r="G191" t="str">
            <v>Installed</v>
          </cell>
          <cell r="W191" t="str">
            <v>N</v>
          </cell>
          <cell r="X191">
            <v>1</v>
          </cell>
          <cell r="Y191">
            <v>0</v>
          </cell>
        </row>
        <row r="192">
          <cell r="B192" t="str">
            <v>TCE1006</v>
          </cell>
          <cell r="G192" t="str">
            <v>Installed</v>
          </cell>
          <cell r="W192" t="str">
            <v>N</v>
          </cell>
          <cell r="X192">
            <v>1</v>
          </cell>
          <cell r="Y192">
            <v>0</v>
          </cell>
        </row>
        <row r="193">
          <cell r="B193" t="str">
            <v>TCE1006</v>
          </cell>
          <cell r="G193" t="str">
            <v>Installed</v>
          </cell>
          <cell r="W193" t="str">
            <v>Y</v>
          </cell>
          <cell r="X193">
            <v>3</v>
          </cell>
          <cell r="Y193">
            <v>0</v>
          </cell>
        </row>
        <row r="194">
          <cell r="B194" t="str">
            <v>TCE1006</v>
          </cell>
          <cell r="G194" t="str">
            <v>Installed</v>
          </cell>
          <cell r="W194" t="str">
            <v>Y</v>
          </cell>
          <cell r="X194">
            <v>1</v>
          </cell>
          <cell r="Y194">
            <v>0</v>
          </cell>
        </row>
        <row r="195">
          <cell r="B195" t="str">
            <v>TCE1006</v>
          </cell>
          <cell r="G195" t="str">
            <v>Installed</v>
          </cell>
          <cell r="W195" t="str">
            <v>Y</v>
          </cell>
          <cell r="X195">
            <v>2</v>
          </cell>
          <cell r="Y195">
            <v>0</v>
          </cell>
        </row>
        <row r="196">
          <cell r="B196" t="str">
            <v>TCE1006</v>
          </cell>
          <cell r="G196" t="str">
            <v>Installed</v>
          </cell>
          <cell r="W196" t="str">
            <v>Y</v>
          </cell>
          <cell r="X196">
            <v>16</v>
          </cell>
          <cell r="Y196">
            <v>0</v>
          </cell>
        </row>
        <row r="197">
          <cell r="B197" t="str">
            <v>TCE1006</v>
          </cell>
          <cell r="G197" t="str">
            <v>Installed</v>
          </cell>
          <cell r="W197" t="str">
            <v>Y</v>
          </cell>
          <cell r="X197">
            <v>1</v>
          </cell>
          <cell r="Y197">
            <v>0</v>
          </cell>
        </row>
        <row r="198">
          <cell r="B198" t="str">
            <v>TCE1006</v>
          </cell>
          <cell r="G198" t="str">
            <v>Removed</v>
          </cell>
          <cell r="W198" t="str">
            <v>Y</v>
          </cell>
          <cell r="X198">
            <v>4</v>
          </cell>
          <cell r="Y198">
            <v>0</v>
          </cell>
        </row>
        <row r="199">
          <cell r="B199" t="str">
            <v>TCE1006</v>
          </cell>
          <cell r="G199" t="str">
            <v>Installed</v>
          </cell>
          <cell r="W199" t="str">
            <v>Y</v>
          </cell>
          <cell r="X199">
            <v>1</v>
          </cell>
          <cell r="Y199">
            <v>0</v>
          </cell>
        </row>
        <row r="200">
          <cell r="B200" t="str">
            <v>TCE1006</v>
          </cell>
          <cell r="G200" t="str">
            <v>Installed</v>
          </cell>
          <cell r="W200" t="str">
            <v>Y</v>
          </cell>
          <cell r="X200">
            <v>35</v>
          </cell>
          <cell r="Y200">
            <v>0</v>
          </cell>
        </row>
        <row r="201">
          <cell r="B201" t="str">
            <v>TCE1006</v>
          </cell>
          <cell r="G201" t="str">
            <v>Removed</v>
          </cell>
          <cell r="W201" t="str">
            <v>Y</v>
          </cell>
          <cell r="X201">
            <v>1</v>
          </cell>
          <cell r="Y201">
            <v>0</v>
          </cell>
        </row>
        <row r="202">
          <cell r="B202" t="str">
            <v>TSO1007</v>
          </cell>
          <cell r="G202" t="str">
            <v>Installed</v>
          </cell>
          <cell r="W202" t="str">
            <v>N</v>
          </cell>
          <cell r="X202">
            <v>3</v>
          </cell>
          <cell r="Y202">
            <v>0</v>
          </cell>
        </row>
        <row r="203">
          <cell r="B203" t="str">
            <v>TSO1007</v>
          </cell>
          <cell r="G203" t="str">
            <v>Installed</v>
          </cell>
          <cell r="W203" t="str">
            <v>N</v>
          </cell>
          <cell r="X203">
            <v>2</v>
          </cell>
          <cell r="Y203">
            <v>0</v>
          </cell>
        </row>
        <row r="204">
          <cell r="B204" t="str">
            <v>TSO1007</v>
          </cell>
          <cell r="G204" t="str">
            <v>Installed</v>
          </cell>
          <cell r="W204" t="str">
            <v>N</v>
          </cell>
          <cell r="X204">
            <v>1</v>
          </cell>
          <cell r="Y204">
            <v>0</v>
          </cell>
        </row>
        <row r="205">
          <cell r="B205" t="str">
            <v>TSO1007</v>
          </cell>
          <cell r="G205" t="str">
            <v>Installed</v>
          </cell>
          <cell r="W205" t="str">
            <v>N</v>
          </cell>
          <cell r="X205">
            <v>1</v>
          </cell>
          <cell r="Y205">
            <v>0</v>
          </cell>
        </row>
        <row r="206">
          <cell r="B206" t="str">
            <v>TSO1007</v>
          </cell>
          <cell r="G206" t="str">
            <v>Removed</v>
          </cell>
          <cell r="W206" t="str">
            <v>Y</v>
          </cell>
          <cell r="X206">
            <v>1</v>
          </cell>
          <cell r="Y206">
            <v>0</v>
          </cell>
        </row>
        <row r="207">
          <cell r="B207" t="str">
            <v>TSO1007</v>
          </cell>
          <cell r="G207" t="str">
            <v>Installed</v>
          </cell>
          <cell r="W207" t="str">
            <v>Y</v>
          </cell>
          <cell r="X207">
            <v>1</v>
          </cell>
          <cell r="Y207">
            <v>0</v>
          </cell>
        </row>
        <row r="208">
          <cell r="B208" t="str">
            <v>TSO1007</v>
          </cell>
          <cell r="G208" t="str">
            <v>Installed</v>
          </cell>
          <cell r="W208" t="str">
            <v>Y</v>
          </cell>
          <cell r="X208">
            <v>1</v>
          </cell>
          <cell r="Y208">
            <v>0</v>
          </cell>
        </row>
        <row r="209">
          <cell r="B209" t="str">
            <v>TSO1007</v>
          </cell>
          <cell r="G209" t="str">
            <v>Removed</v>
          </cell>
          <cell r="W209" t="str">
            <v>Y</v>
          </cell>
          <cell r="X209">
            <v>2</v>
          </cell>
          <cell r="Y209">
            <v>0</v>
          </cell>
        </row>
        <row r="210">
          <cell r="B210" t="str">
            <v>TSO1007</v>
          </cell>
          <cell r="G210" t="str">
            <v>Removed</v>
          </cell>
          <cell r="W210" t="str">
            <v>Y</v>
          </cell>
          <cell r="X210">
            <v>0</v>
          </cell>
          <cell r="Y210">
            <v>0</v>
          </cell>
        </row>
        <row r="211">
          <cell r="B211" t="str">
            <v>TSO1007</v>
          </cell>
          <cell r="G211" t="str">
            <v>Removed</v>
          </cell>
          <cell r="W211" t="str">
            <v>Y</v>
          </cell>
          <cell r="X211">
            <v>0</v>
          </cell>
          <cell r="Y211">
            <v>0</v>
          </cell>
        </row>
        <row r="212">
          <cell r="B212" t="str">
            <v>TSO1007</v>
          </cell>
          <cell r="G212" t="str">
            <v>Removed</v>
          </cell>
          <cell r="W212" t="str">
            <v>Y</v>
          </cell>
          <cell r="X212">
            <v>0</v>
          </cell>
          <cell r="Y212">
            <v>0</v>
          </cell>
        </row>
        <row r="213">
          <cell r="B213" t="str">
            <v>TSO1007</v>
          </cell>
          <cell r="G213" t="str">
            <v>Removed</v>
          </cell>
          <cell r="W213" t="str">
            <v>Y</v>
          </cell>
          <cell r="X213">
            <v>0</v>
          </cell>
          <cell r="Y213">
            <v>0</v>
          </cell>
        </row>
        <row r="214">
          <cell r="B214" t="str">
            <v>TSO1007</v>
          </cell>
          <cell r="G214" t="str">
            <v>Removed</v>
          </cell>
          <cell r="W214" t="str">
            <v>Y</v>
          </cell>
          <cell r="X214">
            <v>0</v>
          </cell>
          <cell r="Y214">
            <v>0</v>
          </cell>
        </row>
        <row r="215">
          <cell r="B215" t="str">
            <v>TSO1007</v>
          </cell>
          <cell r="G215" t="str">
            <v>Removed</v>
          </cell>
          <cell r="W215" t="str">
            <v>Y</v>
          </cell>
          <cell r="X215">
            <v>0</v>
          </cell>
          <cell r="Y215">
            <v>0</v>
          </cell>
        </row>
        <row r="216">
          <cell r="B216" t="str">
            <v>TSO1007</v>
          </cell>
          <cell r="G216" t="str">
            <v>Removed</v>
          </cell>
          <cell r="W216" t="str">
            <v>Y</v>
          </cell>
          <cell r="X216">
            <v>0</v>
          </cell>
          <cell r="Y216">
            <v>0</v>
          </cell>
        </row>
        <row r="217">
          <cell r="B217" t="str">
            <v>TSO1007</v>
          </cell>
          <cell r="G217" t="str">
            <v>Installed</v>
          </cell>
          <cell r="W217" t="str">
            <v>Y</v>
          </cell>
          <cell r="X217">
            <v>2</v>
          </cell>
          <cell r="Y217">
            <v>0</v>
          </cell>
        </row>
        <row r="218">
          <cell r="B218" t="str">
            <v>TSO1007</v>
          </cell>
          <cell r="G218" t="str">
            <v>Removed</v>
          </cell>
          <cell r="W218" t="str">
            <v>Y</v>
          </cell>
          <cell r="X218">
            <v>11</v>
          </cell>
          <cell r="Y218">
            <v>0</v>
          </cell>
        </row>
        <row r="219">
          <cell r="B219" t="str">
            <v>TSO1007</v>
          </cell>
          <cell r="G219" t="str">
            <v>Removed</v>
          </cell>
          <cell r="W219" t="str">
            <v>Y</v>
          </cell>
          <cell r="X219">
            <v>11</v>
          </cell>
          <cell r="Y219">
            <v>0</v>
          </cell>
        </row>
        <row r="220">
          <cell r="B220" t="str">
            <v>TSO1007</v>
          </cell>
          <cell r="G220" t="str">
            <v>Removed</v>
          </cell>
          <cell r="W220" t="str">
            <v>Y</v>
          </cell>
          <cell r="X220">
            <v>2</v>
          </cell>
          <cell r="Y220">
            <v>0</v>
          </cell>
        </row>
        <row r="221">
          <cell r="B221" t="str">
            <v>TSO1007</v>
          </cell>
          <cell r="G221" t="str">
            <v>Removed</v>
          </cell>
          <cell r="W221" t="str">
            <v>Y</v>
          </cell>
          <cell r="X221">
            <v>2</v>
          </cell>
          <cell r="Y221">
            <v>0</v>
          </cell>
        </row>
        <row r="222">
          <cell r="B222" t="str">
            <v>TSO1007</v>
          </cell>
          <cell r="G222" t="str">
            <v>Removed</v>
          </cell>
          <cell r="W222" t="str">
            <v>Y</v>
          </cell>
          <cell r="X222">
            <v>2</v>
          </cell>
          <cell r="Y222">
            <v>0</v>
          </cell>
        </row>
        <row r="223">
          <cell r="B223" t="str">
            <v>TSO1007</v>
          </cell>
          <cell r="G223" t="str">
            <v>Installed</v>
          </cell>
          <cell r="W223" t="str">
            <v>Y</v>
          </cell>
          <cell r="X223">
            <v>2</v>
          </cell>
          <cell r="Y223">
            <v>0</v>
          </cell>
        </row>
        <row r="224">
          <cell r="B224" t="str">
            <v>TSO1007</v>
          </cell>
          <cell r="G224" t="str">
            <v>Installed</v>
          </cell>
          <cell r="W224" t="str">
            <v>Y</v>
          </cell>
          <cell r="X224">
            <v>1</v>
          </cell>
          <cell r="Y224">
            <v>0</v>
          </cell>
        </row>
        <row r="225">
          <cell r="B225" t="str">
            <v>TSO1007</v>
          </cell>
          <cell r="G225" t="str">
            <v>Installed</v>
          </cell>
          <cell r="W225" t="str">
            <v>Y</v>
          </cell>
          <cell r="X225">
            <v>1</v>
          </cell>
          <cell r="Y225">
            <v>0</v>
          </cell>
        </row>
        <row r="226">
          <cell r="B226" t="str">
            <v>TSO1007</v>
          </cell>
          <cell r="G226" t="str">
            <v>Installed</v>
          </cell>
          <cell r="W226" t="str">
            <v>Y</v>
          </cell>
          <cell r="X226">
            <v>1</v>
          </cell>
          <cell r="Y226">
            <v>0</v>
          </cell>
        </row>
        <row r="227">
          <cell r="B227" t="str">
            <v>TSO1007</v>
          </cell>
          <cell r="G227" t="str">
            <v>Installed</v>
          </cell>
          <cell r="W227" t="str">
            <v>N</v>
          </cell>
          <cell r="X227">
            <v>3</v>
          </cell>
          <cell r="Y227">
            <v>0</v>
          </cell>
        </row>
        <row r="228">
          <cell r="B228" t="str">
            <v>TSO1007</v>
          </cell>
          <cell r="G228" t="str">
            <v>Installed</v>
          </cell>
          <cell r="W228" t="str">
            <v>Y</v>
          </cell>
          <cell r="X228">
            <v>2</v>
          </cell>
          <cell r="Y228">
            <v>0</v>
          </cell>
        </row>
        <row r="229">
          <cell r="B229" t="str">
            <v>TSO1007</v>
          </cell>
          <cell r="G229" t="str">
            <v>Installed</v>
          </cell>
          <cell r="W229" t="str">
            <v>Y</v>
          </cell>
          <cell r="X229">
            <v>1</v>
          </cell>
          <cell r="Y229">
            <v>0</v>
          </cell>
        </row>
        <row r="230">
          <cell r="B230" t="str">
            <v>TSO1007</v>
          </cell>
          <cell r="G230" t="str">
            <v>Installed</v>
          </cell>
          <cell r="W230" t="str">
            <v>Y</v>
          </cell>
          <cell r="X230">
            <v>1</v>
          </cell>
          <cell r="Y230">
            <v>0</v>
          </cell>
        </row>
        <row r="231">
          <cell r="B231" t="str">
            <v>TSO1007</v>
          </cell>
          <cell r="G231" t="str">
            <v>Installed</v>
          </cell>
          <cell r="W231" t="str">
            <v>N</v>
          </cell>
          <cell r="X231">
            <v>2</v>
          </cell>
          <cell r="Y231">
            <v>0</v>
          </cell>
        </row>
        <row r="232">
          <cell r="B232" t="str">
            <v>TSO1007</v>
          </cell>
          <cell r="G232" t="str">
            <v>Installed</v>
          </cell>
          <cell r="W232" t="str">
            <v>N</v>
          </cell>
          <cell r="X232">
            <v>6</v>
          </cell>
          <cell r="Y232">
            <v>0</v>
          </cell>
        </row>
        <row r="233">
          <cell r="B233" t="str">
            <v>TSO1007</v>
          </cell>
          <cell r="G233" t="str">
            <v>Installed</v>
          </cell>
          <cell r="W233" t="str">
            <v>Y</v>
          </cell>
          <cell r="X233">
            <v>1</v>
          </cell>
          <cell r="Y233">
            <v>0</v>
          </cell>
        </row>
        <row r="234">
          <cell r="B234" t="str">
            <v>TSO1007</v>
          </cell>
          <cell r="G234" t="str">
            <v>Installed</v>
          </cell>
          <cell r="W234" t="str">
            <v>N</v>
          </cell>
          <cell r="X234">
            <v>1</v>
          </cell>
          <cell r="Y234">
            <v>0</v>
          </cell>
        </row>
        <row r="235">
          <cell r="B235" t="str">
            <v>TSO1007</v>
          </cell>
          <cell r="G235" t="str">
            <v>Installed</v>
          </cell>
          <cell r="W235" t="str">
            <v>Y</v>
          </cell>
          <cell r="X235">
            <v>1</v>
          </cell>
          <cell r="Y235">
            <v>0</v>
          </cell>
        </row>
        <row r="236">
          <cell r="B236" t="str">
            <v>TSO1007</v>
          </cell>
          <cell r="G236" t="str">
            <v>Installed</v>
          </cell>
          <cell r="W236" t="str">
            <v>N</v>
          </cell>
          <cell r="X236">
            <v>1</v>
          </cell>
          <cell r="Y236">
            <v>0</v>
          </cell>
        </row>
        <row r="237">
          <cell r="B237" t="str">
            <v>TSO1007</v>
          </cell>
          <cell r="G237" t="str">
            <v>Installed</v>
          </cell>
          <cell r="W237" t="str">
            <v>Y</v>
          </cell>
          <cell r="X237">
            <v>1</v>
          </cell>
          <cell r="Y237">
            <v>0</v>
          </cell>
        </row>
        <row r="238">
          <cell r="B238" t="str">
            <v>TSO1007</v>
          </cell>
          <cell r="G238" t="str">
            <v>Installed</v>
          </cell>
          <cell r="W238" t="str">
            <v>Y</v>
          </cell>
          <cell r="X238">
            <v>1</v>
          </cell>
          <cell r="Y238">
            <v>0</v>
          </cell>
        </row>
        <row r="239">
          <cell r="B239" t="str">
            <v>TSO1007</v>
          </cell>
          <cell r="G239" t="str">
            <v>Installed</v>
          </cell>
          <cell r="W239" t="str">
            <v>Y</v>
          </cell>
          <cell r="X239">
            <v>1</v>
          </cell>
          <cell r="Y239">
            <v>0</v>
          </cell>
        </row>
        <row r="240">
          <cell r="B240" t="str">
            <v>TSO1007</v>
          </cell>
          <cell r="G240" t="str">
            <v>Installed</v>
          </cell>
          <cell r="W240" t="str">
            <v>Y</v>
          </cell>
          <cell r="X240">
            <v>8</v>
          </cell>
          <cell r="Y240">
            <v>0</v>
          </cell>
        </row>
        <row r="241">
          <cell r="B241" t="str">
            <v>TSO1007</v>
          </cell>
          <cell r="G241" t="str">
            <v>Removed</v>
          </cell>
          <cell r="W241" t="str">
            <v>Y</v>
          </cell>
          <cell r="X241">
            <v>2</v>
          </cell>
          <cell r="Y241">
            <v>0</v>
          </cell>
        </row>
        <row r="242">
          <cell r="B242" t="str">
            <v>TSO1007</v>
          </cell>
          <cell r="G242" t="str">
            <v>Installed</v>
          </cell>
          <cell r="W242" t="str">
            <v>Y</v>
          </cell>
          <cell r="X242">
            <v>1</v>
          </cell>
          <cell r="Y242">
            <v>0</v>
          </cell>
        </row>
        <row r="243">
          <cell r="B243" t="str">
            <v>TSO1007</v>
          </cell>
          <cell r="G243" t="str">
            <v>Installed</v>
          </cell>
          <cell r="W243" t="str">
            <v>N</v>
          </cell>
          <cell r="X243">
            <v>1</v>
          </cell>
          <cell r="Y243">
            <v>0</v>
          </cell>
        </row>
        <row r="244">
          <cell r="B244" t="str">
            <v>TSO1007</v>
          </cell>
          <cell r="G244" t="str">
            <v>Installed</v>
          </cell>
          <cell r="W244" t="str">
            <v>Y</v>
          </cell>
          <cell r="X244">
            <v>1</v>
          </cell>
          <cell r="Y244">
            <v>0</v>
          </cell>
        </row>
        <row r="245">
          <cell r="B245" t="str">
            <v>TSO1007</v>
          </cell>
          <cell r="G245" t="str">
            <v>Installed</v>
          </cell>
          <cell r="W245" t="str">
            <v>Y</v>
          </cell>
          <cell r="X245">
            <v>5</v>
          </cell>
          <cell r="Y245">
            <v>0</v>
          </cell>
        </row>
        <row r="246">
          <cell r="B246" t="str">
            <v>TSO1007</v>
          </cell>
          <cell r="G246" t="str">
            <v>Installed</v>
          </cell>
          <cell r="W246" t="str">
            <v>N</v>
          </cell>
          <cell r="X246">
            <v>1</v>
          </cell>
          <cell r="Y246">
            <v>0</v>
          </cell>
        </row>
        <row r="247">
          <cell r="B247" t="str">
            <v>TKY1008</v>
          </cell>
          <cell r="G247" t="str">
            <v>Installed</v>
          </cell>
          <cell r="W247" t="str">
            <v>Y</v>
          </cell>
          <cell r="X247">
            <v>0</v>
          </cell>
          <cell r="Y247">
            <v>28</v>
          </cell>
        </row>
        <row r="248">
          <cell r="B248" t="str">
            <v>TLS1010</v>
          </cell>
          <cell r="G248" t="str">
            <v>Installed</v>
          </cell>
          <cell r="W248" t="str">
            <v>N</v>
          </cell>
          <cell r="X248">
            <v>8</v>
          </cell>
          <cell r="Y248">
            <v>0</v>
          </cell>
        </row>
        <row r="249">
          <cell r="B249" t="str">
            <v>TLS1010</v>
          </cell>
          <cell r="G249" t="str">
            <v>Removed</v>
          </cell>
          <cell r="W249" t="str">
            <v>Y</v>
          </cell>
          <cell r="X249">
            <v>1</v>
          </cell>
          <cell r="Y249">
            <v>0</v>
          </cell>
        </row>
        <row r="250">
          <cell r="B250" t="str">
            <v>TLS1010</v>
          </cell>
          <cell r="G250" t="str">
            <v>Removed</v>
          </cell>
          <cell r="W250" t="str">
            <v>Y</v>
          </cell>
          <cell r="X250">
            <v>0</v>
          </cell>
          <cell r="Y250">
            <v>0</v>
          </cell>
        </row>
        <row r="251">
          <cell r="B251" t="str">
            <v>TLS1010</v>
          </cell>
          <cell r="G251" t="str">
            <v>Removed</v>
          </cell>
          <cell r="W251" t="str">
            <v>Y</v>
          </cell>
          <cell r="X251">
            <v>1</v>
          </cell>
          <cell r="Y251">
            <v>0</v>
          </cell>
        </row>
        <row r="252">
          <cell r="B252" t="str">
            <v>TLS1010</v>
          </cell>
          <cell r="G252" t="str">
            <v>Installed</v>
          </cell>
          <cell r="W252" t="str">
            <v>Y</v>
          </cell>
          <cell r="X252">
            <v>1</v>
          </cell>
          <cell r="Y252">
            <v>0</v>
          </cell>
        </row>
        <row r="253">
          <cell r="B253" t="str">
            <v>TLS1010</v>
          </cell>
          <cell r="G253" t="str">
            <v>Installed</v>
          </cell>
          <cell r="W253" t="str">
            <v>Y</v>
          </cell>
          <cell r="X253">
            <v>1</v>
          </cell>
          <cell r="Y253">
            <v>0</v>
          </cell>
        </row>
        <row r="254">
          <cell r="B254" t="str">
            <v>TLS1010</v>
          </cell>
          <cell r="G254" t="str">
            <v>Installed</v>
          </cell>
          <cell r="W254" t="str">
            <v>Y</v>
          </cell>
          <cell r="X254">
            <v>2</v>
          </cell>
          <cell r="Y254">
            <v>0</v>
          </cell>
        </row>
        <row r="255">
          <cell r="B255" t="str">
            <v>TLS1010</v>
          </cell>
          <cell r="G255" t="str">
            <v>Removed</v>
          </cell>
          <cell r="W255" t="str">
            <v>Y</v>
          </cell>
          <cell r="X255">
            <v>1</v>
          </cell>
          <cell r="Y255">
            <v>0</v>
          </cell>
        </row>
        <row r="256">
          <cell r="B256" t="str">
            <v>TLS1010</v>
          </cell>
          <cell r="G256" t="str">
            <v>Installed</v>
          </cell>
          <cell r="W256" t="str">
            <v>Y</v>
          </cell>
          <cell r="X256">
            <v>1</v>
          </cell>
          <cell r="Y256">
            <v>0</v>
          </cell>
        </row>
        <row r="257">
          <cell r="B257" t="str">
            <v>TLS1010</v>
          </cell>
          <cell r="G257" t="str">
            <v>Installed</v>
          </cell>
          <cell r="W257" t="str">
            <v>Y</v>
          </cell>
          <cell r="X257">
            <v>1</v>
          </cell>
          <cell r="Y257">
            <v>0</v>
          </cell>
        </row>
        <row r="258">
          <cell r="B258" t="str">
            <v>TLS1010</v>
          </cell>
          <cell r="G258" t="str">
            <v>Installed</v>
          </cell>
          <cell r="W258" t="str">
            <v>Y</v>
          </cell>
          <cell r="X258">
            <v>2</v>
          </cell>
          <cell r="Y258">
            <v>0</v>
          </cell>
        </row>
        <row r="259">
          <cell r="B259" t="str">
            <v>TLS1010</v>
          </cell>
          <cell r="G259" t="str">
            <v>Prop Removal</v>
          </cell>
          <cell r="W259" t="str">
            <v>Y</v>
          </cell>
          <cell r="X259">
            <v>2</v>
          </cell>
          <cell r="Y259">
            <v>0</v>
          </cell>
        </row>
        <row r="260">
          <cell r="B260" t="str">
            <v>TLS1010</v>
          </cell>
          <cell r="G260" t="str">
            <v>Removed</v>
          </cell>
          <cell r="W260" t="str">
            <v>Y</v>
          </cell>
          <cell r="X260">
            <v>1</v>
          </cell>
          <cell r="Y260">
            <v>0</v>
          </cell>
        </row>
        <row r="261">
          <cell r="B261" t="str">
            <v>TLS1010</v>
          </cell>
          <cell r="G261" t="str">
            <v>Removed</v>
          </cell>
          <cell r="W261" t="str">
            <v>Y</v>
          </cell>
          <cell r="X261">
            <v>0</v>
          </cell>
          <cell r="Y261">
            <v>0</v>
          </cell>
        </row>
        <row r="262">
          <cell r="B262" t="str">
            <v>TLS1010</v>
          </cell>
          <cell r="G262" t="str">
            <v>Removed</v>
          </cell>
          <cell r="W262" t="str">
            <v>Y</v>
          </cell>
          <cell r="X262">
            <v>0</v>
          </cell>
          <cell r="Y262">
            <v>0</v>
          </cell>
        </row>
        <row r="263">
          <cell r="B263" t="str">
            <v>TLS1010</v>
          </cell>
          <cell r="G263" t="str">
            <v>Removed</v>
          </cell>
          <cell r="W263" t="str">
            <v>Y</v>
          </cell>
          <cell r="X263">
            <v>0</v>
          </cell>
          <cell r="Y263">
            <v>0</v>
          </cell>
        </row>
        <row r="264">
          <cell r="B264" t="str">
            <v>TLS1010</v>
          </cell>
          <cell r="G264" t="str">
            <v>Removed</v>
          </cell>
          <cell r="W264" t="str">
            <v>Y</v>
          </cell>
          <cell r="X264">
            <v>1</v>
          </cell>
          <cell r="Y264">
            <v>0</v>
          </cell>
        </row>
        <row r="265">
          <cell r="B265" t="str">
            <v>TLS1010</v>
          </cell>
          <cell r="G265" t="str">
            <v>Removed</v>
          </cell>
          <cell r="W265" t="str">
            <v>Y</v>
          </cell>
          <cell r="X265">
            <v>0</v>
          </cell>
          <cell r="Y265">
            <v>0</v>
          </cell>
        </row>
        <row r="266">
          <cell r="B266" t="str">
            <v>TLS1010</v>
          </cell>
          <cell r="G266" t="str">
            <v>Removed</v>
          </cell>
          <cell r="W266" t="str">
            <v>Y</v>
          </cell>
          <cell r="X266">
            <v>0</v>
          </cell>
          <cell r="Y266">
            <v>0</v>
          </cell>
        </row>
        <row r="267">
          <cell r="B267" t="str">
            <v>TLS1010</v>
          </cell>
          <cell r="G267" t="str">
            <v>Installed</v>
          </cell>
          <cell r="W267" t="str">
            <v>Y</v>
          </cell>
          <cell r="X267">
            <v>1</v>
          </cell>
          <cell r="Y267">
            <v>0</v>
          </cell>
        </row>
        <row r="268">
          <cell r="B268" t="str">
            <v>TLS1010</v>
          </cell>
          <cell r="G268" t="str">
            <v>Installed</v>
          </cell>
          <cell r="W268" t="str">
            <v>Y</v>
          </cell>
          <cell r="X268">
            <v>1</v>
          </cell>
          <cell r="Y268">
            <v>0</v>
          </cell>
        </row>
        <row r="269">
          <cell r="B269" t="str">
            <v>TLS1010</v>
          </cell>
          <cell r="G269" t="str">
            <v>Installed</v>
          </cell>
          <cell r="W269" t="str">
            <v>Y</v>
          </cell>
          <cell r="X269">
            <v>2</v>
          </cell>
          <cell r="Y269">
            <v>0</v>
          </cell>
        </row>
        <row r="270">
          <cell r="B270" t="str">
            <v>TLS1010</v>
          </cell>
          <cell r="G270" t="str">
            <v>Installed</v>
          </cell>
          <cell r="W270" t="str">
            <v>Y</v>
          </cell>
          <cell r="X270">
            <v>2</v>
          </cell>
          <cell r="Y270">
            <v>0</v>
          </cell>
        </row>
        <row r="271">
          <cell r="B271" t="str">
            <v>TLS1010</v>
          </cell>
          <cell r="G271" t="str">
            <v>Installed</v>
          </cell>
          <cell r="W271" t="str">
            <v>N</v>
          </cell>
          <cell r="X271">
            <v>8</v>
          </cell>
          <cell r="Y271">
            <v>0</v>
          </cell>
        </row>
        <row r="272">
          <cell r="B272" t="str">
            <v>TLS1010</v>
          </cell>
          <cell r="G272" t="str">
            <v>Removed</v>
          </cell>
          <cell r="W272" t="str">
            <v>Y</v>
          </cell>
          <cell r="X272">
            <v>1</v>
          </cell>
          <cell r="Y272">
            <v>0</v>
          </cell>
        </row>
        <row r="273">
          <cell r="B273" t="str">
            <v>TLS1010</v>
          </cell>
          <cell r="G273" t="str">
            <v>Removed</v>
          </cell>
          <cell r="W273" t="str">
            <v>Y</v>
          </cell>
          <cell r="X273">
            <v>1</v>
          </cell>
          <cell r="Y273">
            <v>0</v>
          </cell>
        </row>
        <row r="274">
          <cell r="B274" t="str">
            <v>TLS1010</v>
          </cell>
          <cell r="G274" t="str">
            <v>Installed</v>
          </cell>
          <cell r="W274" t="str">
            <v>Y</v>
          </cell>
          <cell r="X274">
            <v>1</v>
          </cell>
          <cell r="Y274">
            <v>0</v>
          </cell>
        </row>
        <row r="275">
          <cell r="B275" t="str">
            <v>TLS1010</v>
          </cell>
          <cell r="G275" t="str">
            <v>Installed</v>
          </cell>
          <cell r="W275" t="str">
            <v>Y</v>
          </cell>
          <cell r="X275">
            <v>0</v>
          </cell>
          <cell r="Y275">
            <v>0</v>
          </cell>
        </row>
        <row r="276">
          <cell r="B276" t="str">
            <v>TLS1010</v>
          </cell>
          <cell r="G276" t="str">
            <v>Installed</v>
          </cell>
          <cell r="W276" t="str">
            <v>Y</v>
          </cell>
          <cell r="X276">
            <v>2</v>
          </cell>
          <cell r="Y276">
            <v>0</v>
          </cell>
        </row>
        <row r="277">
          <cell r="B277" t="str">
            <v>TLS1010</v>
          </cell>
          <cell r="G277" t="str">
            <v>Installed</v>
          </cell>
          <cell r="W277" t="str">
            <v>Y</v>
          </cell>
          <cell r="X277">
            <v>6</v>
          </cell>
          <cell r="Y277">
            <v>0</v>
          </cell>
        </row>
        <row r="278">
          <cell r="B278" t="str">
            <v>TLS1010</v>
          </cell>
          <cell r="G278" t="str">
            <v>Installed</v>
          </cell>
          <cell r="W278" t="str">
            <v>Y</v>
          </cell>
          <cell r="X278">
            <v>2</v>
          </cell>
          <cell r="Y278">
            <v>0</v>
          </cell>
        </row>
        <row r="279">
          <cell r="B279" t="str">
            <v>TLS1010</v>
          </cell>
          <cell r="G279" t="str">
            <v>Installed</v>
          </cell>
          <cell r="W279" t="str">
            <v>Y</v>
          </cell>
          <cell r="X279">
            <v>8</v>
          </cell>
          <cell r="Y279">
            <v>0</v>
          </cell>
        </row>
        <row r="280">
          <cell r="B280" t="str">
            <v>TLS1010</v>
          </cell>
          <cell r="G280" t="str">
            <v>Installed</v>
          </cell>
          <cell r="W280" t="str">
            <v>Y</v>
          </cell>
          <cell r="X280">
            <v>2</v>
          </cell>
          <cell r="Y280">
            <v>0</v>
          </cell>
        </row>
        <row r="281">
          <cell r="B281" t="str">
            <v>TLS1010</v>
          </cell>
          <cell r="G281" t="str">
            <v>Installed</v>
          </cell>
          <cell r="W281" t="str">
            <v>Y</v>
          </cell>
          <cell r="X281">
            <v>2</v>
          </cell>
          <cell r="Y281">
            <v>0</v>
          </cell>
        </row>
        <row r="282">
          <cell r="B282" t="str">
            <v>TLS1010</v>
          </cell>
          <cell r="G282" t="str">
            <v>Installed</v>
          </cell>
          <cell r="W282" t="str">
            <v>Y</v>
          </cell>
          <cell r="X282">
            <v>0</v>
          </cell>
          <cell r="Y282">
            <v>3</v>
          </cell>
        </row>
        <row r="283">
          <cell r="B283" t="str">
            <v>TLS1010</v>
          </cell>
          <cell r="G283" t="str">
            <v>Prop Install</v>
          </cell>
          <cell r="W283" t="str">
            <v>Y</v>
          </cell>
          <cell r="X283">
            <v>2</v>
          </cell>
          <cell r="Y283">
            <v>0</v>
          </cell>
        </row>
        <row r="284">
          <cell r="B284" t="str">
            <v>TKE1009</v>
          </cell>
          <cell r="G284" t="str">
            <v>Removed</v>
          </cell>
          <cell r="W284" t="str">
            <v>N</v>
          </cell>
          <cell r="X284">
            <v>10</v>
          </cell>
          <cell r="Y284">
            <v>0</v>
          </cell>
        </row>
        <row r="285">
          <cell r="B285" t="str">
            <v>TKE1009</v>
          </cell>
          <cell r="G285" t="str">
            <v>Removed</v>
          </cell>
          <cell r="W285" t="str">
            <v>Y</v>
          </cell>
          <cell r="X285">
            <v>2</v>
          </cell>
          <cell r="Y285">
            <v>0</v>
          </cell>
        </row>
        <row r="286">
          <cell r="B286" t="str">
            <v>TKE1009</v>
          </cell>
          <cell r="G286" t="str">
            <v>Installed</v>
          </cell>
          <cell r="W286" t="str">
            <v>Y</v>
          </cell>
          <cell r="X286">
            <v>3</v>
          </cell>
          <cell r="Y286">
            <v>0</v>
          </cell>
        </row>
        <row r="287">
          <cell r="B287" t="str">
            <v>TKE1009</v>
          </cell>
          <cell r="G287" t="str">
            <v>Removed</v>
          </cell>
          <cell r="W287" t="str">
            <v>Y</v>
          </cell>
          <cell r="X287">
            <v>1</v>
          </cell>
          <cell r="Y287">
            <v>0</v>
          </cell>
        </row>
        <row r="288">
          <cell r="B288" t="str">
            <v>TKE1009</v>
          </cell>
          <cell r="G288" t="str">
            <v>Removed</v>
          </cell>
          <cell r="W288" t="str">
            <v>Y</v>
          </cell>
          <cell r="X288">
            <v>1</v>
          </cell>
          <cell r="Y288">
            <v>0</v>
          </cell>
        </row>
        <row r="289">
          <cell r="B289" t="str">
            <v>TKE1009</v>
          </cell>
          <cell r="G289" t="str">
            <v>Removed</v>
          </cell>
          <cell r="W289" t="str">
            <v>Y</v>
          </cell>
          <cell r="X289">
            <v>1</v>
          </cell>
          <cell r="Y289">
            <v>0</v>
          </cell>
        </row>
        <row r="290">
          <cell r="B290" t="str">
            <v>TKE1009</v>
          </cell>
          <cell r="G290" t="str">
            <v>Removed</v>
          </cell>
          <cell r="W290" t="str">
            <v>Y</v>
          </cell>
          <cell r="X290">
            <v>1</v>
          </cell>
          <cell r="Y290">
            <v>0</v>
          </cell>
        </row>
        <row r="291">
          <cell r="B291" t="str">
            <v>TKE1009</v>
          </cell>
          <cell r="G291" t="str">
            <v>Removed</v>
          </cell>
          <cell r="W291" t="str">
            <v>Y</v>
          </cell>
          <cell r="X291">
            <v>1</v>
          </cell>
          <cell r="Y291">
            <v>0</v>
          </cell>
        </row>
        <row r="292">
          <cell r="B292" t="str">
            <v>TKE1009</v>
          </cell>
          <cell r="G292" t="str">
            <v>Removed</v>
          </cell>
          <cell r="W292" t="str">
            <v>Y</v>
          </cell>
          <cell r="X292">
            <v>2</v>
          </cell>
          <cell r="Y292">
            <v>0</v>
          </cell>
        </row>
        <row r="293">
          <cell r="B293" t="str">
            <v>TKE1009</v>
          </cell>
          <cell r="G293" t="str">
            <v>Removed</v>
          </cell>
          <cell r="W293" t="str">
            <v>Y</v>
          </cell>
          <cell r="X293">
            <v>2</v>
          </cell>
          <cell r="Y293">
            <v>0</v>
          </cell>
        </row>
        <row r="294">
          <cell r="B294" t="str">
            <v>TKE1009</v>
          </cell>
          <cell r="G294" t="str">
            <v>Removed</v>
          </cell>
          <cell r="W294" t="str">
            <v>Y</v>
          </cell>
          <cell r="X294">
            <v>2</v>
          </cell>
          <cell r="Y294">
            <v>0</v>
          </cell>
        </row>
        <row r="295">
          <cell r="B295" t="str">
            <v>TKE1009</v>
          </cell>
          <cell r="G295" t="str">
            <v>Removed</v>
          </cell>
          <cell r="W295" t="str">
            <v>Y</v>
          </cell>
          <cell r="X295">
            <v>1</v>
          </cell>
          <cell r="Y295">
            <v>0</v>
          </cell>
        </row>
        <row r="296">
          <cell r="B296" t="str">
            <v>TKE1009</v>
          </cell>
          <cell r="G296" t="str">
            <v>Removed</v>
          </cell>
          <cell r="W296" t="str">
            <v>Y</v>
          </cell>
          <cell r="X296">
            <v>1</v>
          </cell>
          <cell r="Y296">
            <v>0</v>
          </cell>
        </row>
        <row r="297">
          <cell r="B297" t="str">
            <v>TKE1009</v>
          </cell>
          <cell r="G297" t="str">
            <v>Removed</v>
          </cell>
          <cell r="W297" t="str">
            <v>Y</v>
          </cell>
          <cell r="X297">
            <v>1</v>
          </cell>
          <cell r="Y297">
            <v>0</v>
          </cell>
        </row>
        <row r="298">
          <cell r="B298" t="str">
            <v>TKE1009</v>
          </cell>
          <cell r="G298" t="str">
            <v>Removed</v>
          </cell>
          <cell r="W298" t="str">
            <v>Y</v>
          </cell>
          <cell r="X298">
            <v>1</v>
          </cell>
          <cell r="Y298">
            <v>0</v>
          </cell>
        </row>
        <row r="299">
          <cell r="B299" t="str">
            <v>TKE1009</v>
          </cell>
          <cell r="G299" t="str">
            <v>Removed</v>
          </cell>
          <cell r="W299" t="str">
            <v>Y</v>
          </cell>
          <cell r="X299">
            <v>1</v>
          </cell>
          <cell r="Y299">
            <v>0</v>
          </cell>
        </row>
        <row r="300">
          <cell r="B300" t="str">
            <v>TKE1009</v>
          </cell>
          <cell r="G300" t="str">
            <v>Installed</v>
          </cell>
          <cell r="W300" t="str">
            <v>N</v>
          </cell>
          <cell r="X300">
            <v>2</v>
          </cell>
          <cell r="Y300">
            <v>0</v>
          </cell>
        </row>
        <row r="301">
          <cell r="B301" t="str">
            <v>TKE1009</v>
          </cell>
          <cell r="G301" t="str">
            <v>Installed</v>
          </cell>
          <cell r="W301" t="str">
            <v>Y</v>
          </cell>
          <cell r="X301">
            <v>3</v>
          </cell>
          <cell r="Y301">
            <v>0</v>
          </cell>
        </row>
        <row r="302">
          <cell r="B302" t="str">
            <v>TKE1009</v>
          </cell>
          <cell r="G302" t="str">
            <v>Removed</v>
          </cell>
          <cell r="W302" t="str">
            <v>Y</v>
          </cell>
          <cell r="X302">
            <v>2</v>
          </cell>
          <cell r="Y302">
            <v>0</v>
          </cell>
        </row>
        <row r="303">
          <cell r="B303" t="str">
            <v>TKE1009</v>
          </cell>
          <cell r="G303" t="str">
            <v>Removed</v>
          </cell>
          <cell r="W303" t="str">
            <v>Y</v>
          </cell>
          <cell r="X303">
            <v>1</v>
          </cell>
          <cell r="Y303">
            <v>0</v>
          </cell>
        </row>
        <row r="304">
          <cell r="B304" t="str">
            <v>TKE1009</v>
          </cell>
          <cell r="G304" t="str">
            <v>Installed</v>
          </cell>
          <cell r="W304" t="str">
            <v>N</v>
          </cell>
          <cell r="X304">
            <v>2</v>
          </cell>
          <cell r="Y304">
            <v>0</v>
          </cell>
        </row>
        <row r="305">
          <cell r="B305" t="str">
            <v>TKE1009</v>
          </cell>
          <cell r="G305" t="str">
            <v>Removed</v>
          </cell>
          <cell r="W305" t="str">
            <v>Y</v>
          </cell>
          <cell r="X305">
            <v>2</v>
          </cell>
          <cell r="Y305">
            <v>0</v>
          </cell>
        </row>
        <row r="306">
          <cell r="B306" t="str">
            <v>TKE1009</v>
          </cell>
          <cell r="G306" t="str">
            <v>Installed</v>
          </cell>
          <cell r="W306" t="str">
            <v>Y</v>
          </cell>
          <cell r="X306">
            <v>2</v>
          </cell>
          <cell r="Y306">
            <v>0</v>
          </cell>
        </row>
        <row r="307">
          <cell r="B307" t="str">
            <v>TKE1009</v>
          </cell>
          <cell r="G307" t="str">
            <v>Installed</v>
          </cell>
          <cell r="W307" t="str">
            <v>N</v>
          </cell>
          <cell r="X307">
            <v>2</v>
          </cell>
          <cell r="Y307">
            <v>0</v>
          </cell>
        </row>
        <row r="308">
          <cell r="B308" t="str">
            <v>TKE1009</v>
          </cell>
          <cell r="G308" t="str">
            <v>Installed</v>
          </cell>
          <cell r="W308" t="str">
            <v>Y</v>
          </cell>
          <cell r="X308">
            <v>2</v>
          </cell>
          <cell r="Y308">
            <v>0</v>
          </cell>
        </row>
        <row r="309">
          <cell r="B309" t="str">
            <v>TKE1009</v>
          </cell>
          <cell r="G309" t="str">
            <v>Installed</v>
          </cell>
          <cell r="W309" t="str">
            <v>Y</v>
          </cell>
          <cell r="X309">
            <v>1</v>
          </cell>
          <cell r="Y309">
            <v>0</v>
          </cell>
        </row>
        <row r="310">
          <cell r="B310" t="str">
            <v>TKE1009</v>
          </cell>
          <cell r="G310" t="str">
            <v>Removed</v>
          </cell>
          <cell r="W310" t="str">
            <v>Y</v>
          </cell>
          <cell r="X310">
            <v>1</v>
          </cell>
          <cell r="Y310">
            <v>0</v>
          </cell>
        </row>
        <row r="311">
          <cell r="B311" t="str">
            <v>TKE1009</v>
          </cell>
          <cell r="G311" t="str">
            <v>Removed</v>
          </cell>
          <cell r="W311" t="str">
            <v>Y</v>
          </cell>
          <cell r="X311">
            <v>1</v>
          </cell>
          <cell r="Y311">
            <v>0</v>
          </cell>
        </row>
        <row r="312">
          <cell r="B312" t="str">
            <v>TKE1009</v>
          </cell>
          <cell r="G312" t="str">
            <v>Installed</v>
          </cell>
          <cell r="W312" t="str">
            <v>N</v>
          </cell>
          <cell r="X312">
            <v>6</v>
          </cell>
          <cell r="Y312">
            <v>0</v>
          </cell>
        </row>
        <row r="313">
          <cell r="B313" t="str">
            <v>TKE1009</v>
          </cell>
          <cell r="G313" t="str">
            <v>Removed</v>
          </cell>
          <cell r="W313" t="str">
            <v>Y</v>
          </cell>
          <cell r="X313">
            <v>1</v>
          </cell>
          <cell r="Y313">
            <v>0</v>
          </cell>
        </row>
        <row r="314">
          <cell r="B314" t="str">
            <v>TKE1009</v>
          </cell>
          <cell r="G314" t="str">
            <v>Removed</v>
          </cell>
          <cell r="W314" t="str">
            <v>Y</v>
          </cell>
          <cell r="X314">
            <v>1</v>
          </cell>
          <cell r="Y314">
            <v>0</v>
          </cell>
        </row>
        <row r="315">
          <cell r="B315" t="str">
            <v>TKE1009</v>
          </cell>
          <cell r="G315" t="str">
            <v>Removed</v>
          </cell>
          <cell r="W315" t="str">
            <v>Y</v>
          </cell>
          <cell r="X315">
            <v>1</v>
          </cell>
          <cell r="Y315">
            <v>0</v>
          </cell>
        </row>
        <row r="316">
          <cell r="B316" t="str">
            <v>TKE1009</v>
          </cell>
          <cell r="G316" t="str">
            <v>Removed</v>
          </cell>
          <cell r="W316" t="str">
            <v>Y</v>
          </cell>
          <cell r="X316">
            <v>1</v>
          </cell>
          <cell r="Y316">
            <v>0</v>
          </cell>
        </row>
        <row r="317">
          <cell r="B317" t="str">
            <v>TKE1009</v>
          </cell>
          <cell r="G317" t="str">
            <v>Removed</v>
          </cell>
          <cell r="W317" t="str">
            <v>Y</v>
          </cell>
          <cell r="X317">
            <v>1</v>
          </cell>
          <cell r="Y317">
            <v>0</v>
          </cell>
        </row>
        <row r="318">
          <cell r="B318" t="str">
            <v>TKE1009</v>
          </cell>
          <cell r="G318" t="str">
            <v>Removed</v>
          </cell>
          <cell r="W318" t="str">
            <v>Y</v>
          </cell>
          <cell r="X318">
            <v>4</v>
          </cell>
          <cell r="Y318">
            <v>0</v>
          </cell>
        </row>
        <row r="319">
          <cell r="B319" t="str">
            <v>TKE1009</v>
          </cell>
          <cell r="G319" t="str">
            <v>Removed</v>
          </cell>
          <cell r="W319" t="str">
            <v>Y</v>
          </cell>
          <cell r="X319">
            <v>4</v>
          </cell>
          <cell r="Y319">
            <v>0</v>
          </cell>
        </row>
        <row r="320">
          <cell r="B320" t="str">
            <v>TKE1009</v>
          </cell>
          <cell r="G320" t="str">
            <v>Installed</v>
          </cell>
          <cell r="W320" t="str">
            <v>Y</v>
          </cell>
          <cell r="X320">
            <v>14</v>
          </cell>
          <cell r="Y320">
            <v>0</v>
          </cell>
        </row>
        <row r="321">
          <cell r="B321" t="str">
            <v>TKE1009</v>
          </cell>
          <cell r="G321" t="str">
            <v>Installed</v>
          </cell>
          <cell r="W321" t="str">
            <v>Y</v>
          </cell>
          <cell r="X321">
            <v>2</v>
          </cell>
          <cell r="Y321">
            <v>0</v>
          </cell>
        </row>
        <row r="322">
          <cell r="B322" t="str">
            <v>TKE1009</v>
          </cell>
          <cell r="G322" t="str">
            <v>Installed</v>
          </cell>
          <cell r="W322" t="str">
            <v>Y</v>
          </cell>
          <cell r="X322">
            <v>4</v>
          </cell>
          <cell r="Y322">
            <v>0</v>
          </cell>
        </row>
        <row r="323">
          <cell r="B323" t="str">
            <v>TKE1009</v>
          </cell>
          <cell r="G323" t="str">
            <v>Installed</v>
          </cell>
          <cell r="W323" t="str">
            <v>Y</v>
          </cell>
          <cell r="X323">
            <v>4</v>
          </cell>
          <cell r="Y323">
            <v>0</v>
          </cell>
        </row>
        <row r="324">
          <cell r="B324" t="str">
            <v>TKE1009</v>
          </cell>
          <cell r="G324" t="str">
            <v>Installed</v>
          </cell>
          <cell r="W324" t="str">
            <v>N</v>
          </cell>
          <cell r="X324">
            <v>6</v>
          </cell>
          <cell r="Y324">
            <v>0</v>
          </cell>
        </row>
        <row r="325">
          <cell r="B325" t="str">
            <v>TKE1009</v>
          </cell>
          <cell r="G325" t="str">
            <v>Installed</v>
          </cell>
          <cell r="W325" t="str">
            <v>Y</v>
          </cell>
          <cell r="X325">
            <v>12</v>
          </cell>
          <cell r="Y325">
            <v>0</v>
          </cell>
        </row>
        <row r="326">
          <cell r="B326" t="str">
            <v>TKY1011</v>
          </cell>
          <cell r="G326" t="str">
            <v>Installed</v>
          </cell>
          <cell r="W326" t="str">
            <v>Y</v>
          </cell>
          <cell r="X326">
            <v>1</v>
          </cell>
          <cell r="Y326">
            <v>0</v>
          </cell>
        </row>
        <row r="327">
          <cell r="B327" t="str">
            <v>TKY1011</v>
          </cell>
          <cell r="G327" t="str">
            <v>Removed</v>
          </cell>
          <cell r="W327" t="str">
            <v>Y</v>
          </cell>
          <cell r="X327">
            <v>2</v>
          </cell>
          <cell r="Y327">
            <v>0</v>
          </cell>
        </row>
        <row r="328">
          <cell r="B328" t="str">
            <v>TKY1011</v>
          </cell>
          <cell r="G328" t="str">
            <v>Installed</v>
          </cell>
          <cell r="W328" t="str">
            <v>Y</v>
          </cell>
          <cell r="X328">
            <v>1</v>
          </cell>
          <cell r="Y328">
            <v>0</v>
          </cell>
        </row>
        <row r="329">
          <cell r="B329" t="str">
            <v>TKY1011</v>
          </cell>
          <cell r="G329" t="str">
            <v>Installed</v>
          </cell>
          <cell r="W329" t="str">
            <v>Y</v>
          </cell>
          <cell r="X329">
            <v>0</v>
          </cell>
          <cell r="Y329">
            <v>0</v>
          </cell>
        </row>
        <row r="330">
          <cell r="B330" t="str">
            <v>TKY1011</v>
          </cell>
          <cell r="G330" t="str">
            <v>Removed</v>
          </cell>
          <cell r="W330" t="str">
            <v>Y</v>
          </cell>
          <cell r="X330">
            <v>1</v>
          </cell>
          <cell r="Y330">
            <v>0</v>
          </cell>
        </row>
        <row r="331">
          <cell r="B331" t="str">
            <v>TKY1011</v>
          </cell>
          <cell r="G331" t="str">
            <v>Installed</v>
          </cell>
          <cell r="W331" t="str">
            <v>Y</v>
          </cell>
          <cell r="X331">
            <v>1</v>
          </cell>
          <cell r="Y331">
            <v>0</v>
          </cell>
        </row>
        <row r="332">
          <cell r="B332" t="str">
            <v>TKY1011</v>
          </cell>
          <cell r="G332" t="str">
            <v>Installed</v>
          </cell>
          <cell r="W332" t="str">
            <v>Y</v>
          </cell>
          <cell r="X332">
            <v>1</v>
          </cell>
          <cell r="Y332">
            <v>0</v>
          </cell>
        </row>
        <row r="333">
          <cell r="B333" t="str">
            <v>TKY1011</v>
          </cell>
          <cell r="G333" t="str">
            <v>Installed</v>
          </cell>
          <cell r="W333" t="str">
            <v>Y</v>
          </cell>
          <cell r="X333">
            <v>1</v>
          </cell>
          <cell r="Y333">
            <v>0</v>
          </cell>
        </row>
        <row r="334">
          <cell r="B334" t="str">
            <v>TKY1011</v>
          </cell>
          <cell r="G334" t="str">
            <v>Installed</v>
          </cell>
          <cell r="W334" t="str">
            <v>Y</v>
          </cell>
          <cell r="X334">
            <v>1</v>
          </cell>
          <cell r="Y334">
            <v>0</v>
          </cell>
        </row>
        <row r="335">
          <cell r="B335" t="str">
            <v>TKY1011</v>
          </cell>
          <cell r="G335" t="str">
            <v>Installed</v>
          </cell>
          <cell r="W335" t="str">
            <v>Y</v>
          </cell>
          <cell r="X335">
            <v>1</v>
          </cell>
          <cell r="Y335">
            <v>0</v>
          </cell>
        </row>
        <row r="336">
          <cell r="B336" t="str">
            <v>TKY1011</v>
          </cell>
          <cell r="G336" t="str">
            <v>Installed</v>
          </cell>
          <cell r="W336" t="str">
            <v>Y</v>
          </cell>
          <cell r="X336">
            <v>1</v>
          </cell>
          <cell r="Y336">
            <v>0</v>
          </cell>
        </row>
        <row r="337">
          <cell r="B337" t="str">
            <v>TKY1011</v>
          </cell>
          <cell r="G337" t="str">
            <v>Installed</v>
          </cell>
          <cell r="W337" t="str">
            <v>Y</v>
          </cell>
          <cell r="X337">
            <v>1</v>
          </cell>
          <cell r="Y337">
            <v>0</v>
          </cell>
        </row>
        <row r="338">
          <cell r="B338" t="str">
            <v>TKY1011</v>
          </cell>
          <cell r="G338" t="str">
            <v>Installed</v>
          </cell>
          <cell r="W338" t="str">
            <v>Y</v>
          </cell>
          <cell r="X338">
            <v>1</v>
          </cell>
          <cell r="Y338">
            <v>0</v>
          </cell>
        </row>
        <row r="339">
          <cell r="B339" t="str">
            <v>TKY1011</v>
          </cell>
          <cell r="G339" t="str">
            <v>Installed</v>
          </cell>
          <cell r="W339" t="str">
            <v>Y</v>
          </cell>
          <cell r="X339">
            <v>1</v>
          </cell>
          <cell r="Y339">
            <v>0</v>
          </cell>
        </row>
        <row r="340">
          <cell r="B340" t="str">
            <v>TKY1011</v>
          </cell>
          <cell r="G340" t="str">
            <v>Installed</v>
          </cell>
          <cell r="W340" t="str">
            <v>Y</v>
          </cell>
          <cell r="X340">
            <v>1</v>
          </cell>
          <cell r="Y340">
            <v>0</v>
          </cell>
        </row>
        <row r="341">
          <cell r="B341" t="str">
            <v>TKY1011</v>
          </cell>
          <cell r="G341" t="str">
            <v>Installed</v>
          </cell>
          <cell r="W341" t="str">
            <v>Y</v>
          </cell>
          <cell r="X341">
            <v>4</v>
          </cell>
          <cell r="Y341">
            <v>0</v>
          </cell>
        </row>
        <row r="342">
          <cell r="B342" t="str">
            <v>TKY1011</v>
          </cell>
          <cell r="G342" t="str">
            <v>Installed</v>
          </cell>
          <cell r="W342" t="str">
            <v>Y</v>
          </cell>
          <cell r="X342">
            <v>4</v>
          </cell>
          <cell r="Y342">
            <v>0</v>
          </cell>
        </row>
        <row r="343">
          <cell r="B343" t="str">
            <v>TKY1011</v>
          </cell>
          <cell r="G343" t="str">
            <v>Installed</v>
          </cell>
          <cell r="W343" t="str">
            <v>N</v>
          </cell>
          <cell r="X343">
            <v>1</v>
          </cell>
          <cell r="Y343">
            <v>0</v>
          </cell>
        </row>
        <row r="344">
          <cell r="B344" t="str">
            <v>TKY1011</v>
          </cell>
          <cell r="G344" t="str">
            <v>Installed</v>
          </cell>
          <cell r="W344" t="str">
            <v>Y</v>
          </cell>
          <cell r="X344">
            <v>1</v>
          </cell>
          <cell r="Y344">
            <v>0</v>
          </cell>
        </row>
        <row r="345">
          <cell r="B345" t="str">
            <v>TKY1011</v>
          </cell>
          <cell r="G345" t="str">
            <v>Installed</v>
          </cell>
          <cell r="W345" t="str">
            <v>N</v>
          </cell>
          <cell r="X345">
            <v>1</v>
          </cell>
          <cell r="Y345">
            <v>0</v>
          </cell>
        </row>
        <row r="346">
          <cell r="B346" t="str">
            <v>TKY1011</v>
          </cell>
          <cell r="G346" t="str">
            <v>Installed</v>
          </cell>
          <cell r="W346" t="str">
            <v>Y</v>
          </cell>
          <cell r="X346">
            <v>2</v>
          </cell>
          <cell r="Y346">
            <v>0</v>
          </cell>
        </row>
        <row r="347">
          <cell r="B347" t="str">
            <v>TKY1011</v>
          </cell>
          <cell r="G347" t="str">
            <v>Installed</v>
          </cell>
          <cell r="W347" t="str">
            <v>Y</v>
          </cell>
          <cell r="X347">
            <v>2</v>
          </cell>
          <cell r="Y347">
            <v>0</v>
          </cell>
        </row>
        <row r="348">
          <cell r="B348" t="str">
            <v>TKY1011</v>
          </cell>
          <cell r="G348" t="str">
            <v>Installed</v>
          </cell>
          <cell r="W348" t="str">
            <v>Y</v>
          </cell>
          <cell r="X348">
            <v>2</v>
          </cell>
          <cell r="Y348">
            <v>0</v>
          </cell>
        </row>
        <row r="349">
          <cell r="B349" t="str">
            <v>TKY1011</v>
          </cell>
          <cell r="G349" t="str">
            <v>Installed</v>
          </cell>
          <cell r="W349" t="str">
            <v>Y</v>
          </cell>
          <cell r="X349">
            <v>16</v>
          </cell>
          <cell r="Y349">
            <v>0</v>
          </cell>
        </row>
        <row r="350">
          <cell r="B350" t="str">
            <v>TKY1011</v>
          </cell>
          <cell r="G350" t="str">
            <v>Installed</v>
          </cell>
          <cell r="W350" t="str">
            <v>Y</v>
          </cell>
          <cell r="X350">
            <v>3</v>
          </cell>
          <cell r="Y350">
            <v>0</v>
          </cell>
        </row>
        <row r="351">
          <cell r="B351" t="str">
            <v>TKY1011</v>
          </cell>
          <cell r="G351" t="str">
            <v>Installed</v>
          </cell>
          <cell r="W351" t="str">
            <v>Y</v>
          </cell>
          <cell r="X351">
            <v>1</v>
          </cell>
          <cell r="Y351">
            <v>0</v>
          </cell>
        </row>
        <row r="352">
          <cell r="B352" t="str">
            <v>TKY1011</v>
          </cell>
          <cell r="G352" t="str">
            <v>Installed</v>
          </cell>
          <cell r="W352" t="str">
            <v>Y</v>
          </cell>
          <cell r="X352">
            <v>2</v>
          </cell>
          <cell r="Y352">
            <v>0</v>
          </cell>
        </row>
        <row r="353">
          <cell r="B353" t="str">
            <v>TKY1011</v>
          </cell>
          <cell r="G353" t="str">
            <v>Installed</v>
          </cell>
          <cell r="W353" t="str">
            <v>Y</v>
          </cell>
          <cell r="X353">
            <v>1</v>
          </cell>
          <cell r="Y353">
            <v>0</v>
          </cell>
        </row>
        <row r="354">
          <cell r="B354" t="str">
            <v>TKY1011</v>
          </cell>
          <cell r="G354" t="str">
            <v>Installed</v>
          </cell>
          <cell r="W354" t="str">
            <v>Y</v>
          </cell>
          <cell r="X354">
            <v>1</v>
          </cell>
          <cell r="Y354">
            <v>0</v>
          </cell>
        </row>
        <row r="355">
          <cell r="B355" t="str">
            <v>TKY1011</v>
          </cell>
          <cell r="G355" t="str">
            <v>Installed</v>
          </cell>
          <cell r="W355" t="str">
            <v>Y</v>
          </cell>
          <cell r="X355">
            <v>24</v>
          </cell>
          <cell r="Y355">
            <v>0</v>
          </cell>
        </row>
        <row r="356">
          <cell r="B356" t="str">
            <v>TGY1046</v>
          </cell>
          <cell r="G356" t="str">
            <v>Installed</v>
          </cell>
          <cell r="W356" t="str">
            <v>N</v>
          </cell>
          <cell r="X356">
            <v>4</v>
          </cell>
          <cell r="Y356">
            <v>0</v>
          </cell>
        </row>
        <row r="357">
          <cell r="B357" t="str">
            <v>TGY1046</v>
          </cell>
          <cell r="G357" t="str">
            <v>Installed</v>
          </cell>
          <cell r="W357" t="str">
            <v>Y</v>
          </cell>
          <cell r="X357">
            <v>1</v>
          </cell>
          <cell r="Y357">
            <v>0</v>
          </cell>
        </row>
        <row r="358">
          <cell r="B358" t="str">
            <v>TGY1046</v>
          </cell>
          <cell r="G358" t="str">
            <v>Installed</v>
          </cell>
          <cell r="W358" t="str">
            <v>N</v>
          </cell>
          <cell r="X358">
            <v>2</v>
          </cell>
          <cell r="Y358">
            <v>0</v>
          </cell>
        </row>
        <row r="359">
          <cell r="B359" t="str">
            <v>TGY1046</v>
          </cell>
          <cell r="G359" t="str">
            <v>Installed</v>
          </cell>
          <cell r="W359" t="str">
            <v>Y</v>
          </cell>
          <cell r="X359">
            <v>1</v>
          </cell>
          <cell r="Y359">
            <v>0</v>
          </cell>
        </row>
        <row r="360">
          <cell r="B360" t="str">
            <v>TGY1046</v>
          </cell>
          <cell r="G360" t="str">
            <v>Installed</v>
          </cell>
          <cell r="W360" t="str">
            <v>Y</v>
          </cell>
          <cell r="X360">
            <v>2</v>
          </cell>
          <cell r="Y360">
            <v>0</v>
          </cell>
        </row>
        <row r="361">
          <cell r="B361" t="str">
            <v>TGY1046</v>
          </cell>
          <cell r="G361" t="str">
            <v>Removed</v>
          </cell>
          <cell r="W361" t="str">
            <v>Y</v>
          </cell>
          <cell r="X361">
            <v>1</v>
          </cell>
          <cell r="Y361">
            <v>0</v>
          </cell>
        </row>
        <row r="362">
          <cell r="B362" t="str">
            <v>TGY1046</v>
          </cell>
          <cell r="G362" t="str">
            <v>Removed</v>
          </cell>
          <cell r="W362" t="str">
            <v>Y</v>
          </cell>
          <cell r="X362">
            <v>0</v>
          </cell>
          <cell r="Y362">
            <v>0</v>
          </cell>
        </row>
        <row r="363">
          <cell r="B363" t="str">
            <v>TGY1046</v>
          </cell>
          <cell r="G363" t="str">
            <v>Removed</v>
          </cell>
          <cell r="W363" t="str">
            <v>Y</v>
          </cell>
          <cell r="X363">
            <v>0</v>
          </cell>
          <cell r="Y363">
            <v>0</v>
          </cell>
        </row>
        <row r="364">
          <cell r="B364" t="str">
            <v>TGY1046</v>
          </cell>
          <cell r="G364" t="str">
            <v>Removed</v>
          </cell>
          <cell r="W364" t="str">
            <v>Y</v>
          </cell>
          <cell r="X364">
            <v>0</v>
          </cell>
          <cell r="Y364">
            <v>0</v>
          </cell>
        </row>
        <row r="365">
          <cell r="B365" t="str">
            <v>TGY1046</v>
          </cell>
          <cell r="G365" t="str">
            <v>Removed</v>
          </cell>
          <cell r="W365" t="str">
            <v>Y</v>
          </cell>
          <cell r="X365">
            <v>1</v>
          </cell>
          <cell r="Y365">
            <v>0</v>
          </cell>
        </row>
        <row r="366">
          <cell r="B366" t="str">
            <v>TGY1046</v>
          </cell>
          <cell r="G366" t="str">
            <v>Removed</v>
          </cell>
          <cell r="W366" t="str">
            <v>Y</v>
          </cell>
          <cell r="X366">
            <v>0</v>
          </cell>
          <cell r="Y366">
            <v>0</v>
          </cell>
        </row>
        <row r="367">
          <cell r="B367" t="str">
            <v>TGY1046</v>
          </cell>
          <cell r="G367" t="str">
            <v>Removed</v>
          </cell>
          <cell r="W367" t="str">
            <v>Y</v>
          </cell>
          <cell r="X367">
            <v>0</v>
          </cell>
          <cell r="Y367">
            <v>0</v>
          </cell>
        </row>
        <row r="368">
          <cell r="B368" t="str">
            <v>TGY1046</v>
          </cell>
          <cell r="G368" t="str">
            <v>Removed</v>
          </cell>
          <cell r="W368" t="str">
            <v>Y</v>
          </cell>
          <cell r="X368">
            <v>0</v>
          </cell>
          <cell r="Y368">
            <v>0</v>
          </cell>
        </row>
        <row r="369">
          <cell r="B369" t="str">
            <v>TGY1046</v>
          </cell>
          <cell r="G369" t="str">
            <v>Removed</v>
          </cell>
          <cell r="W369" t="str">
            <v>Y</v>
          </cell>
          <cell r="X369">
            <v>0</v>
          </cell>
          <cell r="Y369">
            <v>0</v>
          </cell>
        </row>
        <row r="370">
          <cell r="B370" t="str">
            <v>TGY1046</v>
          </cell>
          <cell r="G370" t="str">
            <v>Removed</v>
          </cell>
          <cell r="W370" t="str">
            <v>Y</v>
          </cell>
          <cell r="X370">
            <v>0</v>
          </cell>
          <cell r="Y370">
            <v>0</v>
          </cell>
        </row>
        <row r="371">
          <cell r="B371" t="str">
            <v>TGY1046</v>
          </cell>
          <cell r="G371" t="str">
            <v>Installed</v>
          </cell>
          <cell r="W371" t="str">
            <v>Y</v>
          </cell>
          <cell r="X371">
            <v>2</v>
          </cell>
          <cell r="Y371">
            <v>0</v>
          </cell>
        </row>
        <row r="372">
          <cell r="B372" t="str">
            <v>TGY1046</v>
          </cell>
          <cell r="G372" t="str">
            <v>Removed</v>
          </cell>
          <cell r="W372" t="str">
            <v>Y</v>
          </cell>
          <cell r="X372">
            <v>1</v>
          </cell>
          <cell r="Y372">
            <v>0</v>
          </cell>
        </row>
        <row r="373">
          <cell r="B373" t="str">
            <v>TGY1046</v>
          </cell>
          <cell r="G373" t="str">
            <v>Installed</v>
          </cell>
          <cell r="W373" t="str">
            <v>N</v>
          </cell>
          <cell r="X373">
            <v>2</v>
          </cell>
          <cell r="Y373">
            <v>0</v>
          </cell>
        </row>
        <row r="374">
          <cell r="B374" t="str">
            <v>TGY1046</v>
          </cell>
          <cell r="G374" t="str">
            <v>Removed</v>
          </cell>
          <cell r="W374" t="str">
            <v>Y</v>
          </cell>
          <cell r="X374">
            <v>2</v>
          </cell>
          <cell r="Y374">
            <v>0</v>
          </cell>
        </row>
        <row r="375">
          <cell r="B375" t="str">
            <v>TGY1046</v>
          </cell>
          <cell r="G375" t="str">
            <v>Removed</v>
          </cell>
          <cell r="W375" t="str">
            <v>Y</v>
          </cell>
          <cell r="X375">
            <v>1</v>
          </cell>
          <cell r="Y375">
            <v>0</v>
          </cell>
        </row>
        <row r="376">
          <cell r="B376" t="str">
            <v>TGY1046</v>
          </cell>
          <cell r="G376" t="str">
            <v>Removed</v>
          </cell>
          <cell r="W376" t="str">
            <v>Y</v>
          </cell>
          <cell r="X376">
            <v>1</v>
          </cell>
          <cell r="Y376">
            <v>0</v>
          </cell>
        </row>
        <row r="377">
          <cell r="B377" t="str">
            <v>TGY1046</v>
          </cell>
          <cell r="G377" t="str">
            <v>Installed</v>
          </cell>
          <cell r="W377" t="str">
            <v>Y</v>
          </cell>
          <cell r="X377">
            <v>1</v>
          </cell>
          <cell r="Y377">
            <v>0</v>
          </cell>
        </row>
        <row r="378">
          <cell r="B378" t="str">
            <v>TGY1046</v>
          </cell>
          <cell r="G378" t="str">
            <v>Installed</v>
          </cell>
          <cell r="W378" t="str">
            <v>N</v>
          </cell>
          <cell r="X378">
            <v>2</v>
          </cell>
          <cell r="Y378">
            <v>0</v>
          </cell>
        </row>
        <row r="379">
          <cell r="B379" t="str">
            <v>TGY1046</v>
          </cell>
          <cell r="G379" t="str">
            <v>Installed</v>
          </cell>
          <cell r="W379" t="str">
            <v>Y</v>
          </cell>
          <cell r="X379">
            <v>1</v>
          </cell>
          <cell r="Y379">
            <v>0</v>
          </cell>
        </row>
        <row r="380">
          <cell r="B380" t="str">
            <v>TGY1046</v>
          </cell>
          <cell r="G380" t="str">
            <v>Installed</v>
          </cell>
          <cell r="W380" t="str">
            <v>N</v>
          </cell>
          <cell r="X380">
            <v>1</v>
          </cell>
          <cell r="Y380">
            <v>0</v>
          </cell>
        </row>
        <row r="381">
          <cell r="B381" t="str">
            <v>TGY1046</v>
          </cell>
          <cell r="G381" t="str">
            <v>Installed</v>
          </cell>
          <cell r="W381" t="str">
            <v>Y</v>
          </cell>
          <cell r="X381">
            <v>1</v>
          </cell>
          <cell r="Y381">
            <v>0</v>
          </cell>
        </row>
        <row r="382">
          <cell r="B382" t="str">
            <v>TGY1046</v>
          </cell>
          <cell r="G382" t="str">
            <v>Installed</v>
          </cell>
          <cell r="W382" t="str">
            <v>N</v>
          </cell>
          <cell r="X382">
            <v>2</v>
          </cell>
          <cell r="Y382">
            <v>0</v>
          </cell>
        </row>
        <row r="383">
          <cell r="B383" t="str">
            <v>TGY1046</v>
          </cell>
          <cell r="G383" t="str">
            <v>Installed</v>
          </cell>
          <cell r="W383" t="str">
            <v>Y</v>
          </cell>
          <cell r="X383">
            <v>6</v>
          </cell>
          <cell r="Y383">
            <v>0</v>
          </cell>
        </row>
        <row r="384">
          <cell r="B384" t="str">
            <v>TGY1046</v>
          </cell>
          <cell r="G384" t="str">
            <v>Installed</v>
          </cell>
          <cell r="W384" t="str">
            <v>Y</v>
          </cell>
          <cell r="X384">
            <v>1</v>
          </cell>
          <cell r="Y384">
            <v>0</v>
          </cell>
        </row>
        <row r="385">
          <cell r="B385" t="str">
            <v>TGY1046</v>
          </cell>
          <cell r="G385" t="str">
            <v>Installed</v>
          </cell>
          <cell r="W385" t="str">
            <v>Y</v>
          </cell>
          <cell r="X385">
            <v>0</v>
          </cell>
          <cell r="Y385">
            <v>0</v>
          </cell>
        </row>
        <row r="386">
          <cell r="B386" t="str">
            <v>TGY1046</v>
          </cell>
          <cell r="G386" t="str">
            <v>Installed</v>
          </cell>
          <cell r="W386" t="str">
            <v>Y</v>
          </cell>
          <cell r="X386">
            <v>2</v>
          </cell>
          <cell r="Y386">
            <v>0</v>
          </cell>
        </row>
        <row r="387">
          <cell r="B387" t="str">
            <v>TGY1046</v>
          </cell>
          <cell r="G387" t="str">
            <v>Installed</v>
          </cell>
          <cell r="W387" t="str">
            <v>Y</v>
          </cell>
          <cell r="X387">
            <v>1</v>
          </cell>
          <cell r="Y387">
            <v>0</v>
          </cell>
        </row>
        <row r="388">
          <cell r="B388" t="str">
            <v>TGY1046</v>
          </cell>
          <cell r="G388" t="str">
            <v>Installed</v>
          </cell>
          <cell r="W388" t="str">
            <v>Y</v>
          </cell>
          <cell r="X388">
            <v>1</v>
          </cell>
          <cell r="Y388">
            <v>0</v>
          </cell>
        </row>
        <row r="389">
          <cell r="B389" t="str">
            <v>TGY1046</v>
          </cell>
          <cell r="G389" t="str">
            <v>Installed</v>
          </cell>
          <cell r="W389" t="str">
            <v>N</v>
          </cell>
          <cell r="X389">
            <v>1</v>
          </cell>
          <cell r="Y389">
            <v>0</v>
          </cell>
        </row>
        <row r="390">
          <cell r="B390" t="str">
            <v>TGY1046</v>
          </cell>
          <cell r="G390" t="str">
            <v>Installed</v>
          </cell>
          <cell r="W390" t="str">
            <v>Y</v>
          </cell>
          <cell r="X390">
            <v>4</v>
          </cell>
          <cell r="Y390">
            <v>0</v>
          </cell>
        </row>
        <row r="391">
          <cell r="B391" t="str">
            <v>TGY1046</v>
          </cell>
          <cell r="G391" t="str">
            <v>Installed</v>
          </cell>
          <cell r="W391" t="str">
            <v>Y</v>
          </cell>
          <cell r="X391">
            <v>2</v>
          </cell>
          <cell r="Y391">
            <v>0</v>
          </cell>
        </row>
        <row r="392">
          <cell r="B392" t="str">
            <v>TGY1046</v>
          </cell>
          <cell r="G392" t="str">
            <v>Installed</v>
          </cell>
          <cell r="W392" t="str">
            <v>Y</v>
          </cell>
          <cell r="X392">
            <v>8</v>
          </cell>
          <cell r="Y392">
            <v>0</v>
          </cell>
        </row>
        <row r="393">
          <cell r="B393" t="str">
            <v>TGY1046</v>
          </cell>
          <cell r="G393" t="str">
            <v>Installed</v>
          </cell>
          <cell r="W393" t="str">
            <v>Y</v>
          </cell>
          <cell r="X393">
            <v>4</v>
          </cell>
          <cell r="Y393">
            <v>0</v>
          </cell>
        </row>
        <row r="394">
          <cell r="B394" t="str">
            <v>TGY1046</v>
          </cell>
          <cell r="G394" t="str">
            <v>Installed</v>
          </cell>
          <cell r="W394" t="str">
            <v>Y</v>
          </cell>
          <cell r="X394">
            <v>15</v>
          </cell>
          <cell r="Y394">
            <v>0</v>
          </cell>
        </row>
        <row r="395">
          <cell r="B395" t="str">
            <v>TCE1013</v>
          </cell>
          <cell r="G395" t="str">
            <v>Installed</v>
          </cell>
          <cell r="W395" t="str">
            <v>Y</v>
          </cell>
          <cell r="X395">
            <v>0</v>
          </cell>
          <cell r="Y395">
            <v>20</v>
          </cell>
        </row>
        <row r="396">
          <cell r="B396" t="str">
            <v>TGY1014</v>
          </cell>
          <cell r="G396" t="str">
            <v>Installed</v>
          </cell>
          <cell r="W396" t="str">
            <v>Y</v>
          </cell>
          <cell r="X396">
            <v>1</v>
          </cell>
          <cell r="Y396">
            <v>0</v>
          </cell>
        </row>
        <row r="397">
          <cell r="B397" t="str">
            <v>TGY1014</v>
          </cell>
          <cell r="G397" t="str">
            <v>Installed</v>
          </cell>
          <cell r="W397" t="str">
            <v>Y</v>
          </cell>
          <cell r="X397">
            <v>2</v>
          </cell>
          <cell r="Y397">
            <v>0</v>
          </cell>
        </row>
        <row r="398">
          <cell r="B398" t="str">
            <v>TGY1014</v>
          </cell>
          <cell r="G398" t="str">
            <v>Installed</v>
          </cell>
          <cell r="W398" t="str">
            <v>Y</v>
          </cell>
          <cell r="X398">
            <v>1</v>
          </cell>
          <cell r="Y398">
            <v>0</v>
          </cell>
        </row>
        <row r="399">
          <cell r="B399" t="str">
            <v>TGY1014</v>
          </cell>
          <cell r="G399" t="str">
            <v>Installed</v>
          </cell>
          <cell r="W399" t="str">
            <v>Y</v>
          </cell>
          <cell r="X399">
            <v>1</v>
          </cell>
          <cell r="Y399">
            <v>0</v>
          </cell>
        </row>
        <row r="400">
          <cell r="B400" t="str">
            <v>TGY1014</v>
          </cell>
          <cell r="G400" t="str">
            <v>Installed</v>
          </cell>
          <cell r="W400" t="str">
            <v>Y</v>
          </cell>
          <cell r="X400">
            <v>1</v>
          </cell>
          <cell r="Y400">
            <v>0</v>
          </cell>
        </row>
        <row r="401">
          <cell r="B401" t="str">
            <v>TGY1014</v>
          </cell>
          <cell r="G401" t="str">
            <v>Installed</v>
          </cell>
          <cell r="W401" t="str">
            <v>Y</v>
          </cell>
          <cell r="X401">
            <v>2</v>
          </cell>
          <cell r="Y401">
            <v>0</v>
          </cell>
        </row>
        <row r="402">
          <cell r="B402" t="str">
            <v>TGY1014</v>
          </cell>
          <cell r="G402" t="str">
            <v>Installed</v>
          </cell>
          <cell r="W402" t="str">
            <v>Y</v>
          </cell>
          <cell r="X402">
            <v>1</v>
          </cell>
          <cell r="Y402">
            <v>0</v>
          </cell>
        </row>
        <row r="403">
          <cell r="B403" t="str">
            <v>TGY1014</v>
          </cell>
          <cell r="G403" t="str">
            <v>Installed</v>
          </cell>
          <cell r="W403" t="str">
            <v>Y</v>
          </cell>
          <cell r="X403">
            <v>1</v>
          </cell>
          <cell r="Y403">
            <v>0</v>
          </cell>
        </row>
        <row r="404">
          <cell r="B404" t="str">
            <v>TGY1014</v>
          </cell>
          <cell r="G404" t="str">
            <v>Installed</v>
          </cell>
          <cell r="W404" t="str">
            <v>Y</v>
          </cell>
          <cell r="X404">
            <v>1</v>
          </cell>
          <cell r="Y404">
            <v>0</v>
          </cell>
        </row>
        <row r="405">
          <cell r="B405" t="str">
            <v>TGY1014</v>
          </cell>
          <cell r="G405" t="str">
            <v>Installed</v>
          </cell>
          <cell r="W405" t="str">
            <v>Y</v>
          </cell>
          <cell r="X405">
            <v>2</v>
          </cell>
          <cell r="Y405">
            <v>0</v>
          </cell>
        </row>
        <row r="406">
          <cell r="B406" t="str">
            <v>TGY1014</v>
          </cell>
          <cell r="G406" t="str">
            <v>Installed</v>
          </cell>
          <cell r="W406" t="str">
            <v>Y</v>
          </cell>
          <cell r="X406">
            <v>1</v>
          </cell>
          <cell r="Y406">
            <v>0</v>
          </cell>
        </row>
        <row r="407">
          <cell r="B407" t="str">
            <v>TGY1014</v>
          </cell>
          <cell r="G407" t="str">
            <v>Installed</v>
          </cell>
          <cell r="W407" t="str">
            <v>Y</v>
          </cell>
          <cell r="X407">
            <v>1</v>
          </cell>
          <cell r="Y407">
            <v>0</v>
          </cell>
        </row>
        <row r="408">
          <cell r="B408" t="str">
            <v>TGY1014</v>
          </cell>
          <cell r="G408" t="str">
            <v>Installed</v>
          </cell>
          <cell r="W408" t="str">
            <v>Y</v>
          </cell>
          <cell r="X408">
            <v>0</v>
          </cell>
          <cell r="Y408">
            <v>0</v>
          </cell>
        </row>
        <row r="409">
          <cell r="B409" t="str">
            <v>TGY1014</v>
          </cell>
          <cell r="G409" t="str">
            <v>Installed</v>
          </cell>
          <cell r="W409" t="str">
            <v>Y</v>
          </cell>
          <cell r="X409">
            <v>0</v>
          </cell>
          <cell r="Y409">
            <v>0</v>
          </cell>
        </row>
        <row r="410">
          <cell r="B410" t="str">
            <v>TGY1014</v>
          </cell>
          <cell r="G410" t="str">
            <v>Installed</v>
          </cell>
          <cell r="W410" t="str">
            <v>Y</v>
          </cell>
          <cell r="X410">
            <v>0</v>
          </cell>
          <cell r="Y410">
            <v>0</v>
          </cell>
        </row>
        <row r="411">
          <cell r="B411" t="str">
            <v>TGY1014</v>
          </cell>
          <cell r="G411" t="str">
            <v>Installed</v>
          </cell>
          <cell r="W411" t="str">
            <v>Y</v>
          </cell>
          <cell r="X411">
            <v>0</v>
          </cell>
          <cell r="Y411">
            <v>0</v>
          </cell>
        </row>
        <row r="412">
          <cell r="B412" t="str">
            <v>TGY1014</v>
          </cell>
          <cell r="G412" t="str">
            <v>Installed</v>
          </cell>
          <cell r="W412" t="str">
            <v>Y</v>
          </cell>
          <cell r="X412">
            <v>0</v>
          </cell>
          <cell r="Y412">
            <v>0</v>
          </cell>
        </row>
        <row r="413">
          <cell r="B413" t="str">
            <v>TGY1014</v>
          </cell>
          <cell r="G413" t="str">
            <v>Installed</v>
          </cell>
          <cell r="W413" t="str">
            <v>Y</v>
          </cell>
          <cell r="X413">
            <v>1</v>
          </cell>
          <cell r="Y413">
            <v>0</v>
          </cell>
        </row>
        <row r="414">
          <cell r="B414" t="str">
            <v>TGY1014</v>
          </cell>
          <cell r="G414" t="str">
            <v>Installed</v>
          </cell>
          <cell r="W414" t="str">
            <v>Y</v>
          </cell>
          <cell r="X414">
            <v>0</v>
          </cell>
          <cell r="Y414">
            <v>0</v>
          </cell>
        </row>
        <row r="415">
          <cell r="B415" t="str">
            <v>TGY1014</v>
          </cell>
          <cell r="G415" t="str">
            <v>Installed</v>
          </cell>
          <cell r="W415" t="str">
            <v>Y</v>
          </cell>
          <cell r="X415">
            <v>1</v>
          </cell>
          <cell r="Y415">
            <v>0</v>
          </cell>
        </row>
        <row r="416">
          <cell r="B416" t="str">
            <v>TGY1014</v>
          </cell>
          <cell r="G416" t="str">
            <v>Installed</v>
          </cell>
          <cell r="W416" t="str">
            <v>Y</v>
          </cell>
          <cell r="X416">
            <v>2</v>
          </cell>
          <cell r="Y416">
            <v>0</v>
          </cell>
        </row>
        <row r="417">
          <cell r="B417" t="str">
            <v>TGY1014</v>
          </cell>
          <cell r="G417" t="str">
            <v>Removed</v>
          </cell>
          <cell r="W417" t="str">
            <v>Y</v>
          </cell>
          <cell r="X417">
            <v>1</v>
          </cell>
          <cell r="Y417">
            <v>0</v>
          </cell>
        </row>
        <row r="418">
          <cell r="B418" t="str">
            <v>TGY1014</v>
          </cell>
          <cell r="G418" t="str">
            <v>Removed</v>
          </cell>
          <cell r="W418" t="str">
            <v>Y</v>
          </cell>
          <cell r="X418">
            <v>1</v>
          </cell>
          <cell r="Y418">
            <v>0</v>
          </cell>
        </row>
        <row r="419">
          <cell r="B419" t="str">
            <v>TGY1014</v>
          </cell>
          <cell r="G419" t="str">
            <v>Removed</v>
          </cell>
          <cell r="W419" t="str">
            <v>Y</v>
          </cell>
          <cell r="X419">
            <v>1</v>
          </cell>
          <cell r="Y419">
            <v>0</v>
          </cell>
        </row>
        <row r="420">
          <cell r="B420" t="str">
            <v>TGY1014</v>
          </cell>
          <cell r="G420" t="str">
            <v>Installed</v>
          </cell>
          <cell r="W420" t="str">
            <v>N</v>
          </cell>
          <cell r="X420">
            <v>7</v>
          </cell>
          <cell r="Y420">
            <v>0</v>
          </cell>
        </row>
        <row r="421">
          <cell r="B421" t="str">
            <v>TGY1014</v>
          </cell>
          <cell r="G421" t="str">
            <v>Installed</v>
          </cell>
          <cell r="W421" t="str">
            <v>Y</v>
          </cell>
          <cell r="X421">
            <v>1</v>
          </cell>
          <cell r="Y421">
            <v>0</v>
          </cell>
        </row>
        <row r="422">
          <cell r="B422" t="str">
            <v>TGY1014</v>
          </cell>
          <cell r="G422" t="str">
            <v>Installed</v>
          </cell>
          <cell r="W422" t="str">
            <v>N</v>
          </cell>
          <cell r="X422">
            <v>1</v>
          </cell>
          <cell r="Y422">
            <v>0</v>
          </cell>
        </row>
        <row r="423">
          <cell r="B423" t="str">
            <v>TGY1014</v>
          </cell>
          <cell r="G423" t="str">
            <v>Installed</v>
          </cell>
          <cell r="W423" t="str">
            <v>Y</v>
          </cell>
          <cell r="X423">
            <v>6</v>
          </cell>
          <cell r="Y423">
            <v>0</v>
          </cell>
        </row>
        <row r="424">
          <cell r="B424" t="str">
            <v>TGY1014</v>
          </cell>
          <cell r="G424" t="str">
            <v>Installed</v>
          </cell>
          <cell r="W424" t="str">
            <v>Y</v>
          </cell>
          <cell r="X424">
            <v>6</v>
          </cell>
          <cell r="Y424">
            <v>0</v>
          </cell>
        </row>
        <row r="425">
          <cell r="B425" t="str">
            <v>TGY1014</v>
          </cell>
          <cell r="G425" t="str">
            <v>Installed</v>
          </cell>
          <cell r="W425" t="str">
            <v>N</v>
          </cell>
          <cell r="X425">
            <v>1</v>
          </cell>
          <cell r="Y425">
            <v>0</v>
          </cell>
        </row>
        <row r="426">
          <cell r="B426" t="str">
            <v>TGY1014</v>
          </cell>
          <cell r="G426" t="str">
            <v>Installed</v>
          </cell>
          <cell r="W426" t="str">
            <v>N</v>
          </cell>
          <cell r="X426">
            <v>1</v>
          </cell>
          <cell r="Y426">
            <v>0</v>
          </cell>
        </row>
        <row r="427">
          <cell r="B427" t="str">
            <v>TGY1014</v>
          </cell>
          <cell r="G427" t="str">
            <v>Installed</v>
          </cell>
          <cell r="W427" t="str">
            <v>Y</v>
          </cell>
          <cell r="X427">
            <v>1</v>
          </cell>
          <cell r="Y427">
            <v>0</v>
          </cell>
        </row>
        <row r="428">
          <cell r="B428" t="str">
            <v>TGY1014</v>
          </cell>
          <cell r="G428" t="str">
            <v>Installed</v>
          </cell>
          <cell r="W428" t="str">
            <v>Y</v>
          </cell>
          <cell r="X428">
            <v>0</v>
          </cell>
          <cell r="Y428">
            <v>0</v>
          </cell>
        </row>
        <row r="429">
          <cell r="B429" t="str">
            <v>TGY1014</v>
          </cell>
          <cell r="G429" t="str">
            <v>Installed</v>
          </cell>
          <cell r="W429" t="str">
            <v>Y</v>
          </cell>
          <cell r="X429">
            <v>2</v>
          </cell>
          <cell r="Y429">
            <v>0</v>
          </cell>
        </row>
        <row r="430">
          <cell r="B430" t="str">
            <v>TGY1014</v>
          </cell>
          <cell r="G430" t="str">
            <v>Installed</v>
          </cell>
          <cell r="W430" t="str">
            <v>Y</v>
          </cell>
          <cell r="X430">
            <v>3</v>
          </cell>
          <cell r="Y430">
            <v>0</v>
          </cell>
        </row>
        <row r="431">
          <cell r="B431" t="str">
            <v>TGY1014</v>
          </cell>
          <cell r="G431" t="str">
            <v>Installed</v>
          </cell>
          <cell r="W431" t="str">
            <v>Y</v>
          </cell>
          <cell r="X431">
            <v>1</v>
          </cell>
          <cell r="Y431">
            <v>0</v>
          </cell>
        </row>
        <row r="432">
          <cell r="B432" t="str">
            <v>TGY1014</v>
          </cell>
          <cell r="G432" t="str">
            <v>Installed</v>
          </cell>
          <cell r="W432" t="str">
            <v>Y</v>
          </cell>
          <cell r="X432">
            <v>1</v>
          </cell>
          <cell r="Y432">
            <v>0</v>
          </cell>
        </row>
        <row r="433">
          <cell r="B433" t="str">
            <v>TGY1014</v>
          </cell>
          <cell r="G433" t="str">
            <v>Installed</v>
          </cell>
          <cell r="W433" t="str">
            <v>Y</v>
          </cell>
          <cell r="X433">
            <v>4</v>
          </cell>
          <cell r="Y433">
            <v>0</v>
          </cell>
        </row>
        <row r="434">
          <cell r="B434" t="str">
            <v>TGY1014</v>
          </cell>
          <cell r="G434" t="str">
            <v>Installed</v>
          </cell>
          <cell r="W434" t="str">
            <v>Y</v>
          </cell>
          <cell r="X434">
            <v>6</v>
          </cell>
          <cell r="Y434">
            <v>0</v>
          </cell>
        </row>
        <row r="435">
          <cell r="B435" t="str">
            <v>TGY1014</v>
          </cell>
          <cell r="G435" t="str">
            <v>Installed</v>
          </cell>
          <cell r="W435" t="str">
            <v>Y</v>
          </cell>
          <cell r="X435">
            <v>2</v>
          </cell>
          <cell r="Y435">
            <v>0</v>
          </cell>
        </row>
        <row r="436">
          <cell r="B436" t="str">
            <v>TGY1014</v>
          </cell>
          <cell r="G436" t="str">
            <v>Removed</v>
          </cell>
          <cell r="W436" t="str">
            <v>Y</v>
          </cell>
          <cell r="X436">
            <v>1</v>
          </cell>
          <cell r="Y436">
            <v>0</v>
          </cell>
        </row>
        <row r="437">
          <cell r="B437" t="str">
            <v>TGY1014</v>
          </cell>
          <cell r="G437" t="str">
            <v>Removed</v>
          </cell>
          <cell r="W437" t="str">
            <v>Y</v>
          </cell>
          <cell r="X437">
            <v>1</v>
          </cell>
          <cell r="Y437">
            <v>0</v>
          </cell>
        </row>
        <row r="438">
          <cell r="B438" t="str">
            <v>TGY1014</v>
          </cell>
          <cell r="G438" t="str">
            <v>Installed</v>
          </cell>
          <cell r="W438" t="str">
            <v>Y</v>
          </cell>
          <cell r="X438">
            <v>0</v>
          </cell>
          <cell r="Y438">
            <v>7</v>
          </cell>
        </row>
        <row r="439">
          <cell r="B439" t="str">
            <v>TGY1014</v>
          </cell>
          <cell r="G439" t="str">
            <v>Installed</v>
          </cell>
          <cell r="W439" t="str">
            <v>Y</v>
          </cell>
          <cell r="X439">
            <v>0</v>
          </cell>
          <cell r="Y439">
            <v>3</v>
          </cell>
        </row>
        <row r="440">
          <cell r="B440" t="str">
            <v>TDU2013</v>
          </cell>
          <cell r="G440" t="str">
            <v>Installed</v>
          </cell>
          <cell r="W440" t="str">
            <v>N</v>
          </cell>
          <cell r="X440">
            <v>3</v>
          </cell>
          <cell r="Y440">
            <v>0</v>
          </cell>
        </row>
        <row r="441">
          <cell r="B441" t="str">
            <v>TDU2013</v>
          </cell>
          <cell r="G441" t="str">
            <v>Installed</v>
          </cell>
          <cell r="W441" t="str">
            <v>N</v>
          </cell>
          <cell r="X441">
            <v>1</v>
          </cell>
          <cell r="Y441">
            <v>0</v>
          </cell>
        </row>
        <row r="442">
          <cell r="B442" t="str">
            <v>TDU2013</v>
          </cell>
          <cell r="G442" t="str">
            <v>Installed</v>
          </cell>
          <cell r="W442" t="str">
            <v>N</v>
          </cell>
          <cell r="X442">
            <v>6</v>
          </cell>
          <cell r="Y442">
            <v>0</v>
          </cell>
        </row>
        <row r="443">
          <cell r="B443" t="str">
            <v>TDU2013</v>
          </cell>
          <cell r="G443" t="str">
            <v>Installed</v>
          </cell>
          <cell r="W443" t="str">
            <v>N</v>
          </cell>
          <cell r="X443">
            <v>4</v>
          </cell>
          <cell r="Y443">
            <v>0</v>
          </cell>
        </row>
        <row r="444">
          <cell r="B444" t="str">
            <v>TDU2013</v>
          </cell>
          <cell r="G444" t="str">
            <v>Installed</v>
          </cell>
          <cell r="W444" t="str">
            <v>Y</v>
          </cell>
          <cell r="X444">
            <v>2</v>
          </cell>
          <cell r="Y444">
            <v>0</v>
          </cell>
        </row>
        <row r="445">
          <cell r="B445" t="str">
            <v>TDU2013</v>
          </cell>
          <cell r="G445" t="str">
            <v>Removed</v>
          </cell>
          <cell r="W445" t="str">
            <v>Y</v>
          </cell>
          <cell r="X445">
            <v>2</v>
          </cell>
          <cell r="Y445">
            <v>0</v>
          </cell>
        </row>
        <row r="446">
          <cell r="B446" t="str">
            <v>TDU2013</v>
          </cell>
          <cell r="G446" t="str">
            <v>Removed</v>
          </cell>
          <cell r="W446" t="str">
            <v>Y</v>
          </cell>
          <cell r="X446">
            <v>1</v>
          </cell>
          <cell r="Y446">
            <v>0</v>
          </cell>
        </row>
        <row r="447">
          <cell r="B447" t="str">
            <v>TDU2013</v>
          </cell>
          <cell r="G447" t="str">
            <v>Removed</v>
          </cell>
          <cell r="W447" t="str">
            <v>Y</v>
          </cell>
          <cell r="X447">
            <v>1</v>
          </cell>
          <cell r="Y447">
            <v>0</v>
          </cell>
        </row>
        <row r="448">
          <cell r="B448" t="str">
            <v>TDU2013</v>
          </cell>
          <cell r="G448" t="str">
            <v>Removed</v>
          </cell>
          <cell r="W448" t="str">
            <v>Y</v>
          </cell>
          <cell r="X448">
            <v>1</v>
          </cell>
          <cell r="Y448">
            <v>0</v>
          </cell>
        </row>
        <row r="449">
          <cell r="B449" t="str">
            <v>TDU2013</v>
          </cell>
          <cell r="G449" t="str">
            <v>Installed</v>
          </cell>
          <cell r="W449" t="str">
            <v>Y</v>
          </cell>
          <cell r="X449">
            <v>2</v>
          </cell>
          <cell r="Y449">
            <v>0</v>
          </cell>
        </row>
        <row r="450">
          <cell r="B450" t="str">
            <v>TDU2013</v>
          </cell>
          <cell r="G450" t="str">
            <v>Removed</v>
          </cell>
          <cell r="W450" t="str">
            <v>Y</v>
          </cell>
          <cell r="X450">
            <v>1</v>
          </cell>
          <cell r="Y450">
            <v>0</v>
          </cell>
        </row>
        <row r="451">
          <cell r="B451" t="str">
            <v>TDU2013</v>
          </cell>
          <cell r="G451" t="str">
            <v>Removed</v>
          </cell>
          <cell r="W451" t="str">
            <v>Y</v>
          </cell>
          <cell r="X451">
            <v>0</v>
          </cell>
          <cell r="Y451">
            <v>0</v>
          </cell>
        </row>
        <row r="452">
          <cell r="B452" t="str">
            <v>TDU2013</v>
          </cell>
          <cell r="G452" t="str">
            <v>Removed</v>
          </cell>
          <cell r="W452" t="str">
            <v>Y</v>
          </cell>
          <cell r="X452">
            <v>0</v>
          </cell>
          <cell r="Y452">
            <v>0</v>
          </cell>
        </row>
        <row r="453">
          <cell r="B453" t="str">
            <v>TDU2013</v>
          </cell>
          <cell r="G453" t="str">
            <v>Removed</v>
          </cell>
          <cell r="W453" t="str">
            <v>Y</v>
          </cell>
          <cell r="X453">
            <v>0</v>
          </cell>
          <cell r="Y453">
            <v>0</v>
          </cell>
        </row>
        <row r="454">
          <cell r="B454" t="str">
            <v>TDU2013</v>
          </cell>
          <cell r="G454" t="str">
            <v>Removed</v>
          </cell>
          <cell r="W454" t="str">
            <v>Y</v>
          </cell>
          <cell r="X454">
            <v>1</v>
          </cell>
          <cell r="Y454">
            <v>0</v>
          </cell>
        </row>
        <row r="455">
          <cell r="B455" t="str">
            <v>TDU2013</v>
          </cell>
          <cell r="G455" t="str">
            <v>Removed</v>
          </cell>
          <cell r="W455" t="str">
            <v>Y</v>
          </cell>
          <cell r="X455">
            <v>1</v>
          </cell>
          <cell r="Y455">
            <v>0</v>
          </cell>
        </row>
        <row r="456">
          <cell r="B456" t="str">
            <v>TDU2013</v>
          </cell>
          <cell r="G456" t="str">
            <v>Removed</v>
          </cell>
          <cell r="W456" t="str">
            <v>Y</v>
          </cell>
          <cell r="X456">
            <v>0</v>
          </cell>
          <cell r="Y456">
            <v>0</v>
          </cell>
        </row>
        <row r="457">
          <cell r="B457" t="str">
            <v>TDU2013</v>
          </cell>
          <cell r="G457" t="str">
            <v>Removed</v>
          </cell>
          <cell r="W457" t="str">
            <v>Y</v>
          </cell>
          <cell r="X457">
            <v>0</v>
          </cell>
          <cell r="Y457">
            <v>0</v>
          </cell>
        </row>
        <row r="458">
          <cell r="B458" t="str">
            <v>TDU2013</v>
          </cell>
          <cell r="G458" t="str">
            <v>Removed</v>
          </cell>
          <cell r="W458" t="str">
            <v>Y</v>
          </cell>
          <cell r="X458">
            <v>1</v>
          </cell>
          <cell r="Y458">
            <v>0</v>
          </cell>
        </row>
        <row r="459">
          <cell r="B459" t="str">
            <v>TDU2013</v>
          </cell>
          <cell r="G459" t="str">
            <v>Removed</v>
          </cell>
          <cell r="W459" t="str">
            <v>Y</v>
          </cell>
          <cell r="X459">
            <v>0</v>
          </cell>
          <cell r="Y459">
            <v>0</v>
          </cell>
        </row>
        <row r="460">
          <cell r="B460" t="str">
            <v>TDU2013</v>
          </cell>
          <cell r="G460" t="str">
            <v>Removed</v>
          </cell>
          <cell r="W460" t="str">
            <v>Y</v>
          </cell>
          <cell r="X460">
            <v>0</v>
          </cell>
          <cell r="Y460">
            <v>0</v>
          </cell>
        </row>
        <row r="461">
          <cell r="B461" t="str">
            <v>TDU2013</v>
          </cell>
          <cell r="G461" t="str">
            <v>Removed</v>
          </cell>
          <cell r="W461" t="str">
            <v>Y</v>
          </cell>
          <cell r="X461">
            <v>0</v>
          </cell>
          <cell r="Y461">
            <v>0</v>
          </cell>
        </row>
        <row r="462">
          <cell r="B462" t="str">
            <v>TDU2013</v>
          </cell>
          <cell r="G462" t="str">
            <v>Removed</v>
          </cell>
          <cell r="W462" t="str">
            <v>Y</v>
          </cell>
          <cell r="X462">
            <v>2</v>
          </cell>
          <cell r="Y462">
            <v>0</v>
          </cell>
        </row>
        <row r="463">
          <cell r="B463" t="str">
            <v>TDU2013</v>
          </cell>
          <cell r="G463" t="str">
            <v>Removed</v>
          </cell>
          <cell r="W463" t="str">
            <v>Y</v>
          </cell>
          <cell r="X463">
            <v>2</v>
          </cell>
          <cell r="Y463">
            <v>0</v>
          </cell>
        </row>
        <row r="464">
          <cell r="B464" t="str">
            <v>TDU2013</v>
          </cell>
          <cell r="G464" t="str">
            <v>Installed</v>
          </cell>
          <cell r="W464" t="str">
            <v>Y</v>
          </cell>
          <cell r="X464">
            <v>1</v>
          </cell>
          <cell r="Y464">
            <v>0</v>
          </cell>
        </row>
        <row r="465">
          <cell r="B465" t="str">
            <v>TDU2013</v>
          </cell>
          <cell r="G465" t="str">
            <v>Installed</v>
          </cell>
          <cell r="W465" t="str">
            <v>Y</v>
          </cell>
          <cell r="X465">
            <v>1</v>
          </cell>
          <cell r="Y465">
            <v>0</v>
          </cell>
        </row>
        <row r="466">
          <cell r="B466" t="str">
            <v>TDU2013</v>
          </cell>
          <cell r="G466" t="str">
            <v>Installed</v>
          </cell>
          <cell r="W466" t="str">
            <v>Y</v>
          </cell>
          <cell r="X466">
            <v>1</v>
          </cell>
          <cell r="Y466">
            <v>0</v>
          </cell>
        </row>
        <row r="467">
          <cell r="B467" t="str">
            <v>TDU2013</v>
          </cell>
          <cell r="G467" t="str">
            <v>Installed</v>
          </cell>
          <cell r="W467" t="str">
            <v>Y</v>
          </cell>
          <cell r="X467">
            <v>1</v>
          </cell>
          <cell r="Y467">
            <v>0</v>
          </cell>
        </row>
        <row r="468">
          <cell r="B468" t="str">
            <v>TDU2013</v>
          </cell>
          <cell r="G468" t="str">
            <v>Removed</v>
          </cell>
          <cell r="W468" t="str">
            <v>Y</v>
          </cell>
          <cell r="X468">
            <v>1</v>
          </cell>
          <cell r="Y468">
            <v>0</v>
          </cell>
        </row>
        <row r="469">
          <cell r="B469" t="str">
            <v>TDU2013</v>
          </cell>
          <cell r="G469" t="str">
            <v>Removed</v>
          </cell>
          <cell r="W469" t="str">
            <v>Y</v>
          </cell>
          <cell r="X469">
            <v>1</v>
          </cell>
          <cell r="Y469">
            <v>0</v>
          </cell>
        </row>
        <row r="470">
          <cell r="B470" t="str">
            <v>TDU2013</v>
          </cell>
          <cell r="G470" t="str">
            <v>Removed</v>
          </cell>
          <cell r="W470" t="str">
            <v>Y</v>
          </cell>
          <cell r="X470">
            <v>1</v>
          </cell>
          <cell r="Y470">
            <v>0</v>
          </cell>
        </row>
        <row r="471">
          <cell r="B471" t="str">
            <v>TDU2013</v>
          </cell>
          <cell r="G471" t="str">
            <v>Removed</v>
          </cell>
          <cell r="W471" t="str">
            <v>Y</v>
          </cell>
          <cell r="X471">
            <v>1</v>
          </cell>
          <cell r="Y471">
            <v>0</v>
          </cell>
        </row>
        <row r="472">
          <cell r="B472" t="str">
            <v>TDU2013</v>
          </cell>
          <cell r="G472" t="str">
            <v>Removed</v>
          </cell>
          <cell r="W472" t="str">
            <v>Y</v>
          </cell>
          <cell r="X472">
            <v>1</v>
          </cell>
          <cell r="Y472">
            <v>0</v>
          </cell>
        </row>
        <row r="473">
          <cell r="B473" t="str">
            <v>TDU2013</v>
          </cell>
          <cell r="G473" t="str">
            <v>Removed</v>
          </cell>
          <cell r="W473" t="str">
            <v>Y</v>
          </cell>
          <cell r="X473">
            <v>2</v>
          </cell>
          <cell r="Y473">
            <v>0</v>
          </cell>
        </row>
        <row r="474">
          <cell r="B474" t="str">
            <v>TDU2013</v>
          </cell>
          <cell r="G474" t="str">
            <v>Installed</v>
          </cell>
          <cell r="W474" t="str">
            <v>Y</v>
          </cell>
          <cell r="X474">
            <v>2</v>
          </cell>
          <cell r="Y474">
            <v>0</v>
          </cell>
        </row>
        <row r="475">
          <cell r="B475" t="str">
            <v>TDU2013</v>
          </cell>
          <cell r="G475" t="str">
            <v>Installed</v>
          </cell>
          <cell r="W475" t="str">
            <v>Y</v>
          </cell>
          <cell r="X475">
            <v>2</v>
          </cell>
          <cell r="Y475">
            <v>0</v>
          </cell>
        </row>
        <row r="476">
          <cell r="B476" t="str">
            <v>TDU2013</v>
          </cell>
          <cell r="G476" t="str">
            <v>Installed</v>
          </cell>
          <cell r="W476" t="str">
            <v>Y</v>
          </cell>
          <cell r="X476">
            <v>2</v>
          </cell>
          <cell r="Y476">
            <v>0</v>
          </cell>
        </row>
        <row r="477">
          <cell r="B477" t="str">
            <v>TDU2013</v>
          </cell>
          <cell r="G477" t="str">
            <v>Removed</v>
          </cell>
          <cell r="W477" t="str">
            <v>Y</v>
          </cell>
          <cell r="X477">
            <v>1</v>
          </cell>
          <cell r="Y477">
            <v>0</v>
          </cell>
        </row>
        <row r="478">
          <cell r="B478" t="str">
            <v>TDU2013</v>
          </cell>
          <cell r="G478" t="str">
            <v>Removed</v>
          </cell>
          <cell r="W478" t="str">
            <v>Y</v>
          </cell>
          <cell r="X478">
            <v>1</v>
          </cell>
          <cell r="Y478">
            <v>0</v>
          </cell>
        </row>
        <row r="479">
          <cell r="B479" t="str">
            <v>TDU2013</v>
          </cell>
          <cell r="G479" t="str">
            <v>Removed</v>
          </cell>
          <cell r="W479" t="str">
            <v>Y</v>
          </cell>
          <cell r="X479">
            <v>1</v>
          </cell>
          <cell r="Y479">
            <v>0</v>
          </cell>
        </row>
        <row r="480">
          <cell r="B480" t="str">
            <v>TDU2013</v>
          </cell>
          <cell r="G480" t="str">
            <v>Removed</v>
          </cell>
          <cell r="W480" t="str">
            <v>Y</v>
          </cell>
          <cell r="X480">
            <v>1</v>
          </cell>
          <cell r="Y480">
            <v>0</v>
          </cell>
        </row>
        <row r="481">
          <cell r="B481" t="str">
            <v>TDU2013</v>
          </cell>
          <cell r="G481" t="str">
            <v>Removed</v>
          </cell>
          <cell r="W481" t="str">
            <v>Y</v>
          </cell>
          <cell r="X481">
            <v>1</v>
          </cell>
          <cell r="Y481">
            <v>0</v>
          </cell>
        </row>
        <row r="482">
          <cell r="B482" t="str">
            <v>TDU2013</v>
          </cell>
          <cell r="G482" t="str">
            <v>Installed</v>
          </cell>
          <cell r="W482" t="str">
            <v>N</v>
          </cell>
          <cell r="X482">
            <v>1</v>
          </cell>
          <cell r="Y482">
            <v>0</v>
          </cell>
        </row>
        <row r="483">
          <cell r="B483" t="str">
            <v>TDU2013</v>
          </cell>
          <cell r="G483" t="str">
            <v>Installed</v>
          </cell>
          <cell r="W483" t="str">
            <v>Y</v>
          </cell>
          <cell r="X483">
            <v>1</v>
          </cell>
          <cell r="Y483">
            <v>0</v>
          </cell>
        </row>
        <row r="484">
          <cell r="B484" t="str">
            <v>TDU2013</v>
          </cell>
          <cell r="G484" t="str">
            <v>Installed</v>
          </cell>
          <cell r="W484" t="str">
            <v>Y</v>
          </cell>
          <cell r="X484">
            <v>1</v>
          </cell>
          <cell r="Y484">
            <v>0</v>
          </cell>
        </row>
        <row r="485">
          <cell r="B485" t="str">
            <v>TDU2013</v>
          </cell>
          <cell r="G485" t="str">
            <v>Installed</v>
          </cell>
          <cell r="W485" t="str">
            <v>Y</v>
          </cell>
          <cell r="X485">
            <v>1</v>
          </cell>
          <cell r="Y485">
            <v>0</v>
          </cell>
        </row>
        <row r="486">
          <cell r="B486" t="str">
            <v>TDU2013</v>
          </cell>
          <cell r="G486" t="str">
            <v>Installed</v>
          </cell>
          <cell r="W486" t="str">
            <v>Y</v>
          </cell>
          <cell r="X486">
            <v>1</v>
          </cell>
          <cell r="Y486">
            <v>0</v>
          </cell>
        </row>
        <row r="487">
          <cell r="B487" t="str">
            <v>TDU2013</v>
          </cell>
          <cell r="G487" t="str">
            <v>Installed</v>
          </cell>
          <cell r="W487" t="str">
            <v>Y</v>
          </cell>
          <cell r="X487">
            <v>2</v>
          </cell>
          <cell r="Y487">
            <v>0</v>
          </cell>
        </row>
        <row r="488">
          <cell r="B488" t="str">
            <v>TDU2013</v>
          </cell>
          <cell r="G488" t="str">
            <v>Installed</v>
          </cell>
          <cell r="W488" t="str">
            <v>Y</v>
          </cell>
          <cell r="X488">
            <v>2</v>
          </cell>
          <cell r="Y488">
            <v>0</v>
          </cell>
        </row>
        <row r="489">
          <cell r="B489" t="str">
            <v>TDU2013</v>
          </cell>
          <cell r="G489" t="str">
            <v>Installed</v>
          </cell>
          <cell r="W489" t="str">
            <v>Y</v>
          </cell>
          <cell r="X489">
            <v>1</v>
          </cell>
          <cell r="Y489">
            <v>0</v>
          </cell>
        </row>
        <row r="490">
          <cell r="B490" t="str">
            <v>TDU2013</v>
          </cell>
          <cell r="G490" t="str">
            <v>Installed</v>
          </cell>
          <cell r="W490" t="str">
            <v>Y</v>
          </cell>
          <cell r="X490">
            <v>1</v>
          </cell>
          <cell r="Y490">
            <v>0</v>
          </cell>
        </row>
        <row r="491">
          <cell r="B491" t="str">
            <v>TDU2013</v>
          </cell>
          <cell r="G491" t="str">
            <v>Installed</v>
          </cell>
          <cell r="W491" t="str">
            <v>Y</v>
          </cell>
          <cell r="X491">
            <v>1</v>
          </cell>
          <cell r="Y491">
            <v>0</v>
          </cell>
        </row>
        <row r="492">
          <cell r="B492" t="str">
            <v>TDU2013</v>
          </cell>
          <cell r="G492" t="str">
            <v>Installed</v>
          </cell>
          <cell r="W492" t="str">
            <v>Y</v>
          </cell>
          <cell r="X492">
            <v>1</v>
          </cell>
          <cell r="Y492">
            <v>0</v>
          </cell>
        </row>
        <row r="493">
          <cell r="B493" t="str">
            <v>TDU2013</v>
          </cell>
          <cell r="G493" t="str">
            <v>Installed</v>
          </cell>
          <cell r="W493" t="str">
            <v>Y</v>
          </cell>
          <cell r="X493">
            <v>1</v>
          </cell>
          <cell r="Y493">
            <v>0</v>
          </cell>
        </row>
        <row r="494">
          <cell r="B494" t="str">
            <v>TDU2013</v>
          </cell>
          <cell r="G494" t="str">
            <v>Installed</v>
          </cell>
          <cell r="W494" t="str">
            <v>N</v>
          </cell>
          <cell r="X494">
            <v>6</v>
          </cell>
          <cell r="Y494">
            <v>0</v>
          </cell>
        </row>
        <row r="495">
          <cell r="B495" t="str">
            <v>TDU2013</v>
          </cell>
          <cell r="G495" t="str">
            <v>Installed</v>
          </cell>
          <cell r="W495" t="str">
            <v>Y</v>
          </cell>
          <cell r="X495">
            <v>1</v>
          </cell>
          <cell r="Y495">
            <v>0</v>
          </cell>
        </row>
        <row r="496">
          <cell r="B496" t="str">
            <v>TDU2013</v>
          </cell>
          <cell r="G496" t="str">
            <v>Installed</v>
          </cell>
          <cell r="W496" t="str">
            <v>Y</v>
          </cell>
          <cell r="X496">
            <v>1</v>
          </cell>
          <cell r="Y496">
            <v>0</v>
          </cell>
        </row>
        <row r="497">
          <cell r="B497" t="str">
            <v>TDU2013</v>
          </cell>
          <cell r="G497" t="str">
            <v>Installed</v>
          </cell>
          <cell r="W497" t="str">
            <v>Y</v>
          </cell>
          <cell r="X497">
            <v>2</v>
          </cell>
          <cell r="Y497">
            <v>0</v>
          </cell>
        </row>
        <row r="498">
          <cell r="B498" t="str">
            <v>TDU2013</v>
          </cell>
          <cell r="G498" t="str">
            <v>Installed</v>
          </cell>
          <cell r="W498" t="str">
            <v>N</v>
          </cell>
          <cell r="X498">
            <v>1</v>
          </cell>
          <cell r="Y498">
            <v>0</v>
          </cell>
        </row>
        <row r="499">
          <cell r="B499" t="str">
            <v>TDU2013</v>
          </cell>
          <cell r="G499" t="str">
            <v>Installed</v>
          </cell>
          <cell r="W499" t="str">
            <v>N</v>
          </cell>
          <cell r="X499">
            <v>1</v>
          </cell>
          <cell r="Y499">
            <v>0</v>
          </cell>
        </row>
        <row r="500">
          <cell r="B500" t="str">
            <v>TDU2013</v>
          </cell>
          <cell r="G500" t="str">
            <v>Installed</v>
          </cell>
          <cell r="W500" t="str">
            <v>Y</v>
          </cell>
          <cell r="X500">
            <v>1</v>
          </cell>
          <cell r="Y500">
            <v>0</v>
          </cell>
        </row>
        <row r="501">
          <cell r="B501" t="str">
            <v>TDU2013</v>
          </cell>
          <cell r="G501" t="str">
            <v>Installed</v>
          </cell>
          <cell r="W501" t="str">
            <v>Y</v>
          </cell>
          <cell r="X501">
            <v>2</v>
          </cell>
          <cell r="Y501">
            <v>0</v>
          </cell>
        </row>
        <row r="502">
          <cell r="B502" t="str">
            <v>TDU2013</v>
          </cell>
          <cell r="G502" t="str">
            <v>Installed</v>
          </cell>
          <cell r="W502" t="str">
            <v>Y</v>
          </cell>
          <cell r="X502">
            <v>2</v>
          </cell>
          <cell r="Y502">
            <v>0</v>
          </cell>
        </row>
        <row r="503">
          <cell r="B503" t="str">
            <v>TDU2013</v>
          </cell>
          <cell r="G503" t="str">
            <v>Installed</v>
          </cell>
          <cell r="W503" t="str">
            <v>Y</v>
          </cell>
          <cell r="X503">
            <v>1</v>
          </cell>
          <cell r="Y503">
            <v>0</v>
          </cell>
        </row>
        <row r="504">
          <cell r="B504" t="str">
            <v>TDU2013</v>
          </cell>
          <cell r="G504" t="str">
            <v>Installed</v>
          </cell>
          <cell r="W504" t="str">
            <v>Y</v>
          </cell>
          <cell r="X504">
            <v>2</v>
          </cell>
          <cell r="Y504">
            <v>0</v>
          </cell>
        </row>
        <row r="505">
          <cell r="B505" t="str">
            <v>TDU2013</v>
          </cell>
          <cell r="G505" t="str">
            <v>Installed</v>
          </cell>
          <cell r="W505" t="str">
            <v>Y</v>
          </cell>
          <cell r="X505">
            <v>1</v>
          </cell>
          <cell r="Y505">
            <v>0</v>
          </cell>
        </row>
        <row r="506">
          <cell r="B506" t="str">
            <v>TDU2013</v>
          </cell>
          <cell r="G506" t="str">
            <v>Removed</v>
          </cell>
          <cell r="W506" t="str">
            <v>Y</v>
          </cell>
          <cell r="X506">
            <v>2</v>
          </cell>
          <cell r="Y506">
            <v>0</v>
          </cell>
        </row>
        <row r="507">
          <cell r="B507" t="str">
            <v>TDU2013</v>
          </cell>
          <cell r="G507" t="str">
            <v>Installed</v>
          </cell>
          <cell r="W507" t="str">
            <v>Y</v>
          </cell>
          <cell r="X507">
            <v>0</v>
          </cell>
          <cell r="Y507">
            <v>9</v>
          </cell>
        </row>
        <row r="508">
          <cell r="B508" t="str">
            <v>TDU2013</v>
          </cell>
          <cell r="G508" t="str">
            <v>Installed</v>
          </cell>
          <cell r="W508" t="str">
            <v>Y</v>
          </cell>
          <cell r="X508">
            <v>8</v>
          </cell>
          <cell r="Y508">
            <v>0</v>
          </cell>
        </row>
        <row r="509">
          <cell r="B509" t="str">
            <v>TDU2013</v>
          </cell>
          <cell r="G509" t="str">
            <v>Installed</v>
          </cell>
          <cell r="W509" t="str">
            <v>Y</v>
          </cell>
          <cell r="X509">
            <v>8</v>
          </cell>
          <cell r="Y509">
            <v>0</v>
          </cell>
        </row>
        <row r="510">
          <cell r="B510" t="str">
            <v>TDU2013</v>
          </cell>
          <cell r="G510" t="str">
            <v>Installed</v>
          </cell>
          <cell r="W510" t="str">
            <v>N</v>
          </cell>
          <cell r="X510">
            <v>4</v>
          </cell>
          <cell r="Y510">
            <v>0</v>
          </cell>
        </row>
        <row r="511">
          <cell r="B511" t="str">
            <v>TDU2013</v>
          </cell>
          <cell r="G511" t="str">
            <v>Removed</v>
          </cell>
          <cell r="W511" t="str">
            <v>Y</v>
          </cell>
          <cell r="X511">
            <v>6</v>
          </cell>
          <cell r="Y511">
            <v>0</v>
          </cell>
        </row>
        <row r="512">
          <cell r="B512" t="str">
            <v>TDU2013</v>
          </cell>
          <cell r="G512" t="str">
            <v>Installed</v>
          </cell>
          <cell r="W512" t="str">
            <v>Y</v>
          </cell>
          <cell r="X512">
            <v>2</v>
          </cell>
          <cell r="Y512">
            <v>0</v>
          </cell>
        </row>
        <row r="513">
          <cell r="B513" t="str">
            <v>TDU2013</v>
          </cell>
          <cell r="G513" t="str">
            <v>Installed</v>
          </cell>
          <cell r="W513" t="str">
            <v>Y</v>
          </cell>
          <cell r="X513">
            <v>1</v>
          </cell>
          <cell r="Y513">
            <v>0</v>
          </cell>
        </row>
        <row r="514">
          <cell r="B514" t="str">
            <v>TDU2013</v>
          </cell>
          <cell r="G514" t="str">
            <v>Installed</v>
          </cell>
          <cell r="W514" t="str">
            <v>Y</v>
          </cell>
          <cell r="X514">
            <v>1</v>
          </cell>
          <cell r="Y514">
            <v>0</v>
          </cell>
        </row>
        <row r="515">
          <cell r="B515" t="str">
            <v>TDU2013</v>
          </cell>
          <cell r="G515" t="str">
            <v>Installed</v>
          </cell>
          <cell r="W515" t="str">
            <v>Y</v>
          </cell>
          <cell r="X515">
            <v>1</v>
          </cell>
          <cell r="Y515">
            <v>0</v>
          </cell>
        </row>
        <row r="516">
          <cell r="B516" t="str">
            <v>TCK1015</v>
          </cell>
          <cell r="G516" t="str">
            <v>Installed</v>
          </cell>
          <cell r="W516" t="str">
            <v>Y</v>
          </cell>
          <cell r="X516">
            <v>1</v>
          </cell>
          <cell r="Y516">
            <v>0</v>
          </cell>
        </row>
        <row r="517">
          <cell r="B517" t="str">
            <v>TCK1015</v>
          </cell>
          <cell r="G517" t="str">
            <v>Installed</v>
          </cell>
          <cell r="W517" t="str">
            <v>Y</v>
          </cell>
          <cell r="X517">
            <v>1</v>
          </cell>
          <cell r="Y517">
            <v>0</v>
          </cell>
        </row>
        <row r="518">
          <cell r="B518" t="str">
            <v>TCK1015</v>
          </cell>
          <cell r="G518" t="str">
            <v>Removed</v>
          </cell>
          <cell r="W518" t="str">
            <v>Y</v>
          </cell>
          <cell r="X518">
            <v>1</v>
          </cell>
          <cell r="Y518">
            <v>0</v>
          </cell>
        </row>
        <row r="519">
          <cell r="B519" t="str">
            <v>TCK1015</v>
          </cell>
          <cell r="G519" t="str">
            <v>Installed</v>
          </cell>
          <cell r="W519" t="str">
            <v>N</v>
          </cell>
          <cell r="X519">
            <v>4</v>
          </cell>
          <cell r="Y519">
            <v>0</v>
          </cell>
        </row>
        <row r="520">
          <cell r="B520" t="str">
            <v>TCK1015</v>
          </cell>
          <cell r="G520" t="str">
            <v>Installed</v>
          </cell>
          <cell r="W520" t="str">
            <v>Y</v>
          </cell>
          <cell r="X520">
            <v>1</v>
          </cell>
          <cell r="Y520">
            <v>0</v>
          </cell>
        </row>
        <row r="521">
          <cell r="B521" t="str">
            <v>TCK1015</v>
          </cell>
          <cell r="G521" t="str">
            <v>Installed</v>
          </cell>
          <cell r="W521" t="str">
            <v>Y</v>
          </cell>
          <cell r="X521">
            <v>2</v>
          </cell>
          <cell r="Y521">
            <v>0</v>
          </cell>
        </row>
        <row r="522">
          <cell r="B522" t="str">
            <v>TCK1015</v>
          </cell>
          <cell r="G522" t="str">
            <v>Installed</v>
          </cell>
          <cell r="W522" t="str">
            <v>N</v>
          </cell>
          <cell r="X522">
            <v>2</v>
          </cell>
          <cell r="Y522">
            <v>0</v>
          </cell>
        </row>
        <row r="523">
          <cell r="B523" t="str">
            <v>TCK1015</v>
          </cell>
          <cell r="G523" t="str">
            <v>Installed</v>
          </cell>
          <cell r="W523" t="str">
            <v>N</v>
          </cell>
          <cell r="X523">
            <v>2</v>
          </cell>
          <cell r="Y523">
            <v>0</v>
          </cell>
        </row>
        <row r="524">
          <cell r="B524" t="str">
            <v>TCK1015</v>
          </cell>
          <cell r="G524" t="str">
            <v>Installed</v>
          </cell>
          <cell r="W524" t="str">
            <v>N</v>
          </cell>
          <cell r="X524">
            <v>2</v>
          </cell>
          <cell r="Y524">
            <v>0</v>
          </cell>
        </row>
        <row r="525">
          <cell r="B525" t="str">
            <v>TCK1015</v>
          </cell>
          <cell r="G525" t="str">
            <v>Installed</v>
          </cell>
          <cell r="W525" t="str">
            <v>Y</v>
          </cell>
          <cell r="X525">
            <v>2</v>
          </cell>
          <cell r="Y525">
            <v>0</v>
          </cell>
        </row>
        <row r="526">
          <cell r="B526" t="str">
            <v>TCK1015</v>
          </cell>
          <cell r="G526" t="str">
            <v>Installed</v>
          </cell>
          <cell r="W526" t="str">
            <v>N</v>
          </cell>
          <cell r="X526">
            <v>1</v>
          </cell>
          <cell r="Y526">
            <v>0</v>
          </cell>
        </row>
        <row r="527">
          <cell r="B527" t="str">
            <v>TCK1015</v>
          </cell>
          <cell r="G527" t="str">
            <v>Installed</v>
          </cell>
          <cell r="W527" t="str">
            <v>Y</v>
          </cell>
          <cell r="X527">
            <v>1</v>
          </cell>
          <cell r="Y527">
            <v>0</v>
          </cell>
        </row>
        <row r="528">
          <cell r="B528" t="str">
            <v>TCK1015</v>
          </cell>
          <cell r="G528" t="str">
            <v>Removed</v>
          </cell>
          <cell r="W528" t="str">
            <v>Y</v>
          </cell>
          <cell r="X528">
            <v>1</v>
          </cell>
          <cell r="Y528">
            <v>0</v>
          </cell>
        </row>
        <row r="529">
          <cell r="B529" t="str">
            <v>TCK1015</v>
          </cell>
          <cell r="G529" t="str">
            <v>Installed</v>
          </cell>
          <cell r="W529" t="str">
            <v>N</v>
          </cell>
          <cell r="X529">
            <v>1</v>
          </cell>
          <cell r="Y529">
            <v>0</v>
          </cell>
        </row>
        <row r="530">
          <cell r="B530" t="str">
            <v>TCK1015</v>
          </cell>
          <cell r="G530" t="str">
            <v>Installed</v>
          </cell>
          <cell r="W530" t="str">
            <v>N</v>
          </cell>
          <cell r="X530">
            <v>4</v>
          </cell>
          <cell r="Y530">
            <v>0</v>
          </cell>
        </row>
        <row r="531">
          <cell r="B531" t="str">
            <v>TCK1015</v>
          </cell>
          <cell r="G531" t="str">
            <v>Removed</v>
          </cell>
          <cell r="W531" t="str">
            <v>Y</v>
          </cell>
          <cell r="X531">
            <v>1</v>
          </cell>
          <cell r="Y531">
            <v>0</v>
          </cell>
        </row>
        <row r="532">
          <cell r="B532" t="str">
            <v>TCK1015</v>
          </cell>
          <cell r="G532" t="str">
            <v>Installed</v>
          </cell>
          <cell r="W532" t="str">
            <v>Y</v>
          </cell>
          <cell r="X532">
            <v>5</v>
          </cell>
          <cell r="Y532">
            <v>0</v>
          </cell>
        </row>
        <row r="533">
          <cell r="B533" t="str">
            <v>TKY1016</v>
          </cell>
          <cell r="G533" t="str">
            <v>Installed</v>
          </cell>
          <cell r="W533" t="str">
            <v>Y</v>
          </cell>
          <cell r="X533">
            <v>0</v>
          </cell>
          <cell r="Y533">
            <v>33</v>
          </cell>
        </row>
        <row r="534">
          <cell r="B534" t="str">
            <v>TKY1016</v>
          </cell>
          <cell r="G534" t="str">
            <v>Installed</v>
          </cell>
          <cell r="W534" t="str">
            <v>Y</v>
          </cell>
          <cell r="X534">
            <v>0</v>
          </cell>
          <cell r="Y534">
            <v>22</v>
          </cell>
        </row>
        <row r="535">
          <cell r="B535" t="str">
            <v>TKY1016</v>
          </cell>
          <cell r="G535" t="str">
            <v>Removed</v>
          </cell>
          <cell r="W535" t="str">
            <v>Y</v>
          </cell>
          <cell r="X535">
            <v>1</v>
          </cell>
          <cell r="Y535">
            <v>0</v>
          </cell>
        </row>
        <row r="536">
          <cell r="B536" t="str">
            <v>TKY1016</v>
          </cell>
          <cell r="G536" t="str">
            <v>Removed</v>
          </cell>
          <cell r="W536" t="str">
            <v>Y</v>
          </cell>
          <cell r="X536">
            <v>1</v>
          </cell>
          <cell r="Y536">
            <v>0</v>
          </cell>
        </row>
        <row r="537">
          <cell r="B537" t="str">
            <v>TKY1016</v>
          </cell>
          <cell r="G537" t="str">
            <v>Removed</v>
          </cell>
          <cell r="W537" t="str">
            <v>Y</v>
          </cell>
          <cell r="X537">
            <v>1</v>
          </cell>
          <cell r="Y537">
            <v>0</v>
          </cell>
        </row>
        <row r="538">
          <cell r="B538" t="str">
            <v>TKY1017</v>
          </cell>
          <cell r="G538" t="str">
            <v>Installed</v>
          </cell>
          <cell r="W538" t="str">
            <v>Y</v>
          </cell>
          <cell r="X538">
            <v>0</v>
          </cell>
          <cell r="Y538">
            <v>34</v>
          </cell>
        </row>
        <row r="539">
          <cell r="B539" t="str">
            <v>TKY1017</v>
          </cell>
          <cell r="G539" t="str">
            <v>Removed</v>
          </cell>
          <cell r="W539" t="str">
            <v>Y</v>
          </cell>
          <cell r="X539">
            <v>2</v>
          </cell>
          <cell r="Y539">
            <v>0</v>
          </cell>
        </row>
        <row r="540">
          <cell r="B540" t="str">
            <v>TKY1017</v>
          </cell>
          <cell r="G540" t="str">
            <v>Removed</v>
          </cell>
          <cell r="W540" t="str">
            <v>Y</v>
          </cell>
          <cell r="X540">
            <v>1</v>
          </cell>
          <cell r="Y540">
            <v>0</v>
          </cell>
        </row>
        <row r="541">
          <cell r="B541" t="str">
            <v>TKY1017</v>
          </cell>
          <cell r="G541" t="str">
            <v>Removed</v>
          </cell>
          <cell r="W541" t="str">
            <v>Y</v>
          </cell>
          <cell r="X541">
            <v>1</v>
          </cell>
          <cell r="Y541">
            <v>0</v>
          </cell>
        </row>
        <row r="542">
          <cell r="B542" t="str">
            <v>TWX1018</v>
          </cell>
          <cell r="G542" t="str">
            <v>Installed</v>
          </cell>
          <cell r="W542" t="str">
            <v>Y</v>
          </cell>
          <cell r="X542">
            <v>1</v>
          </cell>
          <cell r="Y542">
            <v>0</v>
          </cell>
        </row>
        <row r="543">
          <cell r="B543" t="str">
            <v>TWX1018</v>
          </cell>
          <cell r="G543" t="str">
            <v>Installed</v>
          </cell>
          <cell r="W543" t="str">
            <v>N</v>
          </cell>
          <cell r="X543">
            <v>3</v>
          </cell>
          <cell r="Y543">
            <v>0</v>
          </cell>
        </row>
        <row r="544">
          <cell r="B544" t="str">
            <v>TWX1018</v>
          </cell>
          <cell r="G544" t="str">
            <v>Installed</v>
          </cell>
          <cell r="W544" t="str">
            <v>N</v>
          </cell>
          <cell r="X544">
            <v>2</v>
          </cell>
          <cell r="Y544">
            <v>0</v>
          </cell>
        </row>
        <row r="545">
          <cell r="B545" t="str">
            <v>TWX1018</v>
          </cell>
          <cell r="G545" t="str">
            <v>Installed</v>
          </cell>
          <cell r="W545" t="str">
            <v>Y</v>
          </cell>
          <cell r="X545">
            <v>1</v>
          </cell>
          <cell r="Y545">
            <v>0</v>
          </cell>
        </row>
        <row r="546">
          <cell r="B546" t="str">
            <v>TWX1018</v>
          </cell>
          <cell r="G546" t="str">
            <v>Installed</v>
          </cell>
          <cell r="W546" t="str">
            <v>Y</v>
          </cell>
          <cell r="X546">
            <v>1</v>
          </cell>
          <cell r="Y546">
            <v>0</v>
          </cell>
        </row>
        <row r="547">
          <cell r="B547" t="str">
            <v>TWX1018</v>
          </cell>
          <cell r="G547" t="str">
            <v>Installed</v>
          </cell>
          <cell r="W547" t="str">
            <v>N</v>
          </cell>
          <cell r="X547">
            <v>1</v>
          </cell>
          <cell r="Y547">
            <v>0</v>
          </cell>
        </row>
        <row r="548">
          <cell r="B548" t="str">
            <v>TWX1018</v>
          </cell>
          <cell r="G548" t="str">
            <v>Installed</v>
          </cell>
          <cell r="W548" t="str">
            <v>Y</v>
          </cell>
          <cell r="X548">
            <v>2</v>
          </cell>
          <cell r="Y548">
            <v>0</v>
          </cell>
        </row>
        <row r="549">
          <cell r="B549" t="str">
            <v>TWX1018</v>
          </cell>
          <cell r="G549" t="str">
            <v>Installed</v>
          </cell>
          <cell r="W549" t="str">
            <v>N</v>
          </cell>
          <cell r="X549">
            <v>1</v>
          </cell>
          <cell r="Y549">
            <v>0</v>
          </cell>
        </row>
        <row r="550">
          <cell r="B550" t="str">
            <v>TWX1018</v>
          </cell>
          <cell r="G550" t="str">
            <v>Installed</v>
          </cell>
          <cell r="W550" t="str">
            <v>Y</v>
          </cell>
          <cell r="X550">
            <v>3</v>
          </cell>
          <cell r="Y550">
            <v>0</v>
          </cell>
        </row>
        <row r="551">
          <cell r="B551" t="str">
            <v>TWX1018</v>
          </cell>
          <cell r="G551" t="str">
            <v>Installed</v>
          </cell>
          <cell r="W551" t="str">
            <v>Y</v>
          </cell>
          <cell r="X551">
            <v>0</v>
          </cell>
          <cell r="Y551">
            <v>0</v>
          </cell>
        </row>
        <row r="552">
          <cell r="B552" t="str">
            <v>TWX1018</v>
          </cell>
          <cell r="G552" t="str">
            <v>Installed</v>
          </cell>
          <cell r="W552" t="str">
            <v>Y</v>
          </cell>
          <cell r="X552">
            <v>0</v>
          </cell>
          <cell r="Y552">
            <v>0</v>
          </cell>
        </row>
        <row r="553">
          <cell r="B553" t="str">
            <v>TWX1018</v>
          </cell>
          <cell r="G553" t="str">
            <v>Installed</v>
          </cell>
          <cell r="W553" t="str">
            <v>Y</v>
          </cell>
          <cell r="X553">
            <v>0</v>
          </cell>
          <cell r="Y553">
            <v>0</v>
          </cell>
        </row>
        <row r="554">
          <cell r="B554" t="str">
            <v>TWX1018</v>
          </cell>
          <cell r="G554" t="str">
            <v>Installed</v>
          </cell>
          <cell r="W554" t="str">
            <v>Y</v>
          </cell>
          <cell r="X554">
            <v>0</v>
          </cell>
          <cell r="Y554">
            <v>0</v>
          </cell>
        </row>
        <row r="555">
          <cell r="B555" t="str">
            <v>TWX1018</v>
          </cell>
          <cell r="G555" t="str">
            <v>Installed</v>
          </cell>
          <cell r="W555" t="str">
            <v>Y</v>
          </cell>
          <cell r="X555">
            <v>0</v>
          </cell>
          <cell r="Y555">
            <v>0</v>
          </cell>
        </row>
        <row r="556">
          <cell r="B556" t="str">
            <v>TWX1018</v>
          </cell>
          <cell r="G556" t="str">
            <v>Installed</v>
          </cell>
          <cell r="W556" t="str">
            <v>Y</v>
          </cell>
          <cell r="X556">
            <v>0</v>
          </cell>
          <cell r="Y556">
            <v>0</v>
          </cell>
        </row>
        <row r="557">
          <cell r="B557" t="str">
            <v>TWX1018</v>
          </cell>
          <cell r="G557" t="str">
            <v>Installed</v>
          </cell>
          <cell r="W557" t="str">
            <v>Y</v>
          </cell>
          <cell r="X557">
            <v>0</v>
          </cell>
          <cell r="Y557">
            <v>0</v>
          </cell>
        </row>
        <row r="558">
          <cell r="B558" t="str">
            <v>TWX1018</v>
          </cell>
          <cell r="G558" t="str">
            <v>Installed</v>
          </cell>
          <cell r="W558" t="str">
            <v>Y</v>
          </cell>
          <cell r="X558">
            <v>0</v>
          </cell>
          <cell r="Y558">
            <v>0</v>
          </cell>
        </row>
        <row r="559">
          <cell r="B559" t="str">
            <v>TWX1018</v>
          </cell>
          <cell r="G559" t="str">
            <v>Installed</v>
          </cell>
          <cell r="W559" t="str">
            <v>Y</v>
          </cell>
          <cell r="X559">
            <v>0</v>
          </cell>
          <cell r="Y559">
            <v>0</v>
          </cell>
        </row>
        <row r="560">
          <cell r="B560" t="str">
            <v>TWX1018</v>
          </cell>
          <cell r="G560" t="str">
            <v>Installed</v>
          </cell>
          <cell r="W560" t="str">
            <v>Y</v>
          </cell>
          <cell r="X560">
            <v>0</v>
          </cell>
          <cell r="Y560">
            <v>0</v>
          </cell>
        </row>
        <row r="561">
          <cell r="B561" t="str">
            <v>TWX1018</v>
          </cell>
          <cell r="G561" t="str">
            <v>Installed</v>
          </cell>
          <cell r="W561" t="str">
            <v>Y</v>
          </cell>
          <cell r="X561">
            <v>0</v>
          </cell>
          <cell r="Y561">
            <v>0</v>
          </cell>
        </row>
        <row r="562">
          <cell r="B562" t="str">
            <v>TWX1018</v>
          </cell>
          <cell r="G562" t="str">
            <v>Installed</v>
          </cell>
          <cell r="W562" t="str">
            <v>Y</v>
          </cell>
          <cell r="X562">
            <v>0</v>
          </cell>
          <cell r="Y562">
            <v>0</v>
          </cell>
        </row>
        <row r="563">
          <cell r="B563" t="str">
            <v>TWX1018</v>
          </cell>
          <cell r="G563" t="str">
            <v>Installed</v>
          </cell>
          <cell r="W563" t="str">
            <v>Y</v>
          </cell>
          <cell r="X563">
            <v>1</v>
          </cell>
          <cell r="Y563">
            <v>0</v>
          </cell>
        </row>
        <row r="564">
          <cell r="B564" t="str">
            <v>TWX1018</v>
          </cell>
          <cell r="G564" t="str">
            <v>Installed</v>
          </cell>
          <cell r="W564" t="str">
            <v>Y</v>
          </cell>
          <cell r="X564">
            <v>2</v>
          </cell>
          <cell r="Y564">
            <v>0</v>
          </cell>
        </row>
        <row r="565">
          <cell r="B565" t="str">
            <v>TWX1018</v>
          </cell>
          <cell r="G565" t="str">
            <v>Installed</v>
          </cell>
          <cell r="W565" t="str">
            <v>Y</v>
          </cell>
          <cell r="X565">
            <v>1</v>
          </cell>
          <cell r="Y565">
            <v>0</v>
          </cell>
        </row>
        <row r="566">
          <cell r="B566" t="str">
            <v>TWX1018</v>
          </cell>
          <cell r="G566" t="str">
            <v>Installed</v>
          </cell>
          <cell r="W566" t="str">
            <v>N</v>
          </cell>
          <cell r="X566">
            <v>6</v>
          </cell>
          <cell r="Y566">
            <v>0</v>
          </cell>
        </row>
        <row r="567">
          <cell r="B567" t="str">
            <v>TWX1018</v>
          </cell>
          <cell r="G567" t="str">
            <v>Installed</v>
          </cell>
          <cell r="W567" t="str">
            <v>Y</v>
          </cell>
          <cell r="X567">
            <v>1</v>
          </cell>
          <cell r="Y567">
            <v>0</v>
          </cell>
        </row>
        <row r="568">
          <cell r="B568" t="str">
            <v>TWX1018</v>
          </cell>
          <cell r="G568" t="str">
            <v>Installed</v>
          </cell>
          <cell r="W568" t="str">
            <v>Y</v>
          </cell>
          <cell r="X568">
            <v>1</v>
          </cell>
          <cell r="Y568">
            <v>0</v>
          </cell>
        </row>
        <row r="569">
          <cell r="B569" t="str">
            <v>TWX1018</v>
          </cell>
          <cell r="G569" t="str">
            <v>Installed</v>
          </cell>
          <cell r="W569" t="str">
            <v>Y</v>
          </cell>
          <cell r="X569">
            <v>1</v>
          </cell>
          <cell r="Y569">
            <v>0</v>
          </cell>
        </row>
        <row r="570">
          <cell r="B570" t="str">
            <v>TWX1018</v>
          </cell>
          <cell r="G570" t="str">
            <v>Installed</v>
          </cell>
          <cell r="W570" t="str">
            <v>N</v>
          </cell>
          <cell r="X570">
            <v>8</v>
          </cell>
          <cell r="Y570">
            <v>0</v>
          </cell>
        </row>
        <row r="571">
          <cell r="B571" t="str">
            <v>TWX1018</v>
          </cell>
          <cell r="G571" t="str">
            <v>Installed</v>
          </cell>
          <cell r="W571" t="str">
            <v>Y</v>
          </cell>
          <cell r="X571">
            <v>7</v>
          </cell>
          <cell r="Y571">
            <v>0</v>
          </cell>
        </row>
        <row r="572">
          <cell r="B572" t="str">
            <v>TWX1018</v>
          </cell>
          <cell r="G572" t="str">
            <v>Installed</v>
          </cell>
          <cell r="W572" t="str">
            <v>N</v>
          </cell>
          <cell r="X572">
            <v>1</v>
          </cell>
          <cell r="Y572">
            <v>0</v>
          </cell>
        </row>
        <row r="573">
          <cell r="B573" t="str">
            <v>TWX1018</v>
          </cell>
          <cell r="G573" t="str">
            <v>Installed</v>
          </cell>
          <cell r="W573" t="str">
            <v>N</v>
          </cell>
          <cell r="X573">
            <v>1</v>
          </cell>
          <cell r="Y573">
            <v>0</v>
          </cell>
        </row>
        <row r="574">
          <cell r="B574" t="str">
            <v>TWX1018</v>
          </cell>
          <cell r="G574" t="str">
            <v>Installed</v>
          </cell>
          <cell r="W574" t="str">
            <v>Y</v>
          </cell>
          <cell r="X574">
            <v>1</v>
          </cell>
          <cell r="Y574">
            <v>0</v>
          </cell>
        </row>
        <row r="575">
          <cell r="B575" t="str">
            <v>TWX1018</v>
          </cell>
          <cell r="G575" t="str">
            <v>Installed</v>
          </cell>
          <cell r="W575" t="str">
            <v>Y</v>
          </cell>
          <cell r="X575">
            <v>12</v>
          </cell>
          <cell r="Y575">
            <v>0</v>
          </cell>
        </row>
        <row r="576">
          <cell r="B576" t="str">
            <v>TWX1018</v>
          </cell>
          <cell r="G576" t="str">
            <v>Removed</v>
          </cell>
          <cell r="W576" t="str">
            <v>Y</v>
          </cell>
          <cell r="X576">
            <v>1</v>
          </cell>
          <cell r="Y576">
            <v>0</v>
          </cell>
        </row>
        <row r="577">
          <cell r="B577" t="str">
            <v>TWX1018</v>
          </cell>
          <cell r="G577" t="str">
            <v>Removed</v>
          </cell>
          <cell r="W577" t="str">
            <v>Y</v>
          </cell>
          <cell r="X577">
            <v>1</v>
          </cell>
          <cell r="Y577">
            <v>0</v>
          </cell>
        </row>
        <row r="578">
          <cell r="B578" t="str">
            <v>TWX1018</v>
          </cell>
          <cell r="G578" t="str">
            <v>Installed</v>
          </cell>
          <cell r="W578" t="str">
            <v>Y</v>
          </cell>
          <cell r="X578">
            <v>4</v>
          </cell>
          <cell r="Y578">
            <v>0</v>
          </cell>
        </row>
        <row r="579">
          <cell r="B579" t="str">
            <v>TDL2016</v>
          </cell>
          <cell r="G579" t="str">
            <v>Installed</v>
          </cell>
          <cell r="W579" t="str">
            <v>Y</v>
          </cell>
          <cell r="X579">
            <v>0</v>
          </cell>
          <cell r="Y579">
            <v>15</v>
          </cell>
        </row>
        <row r="580">
          <cell r="B580" t="str">
            <v>TKE1019</v>
          </cell>
          <cell r="G580" t="str">
            <v>Installed</v>
          </cell>
          <cell r="W580" t="str">
            <v>N</v>
          </cell>
          <cell r="X580">
            <v>2</v>
          </cell>
          <cell r="Y580">
            <v>0</v>
          </cell>
        </row>
        <row r="581">
          <cell r="B581" t="str">
            <v>TKE1019</v>
          </cell>
          <cell r="G581" t="str">
            <v>Installed</v>
          </cell>
          <cell r="W581" t="str">
            <v>N</v>
          </cell>
          <cell r="X581">
            <v>2</v>
          </cell>
          <cell r="Y581">
            <v>0</v>
          </cell>
        </row>
        <row r="582">
          <cell r="B582" t="str">
            <v>TKE1019</v>
          </cell>
          <cell r="G582" t="str">
            <v>Installed</v>
          </cell>
          <cell r="W582" t="str">
            <v>N</v>
          </cell>
          <cell r="X582">
            <v>4</v>
          </cell>
          <cell r="Y582">
            <v>0</v>
          </cell>
        </row>
        <row r="583">
          <cell r="B583" t="str">
            <v>TKE1019</v>
          </cell>
          <cell r="G583" t="str">
            <v>Installed</v>
          </cell>
          <cell r="W583" t="str">
            <v>N</v>
          </cell>
          <cell r="X583">
            <v>2</v>
          </cell>
          <cell r="Y583">
            <v>0</v>
          </cell>
        </row>
        <row r="584">
          <cell r="B584" t="str">
            <v>TKE1019</v>
          </cell>
          <cell r="G584" t="str">
            <v>Installed</v>
          </cell>
          <cell r="W584" t="str">
            <v>N</v>
          </cell>
          <cell r="X584">
            <v>2</v>
          </cell>
          <cell r="Y584">
            <v>0</v>
          </cell>
        </row>
        <row r="585">
          <cell r="B585" t="str">
            <v>TKE1019</v>
          </cell>
          <cell r="G585" t="str">
            <v>Removed</v>
          </cell>
          <cell r="W585" t="str">
            <v>Y</v>
          </cell>
          <cell r="X585">
            <v>1</v>
          </cell>
          <cell r="Y585">
            <v>0</v>
          </cell>
        </row>
        <row r="586">
          <cell r="B586" t="str">
            <v>TKE1019</v>
          </cell>
          <cell r="G586" t="str">
            <v>Installed</v>
          </cell>
          <cell r="W586" t="str">
            <v>Y</v>
          </cell>
          <cell r="X586">
            <v>2</v>
          </cell>
          <cell r="Y586">
            <v>0</v>
          </cell>
        </row>
        <row r="587">
          <cell r="B587" t="str">
            <v>TKE1019</v>
          </cell>
          <cell r="G587" t="str">
            <v>Installed</v>
          </cell>
          <cell r="W587" t="str">
            <v>Y</v>
          </cell>
          <cell r="X587">
            <v>2</v>
          </cell>
          <cell r="Y587">
            <v>0</v>
          </cell>
        </row>
        <row r="588">
          <cell r="B588" t="str">
            <v>TKE1019</v>
          </cell>
          <cell r="G588" t="str">
            <v>Removed</v>
          </cell>
          <cell r="W588" t="str">
            <v>Y</v>
          </cell>
          <cell r="X588">
            <v>2</v>
          </cell>
          <cell r="Y588">
            <v>0</v>
          </cell>
        </row>
        <row r="589">
          <cell r="B589" t="str">
            <v>TKE1019</v>
          </cell>
          <cell r="G589" t="str">
            <v>Installed</v>
          </cell>
          <cell r="W589" t="str">
            <v>Y</v>
          </cell>
          <cell r="X589">
            <v>2</v>
          </cell>
          <cell r="Y589">
            <v>0</v>
          </cell>
        </row>
        <row r="590">
          <cell r="B590" t="str">
            <v>TKE1019</v>
          </cell>
          <cell r="G590" t="str">
            <v>Installed</v>
          </cell>
          <cell r="W590" t="str">
            <v>N</v>
          </cell>
          <cell r="X590">
            <v>8</v>
          </cell>
          <cell r="Y590">
            <v>0</v>
          </cell>
        </row>
        <row r="591">
          <cell r="B591" t="str">
            <v>TKE1019</v>
          </cell>
          <cell r="G591" t="str">
            <v>Installed</v>
          </cell>
          <cell r="W591" t="str">
            <v>Y</v>
          </cell>
          <cell r="X591">
            <v>1</v>
          </cell>
          <cell r="Y591">
            <v>0</v>
          </cell>
        </row>
        <row r="592">
          <cell r="B592" t="str">
            <v>TKE1019</v>
          </cell>
          <cell r="G592" t="str">
            <v>Installed</v>
          </cell>
          <cell r="W592" t="str">
            <v>Y</v>
          </cell>
          <cell r="X592">
            <v>1</v>
          </cell>
          <cell r="Y592">
            <v>0</v>
          </cell>
        </row>
        <row r="593">
          <cell r="B593" t="str">
            <v>TKE1019</v>
          </cell>
          <cell r="G593" t="str">
            <v>Installed</v>
          </cell>
          <cell r="W593" t="str">
            <v>Y</v>
          </cell>
          <cell r="X593">
            <v>1</v>
          </cell>
          <cell r="Y593">
            <v>0</v>
          </cell>
        </row>
        <row r="594">
          <cell r="B594" t="str">
            <v>TKE1019</v>
          </cell>
          <cell r="G594" t="str">
            <v>Installed</v>
          </cell>
          <cell r="W594" t="str">
            <v>Y</v>
          </cell>
          <cell r="X594">
            <v>2</v>
          </cell>
          <cell r="Y594">
            <v>0</v>
          </cell>
        </row>
        <row r="595">
          <cell r="B595" t="str">
            <v>TKE1019</v>
          </cell>
          <cell r="G595" t="str">
            <v>Removed</v>
          </cell>
          <cell r="W595" t="str">
            <v>Y</v>
          </cell>
          <cell r="X595">
            <v>1</v>
          </cell>
          <cell r="Y595">
            <v>0</v>
          </cell>
        </row>
        <row r="596">
          <cell r="B596" t="str">
            <v>TKE1019</v>
          </cell>
          <cell r="G596" t="str">
            <v>Removed</v>
          </cell>
          <cell r="W596" t="str">
            <v>Y</v>
          </cell>
          <cell r="X596">
            <v>2</v>
          </cell>
          <cell r="Y596">
            <v>0</v>
          </cell>
        </row>
        <row r="597">
          <cell r="B597" t="str">
            <v>TKE1019</v>
          </cell>
          <cell r="G597" t="str">
            <v>Removed</v>
          </cell>
          <cell r="W597" t="str">
            <v>Y</v>
          </cell>
          <cell r="X597">
            <v>0</v>
          </cell>
          <cell r="Y597">
            <v>0</v>
          </cell>
        </row>
        <row r="598">
          <cell r="B598" t="str">
            <v>TKE1019</v>
          </cell>
          <cell r="G598" t="str">
            <v>Removed</v>
          </cell>
          <cell r="W598" t="str">
            <v>Y</v>
          </cell>
          <cell r="X598">
            <v>0</v>
          </cell>
          <cell r="Y598">
            <v>0</v>
          </cell>
        </row>
        <row r="599">
          <cell r="B599" t="str">
            <v>TKE1019</v>
          </cell>
          <cell r="G599" t="str">
            <v>Removed</v>
          </cell>
          <cell r="W599" t="str">
            <v>Y</v>
          </cell>
          <cell r="X599">
            <v>0</v>
          </cell>
          <cell r="Y599">
            <v>0</v>
          </cell>
        </row>
        <row r="600">
          <cell r="B600" t="str">
            <v>TKE1019</v>
          </cell>
          <cell r="G600" t="str">
            <v>Removed</v>
          </cell>
          <cell r="W600" t="str">
            <v>Y</v>
          </cell>
          <cell r="X600">
            <v>0</v>
          </cell>
          <cell r="Y600">
            <v>0</v>
          </cell>
        </row>
        <row r="601">
          <cell r="B601" t="str">
            <v>TKE1019</v>
          </cell>
          <cell r="G601" t="str">
            <v>Removed</v>
          </cell>
          <cell r="W601" t="str">
            <v>Y</v>
          </cell>
          <cell r="X601">
            <v>0</v>
          </cell>
          <cell r="Y601">
            <v>0</v>
          </cell>
        </row>
        <row r="602">
          <cell r="B602" t="str">
            <v>TKE1019</v>
          </cell>
          <cell r="G602" t="str">
            <v>Removed</v>
          </cell>
          <cell r="W602" t="str">
            <v>Y</v>
          </cell>
          <cell r="X602">
            <v>0</v>
          </cell>
          <cell r="Y602">
            <v>0</v>
          </cell>
        </row>
        <row r="603">
          <cell r="B603" t="str">
            <v>TKE1019</v>
          </cell>
          <cell r="G603" t="str">
            <v>Removed</v>
          </cell>
          <cell r="W603" t="str">
            <v>Y</v>
          </cell>
          <cell r="X603">
            <v>0</v>
          </cell>
          <cell r="Y603">
            <v>0</v>
          </cell>
        </row>
        <row r="604">
          <cell r="B604" t="str">
            <v>TKE1019</v>
          </cell>
          <cell r="G604" t="str">
            <v>Removed</v>
          </cell>
          <cell r="W604" t="str">
            <v>Y</v>
          </cell>
          <cell r="X604">
            <v>0</v>
          </cell>
          <cell r="Y604">
            <v>0</v>
          </cell>
        </row>
        <row r="605">
          <cell r="B605" t="str">
            <v>TKE1019</v>
          </cell>
          <cell r="G605" t="str">
            <v>Removed</v>
          </cell>
          <cell r="W605" t="str">
            <v>Y</v>
          </cell>
          <cell r="X605">
            <v>0</v>
          </cell>
          <cell r="Y605">
            <v>0</v>
          </cell>
        </row>
        <row r="606">
          <cell r="B606" t="str">
            <v>TKE1019</v>
          </cell>
          <cell r="G606" t="str">
            <v>Installed</v>
          </cell>
          <cell r="W606" t="str">
            <v>N</v>
          </cell>
          <cell r="X606">
            <v>6</v>
          </cell>
          <cell r="Y606">
            <v>0</v>
          </cell>
        </row>
        <row r="607">
          <cell r="B607" t="str">
            <v>TKE1019</v>
          </cell>
          <cell r="G607" t="str">
            <v>Installed</v>
          </cell>
          <cell r="W607" t="str">
            <v>Y</v>
          </cell>
          <cell r="X607">
            <v>1</v>
          </cell>
          <cell r="Y607">
            <v>0</v>
          </cell>
        </row>
        <row r="608">
          <cell r="B608" t="str">
            <v>TKE1019</v>
          </cell>
          <cell r="G608" t="str">
            <v>Installed</v>
          </cell>
          <cell r="W608" t="str">
            <v>Y</v>
          </cell>
          <cell r="X608">
            <v>1</v>
          </cell>
          <cell r="Y608">
            <v>0</v>
          </cell>
        </row>
        <row r="609">
          <cell r="B609" t="str">
            <v>TKE1019</v>
          </cell>
          <cell r="G609" t="str">
            <v>Installed</v>
          </cell>
          <cell r="W609" t="str">
            <v>Y</v>
          </cell>
          <cell r="X609">
            <v>3</v>
          </cell>
          <cell r="Y609">
            <v>0</v>
          </cell>
        </row>
        <row r="610">
          <cell r="B610" t="str">
            <v>TKE1019</v>
          </cell>
          <cell r="G610" t="str">
            <v>Installed</v>
          </cell>
          <cell r="W610" t="str">
            <v>Y</v>
          </cell>
          <cell r="X610">
            <v>10</v>
          </cell>
          <cell r="Y610">
            <v>0</v>
          </cell>
        </row>
        <row r="611">
          <cell r="B611" t="str">
            <v>TKE1019</v>
          </cell>
          <cell r="G611" t="str">
            <v>Installed</v>
          </cell>
          <cell r="W611" t="str">
            <v>Y</v>
          </cell>
          <cell r="X611">
            <v>2</v>
          </cell>
          <cell r="Y611">
            <v>0</v>
          </cell>
        </row>
        <row r="612">
          <cell r="B612" t="str">
            <v>TKE1019</v>
          </cell>
          <cell r="G612" t="str">
            <v>Installed</v>
          </cell>
          <cell r="W612" t="str">
            <v>Y</v>
          </cell>
          <cell r="X612">
            <v>3</v>
          </cell>
          <cell r="Y612">
            <v>0</v>
          </cell>
        </row>
        <row r="613">
          <cell r="B613" t="str">
            <v>TKE1019</v>
          </cell>
          <cell r="G613" t="str">
            <v>Installed</v>
          </cell>
          <cell r="W613" t="str">
            <v>N</v>
          </cell>
          <cell r="X613">
            <v>1</v>
          </cell>
          <cell r="Y613">
            <v>0</v>
          </cell>
        </row>
        <row r="614">
          <cell r="B614" t="str">
            <v>TKE1019</v>
          </cell>
          <cell r="G614" t="str">
            <v>Installed</v>
          </cell>
          <cell r="W614" t="str">
            <v>Y</v>
          </cell>
          <cell r="X614">
            <v>2</v>
          </cell>
          <cell r="Y614">
            <v>0</v>
          </cell>
        </row>
        <row r="615">
          <cell r="B615" t="str">
            <v>TKE1019</v>
          </cell>
          <cell r="G615" t="str">
            <v>Removed</v>
          </cell>
          <cell r="W615" t="str">
            <v>Y</v>
          </cell>
          <cell r="X615">
            <v>5</v>
          </cell>
          <cell r="Y615">
            <v>0</v>
          </cell>
        </row>
        <row r="616">
          <cell r="B616" t="str">
            <v>TKE1019</v>
          </cell>
          <cell r="G616" t="str">
            <v>Removed</v>
          </cell>
          <cell r="W616" t="str">
            <v>Y</v>
          </cell>
          <cell r="X616">
            <v>5</v>
          </cell>
          <cell r="Y616">
            <v>0</v>
          </cell>
        </row>
        <row r="617">
          <cell r="B617" t="str">
            <v>TKE1019</v>
          </cell>
          <cell r="G617" t="str">
            <v>Removed</v>
          </cell>
          <cell r="W617" t="str">
            <v>Y</v>
          </cell>
          <cell r="X617">
            <v>1</v>
          </cell>
          <cell r="Y617">
            <v>0</v>
          </cell>
        </row>
        <row r="618">
          <cell r="B618" t="str">
            <v>TKE1019</v>
          </cell>
          <cell r="G618" t="str">
            <v>Removed</v>
          </cell>
          <cell r="W618" t="str">
            <v>Y</v>
          </cell>
          <cell r="X618">
            <v>0</v>
          </cell>
          <cell r="Y618">
            <v>0</v>
          </cell>
        </row>
        <row r="619">
          <cell r="B619" t="str">
            <v>TKE1019</v>
          </cell>
          <cell r="G619" t="str">
            <v>Installed</v>
          </cell>
          <cell r="W619" t="str">
            <v>Y</v>
          </cell>
          <cell r="X619">
            <v>1</v>
          </cell>
          <cell r="Y619">
            <v>0</v>
          </cell>
        </row>
        <row r="620">
          <cell r="B620" t="str">
            <v>TKE1019</v>
          </cell>
          <cell r="G620" t="str">
            <v>Installed</v>
          </cell>
          <cell r="W620" t="str">
            <v>Y</v>
          </cell>
          <cell r="X620">
            <v>1</v>
          </cell>
          <cell r="Y620">
            <v>0</v>
          </cell>
        </row>
        <row r="621">
          <cell r="B621" t="str">
            <v>TCE3006</v>
          </cell>
          <cell r="G621" t="str">
            <v>Installed</v>
          </cell>
          <cell r="W621" t="str">
            <v>Y</v>
          </cell>
          <cell r="X621">
            <v>0</v>
          </cell>
          <cell r="Y621">
            <v>5</v>
          </cell>
        </row>
        <row r="622">
          <cell r="B622" t="str">
            <v>TMH1020</v>
          </cell>
          <cell r="G622" t="str">
            <v>Installed</v>
          </cell>
          <cell r="W622" t="str">
            <v>N</v>
          </cell>
          <cell r="X622">
            <v>8</v>
          </cell>
          <cell r="Y622">
            <v>0</v>
          </cell>
        </row>
        <row r="623">
          <cell r="B623" t="str">
            <v>TMH1020</v>
          </cell>
          <cell r="G623" t="str">
            <v>Installed</v>
          </cell>
          <cell r="W623" t="str">
            <v>N</v>
          </cell>
          <cell r="X623">
            <v>3</v>
          </cell>
          <cell r="Y623">
            <v>0</v>
          </cell>
        </row>
        <row r="624">
          <cell r="B624" t="str">
            <v>TMH1020</v>
          </cell>
          <cell r="G624" t="str">
            <v>Removed</v>
          </cell>
          <cell r="W624" t="str">
            <v>Y</v>
          </cell>
          <cell r="X624">
            <v>2</v>
          </cell>
          <cell r="Y624">
            <v>0</v>
          </cell>
        </row>
        <row r="625">
          <cell r="B625" t="str">
            <v>TMH1020</v>
          </cell>
          <cell r="G625" t="str">
            <v>Removed</v>
          </cell>
          <cell r="W625" t="str">
            <v>Y</v>
          </cell>
          <cell r="X625">
            <v>1</v>
          </cell>
          <cell r="Y625">
            <v>0</v>
          </cell>
        </row>
        <row r="626">
          <cell r="B626" t="str">
            <v>TMH1020</v>
          </cell>
          <cell r="G626" t="str">
            <v>Removed</v>
          </cell>
          <cell r="W626" t="str">
            <v>Y</v>
          </cell>
          <cell r="X626">
            <v>1</v>
          </cell>
          <cell r="Y626">
            <v>0</v>
          </cell>
        </row>
        <row r="627">
          <cell r="B627" t="str">
            <v>TMH1020</v>
          </cell>
          <cell r="G627" t="str">
            <v>Removed</v>
          </cell>
          <cell r="W627" t="str">
            <v>Y</v>
          </cell>
          <cell r="X627">
            <v>1</v>
          </cell>
          <cell r="Y627">
            <v>0</v>
          </cell>
        </row>
        <row r="628">
          <cell r="B628" t="str">
            <v>TMH1020</v>
          </cell>
          <cell r="G628" t="str">
            <v>Removed</v>
          </cell>
          <cell r="W628" t="str">
            <v>Y</v>
          </cell>
          <cell r="X628">
            <v>1</v>
          </cell>
          <cell r="Y628">
            <v>0</v>
          </cell>
        </row>
        <row r="629">
          <cell r="B629" t="str">
            <v>TMH1020</v>
          </cell>
          <cell r="G629" t="str">
            <v>Removed</v>
          </cell>
          <cell r="W629" t="str">
            <v>Y</v>
          </cell>
          <cell r="X629">
            <v>1</v>
          </cell>
          <cell r="Y629">
            <v>0</v>
          </cell>
        </row>
        <row r="630">
          <cell r="B630" t="str">
            <v>TMH1020</v>
          </cell>
          <cell r="G630" t="str">
            <v>Removed</v>
          </cell>
          <cell r="W630" t="str">
            <v>Y</v>
          </cell>
          <cell r="X630">
            <v>1</v>
          </cell>
          <cell r="Y630">
            <v>0</v>
          </cell>
        </row>
        <row r="631">
          <cell r="B631" t="str">
            <v>TMH1020</v>
          </cell>
          <cell r="G631" t="str">
            <v>Removed</v>
          </cell>
          <cell r="W631" t="str">
            <v>Y</v>
          </cell>
          <cell r="X631">
            <v>2</v>
          </cell>
          <cell r="Y631">
            <v>0</v>
          </cell>
        </row>
        <row r="632">
          <cell r="B632" t="str">
            <v>TMH1020</v>
          </cell>
          <cell r="G632" t="str">
            <v>Installed</v>
          </cell>
          <cell r="W632" t="str">
            <v>Y</v>
          </cell>
          <cell r="X632">
            <v>1</v>
          </cell>
          <cell r="Y632">
            <v>0</v>
          </cell>
        </row>
        <row r="633">
          <cell r="B633" t="str">
            <v>TMH1020</v>
          </cell>
          <cell r="G633" t="str">
            <v>Removed</v>
          </cell>
          <cell r="W633" t="str">
            <v>Y</v>
          </cell>
          <cell r="X633">
            <v>1</v>
          </cell>
          <cell r="Y633">
            <v>0</v>
          </cell>
        </row>
        <row r="634">
          <cell r="B634" t="str">
            <v>TMH1020</v>
          </cell>
          <cell r="G634" t="str">
            <v>Installed</v>
          </cell>
          <cell r="W634" t="str">
            <v>Y</v>
          </cell>
          <cell r="X634">
            <v>2</v>
          </cell>
          <cell r="Y634">
            <v>0</v>
          </cell>
        </row>
        <row r="635">
          <cell r="B635" t="str">
            <v>TMH1020</v>
          </cell>
          <cell r="G635" t="str">
            <v>Installed</v>
          </cell>
          <cell r="W635" t="str">
            <v>Y</v>
          </cell>
          <cell r="X635">
            <v>2</v>
          </cell>
          <cell r="Y635">
            <v>0</v>
          </cell>
        </row>
        <row r="636">
          <cell r="B636" t="str">
            <v>TMH1020</v>
          </cell>
          <cell r="G636" t="str">
            <v>Removed</v>
          </cell>
          <cell r="W636" t="str">
            <v>Y</v>
          </cell>
          <cell r="X636">
            <v>1</v>
          </cell>
          <cell r="Y636">
            <v>0</v>
          </cell>
        </row>
        <row r="637">
          <cell r="B637" t="str">
            <v>TMH1020</v>
          </cell>
          <cell r="G637" t="str">
            <v>Removed</v>
          </cell>
          <cell r="W637" t="str">
            <v>Y</v>
          </cell>
          <cell r="X637">
            <v>1</v>
          </cell>
          <cell r="Y637">
            <v>0</v>
          </cell>
        </row>
        <row r="638">
          <cell r="B638" t="str">
            <v>TMH1020</v>
          </cell>
          <cell r="G638" t="str">
            <v>Installed</v>
          </cell>
          <cell r="W638" t="str">
            <v>Y</v>
          </cell>
          <cell r="X638">
            <v>1</v>
          </cell>
          <cell r="Y638">
            <v>0</v>
          </cell>
        </row>
        <row r="639">
          <cell r="B639" t="str">
            <v>TMH1020</v>
          </cell>
          <cell r="G639" t="str">
            <v>Installed</v>
          </cell>
          <cell r="W639" t="str">
            <v>Y</v>
          </cell>
          <cell r="X639">
            <v>1</v>
          </cell>
          <cell r="Y639">
            <v>0</v>
          </cell>
        </row>
        <row r="640">
          <cell r="B640" t="str">
            <v>TMH1020</v>
          </cell>
          <cell r="G640" t="str">
            <v>Installed</v>
          </cell>
          <cell r="W640" t="str">
            <v>Y</v>
          </cell>
          <cell r="X640">
            <v>1</v>
          </cell>
          <cell r="Y640">
            <v>0</v>
          </cell>
        </row>
        <row r="641">
          <cell r="B641" t="str">
            <v>TMH1020</v>
          </cell>
          <cell r="G641" t="str">
            <v>Installed</v>
          </cell>
          <cell r="W641" t="str">
            <v>N</v>
          </cell>
          <cell r="X641">
            <v>6</v>
          </cell>
          <cell r="Y641">
            <v>0</v>
          </cell>
        </row>
        <row r="642">
          <cell r="B642" t="str">
            <v>TMH1020</v>
          </cell>
          <cell r="G642" t="str">
            <v>Installed</v>
          </cell>
          <cell r="W642" t="str">
            <v>N</v>
          </cell>
          <cell r="X642">
            <v>3</v>
          </cell>
          <cell r="Y642">
            <v>0</v>
          </cell>
        </row>
        <row r="643">
          <cell r="B643" t="str">
            <v>TMH1020</v>
          </cell>
          <cell r="G643" t="str">
            <v>Installed</v>
          </cell>
          <cell r="W643" t="str">
            <v>Y</v>
          </cell>
          <cell r="X643">
            <v>1</v>
          </cell>
          <cell r="Y643">
            <v>0</v>
          </cell>
        </row>
        <row r="644">
          <cell r="B644" t="str">
            <v>TMH1020</v>
          </cell>
          <cell r="G644" t="str">
            <v>Installed</v>
          </cell>
          <cell r="W644" t="str">
            <v>Y</v>
          </cell>
          <cell r="X644">
            <v>1</v>
          </cell>
          <cell r="Y644">
            <v>0</v>
          </cell>
        </row>
        <row r="645">
          <cell r="B645" t="str">
            <v>TMH1020</v>
          </cell>
          <cell r="G645" t="str">
            <v>Removed</v>
          </cell>
          <cell r="W645" t="str">
            <v>N</v>
          </cell>
          <cell r="X645">
            <v>2</v>
          </cell>
          <cell r="Y645">
            <v>0</v>
          </cell>
        </row>
        <row r="646">
          <cell r="B646" t="str">
            <v>TMH1020</v>
          </cell>
          <cell r="G646" t="str">
            <v>Removed</v>
          </cell>
          <cell r="W646" t="str">
            <v>N</v>
          </cell>
          <cell r="X646">
            <v>2</v>
          </cell>
          <cell r="Y646">
            <v>0</v>
          </cell>
        </row>
        <row r="647">
          <cell r="B647" t="str">
            <v>TMH1020</v>
          </cell>
          <cell r="G647" t="str">
            <v>Installed</v>
          </cell>
          <cell r="W647" t="str">
            <v>Y</v>
          </cell>
          <cell r="X647">
            <v>1</v>
          </cell>
          <cell r="Y647">
            <v>0</v>
          </cell>
        </row>
        <row r="648">
          <cell r="B648" t="str">
            <v>TMH1020</v>
          </cell>
          <cell r="G648" t="str">
            <v>Installed</v>
          </cell>
          <cell r="W648" t="str">
            <v>N</v>
          </cell>
          <cell r="X648">
            <v>4</v>
          </cell>
          <cell r="Y648">
            <v>0</v>
          </cell>
        </row>
        <row r="649">
          <cell r="B649" t="str">
            <v>TMH1020</v>
          </cell>
          <cell r="G649" t="str">
            <v>Installed</v>
          </cell>
          <cell r="W649" t="str">
            <v>Y</v>
          </cell>
          <cell r="X649">
            <v>1</v>
          </cell>
          <cell r="Y649">
            <v>0</v>
          </cell>
        </row>
        <row r="650">
          <cell r="B650" t="str">
            <v>TMH1020</v>
          </cell>
          <cell r="G650" t="str">
            <v>Installed</v>
          </cell>
          <cell r="W650" t="str">
            <v>Y</v>
          </cell>
          <cell r="X650">
            <v>0</v>
          </cell>
          <cell r="Y650">
            <v>0</v>
          </cell>
        </row>
        <row r="651">
          <cell r="B651" t="str">
            <v>TMH1020</v>
          </cell>
          <cell r="G651" t="str">
            <v>Installed</v>
          </cell>
          <cell r="W651" t="str">
            <v>Y</v>
          </cell>
          <cell r="X651">
            <v>1</v>
          </cell>
          <cell r="Y651">
            <v>0</v>
          </cell>
        </row>
        <row r="652">
          <cell r="B652" t="str">
            <v>TMH1020</v>
          </cell>
          <cell r="G652" t="str">
            <v>Installed</v>
          </cell>
          <cell r="W652" t="str">
            <v>Y</v>
          </cell>
          <cell r="X652">
            <v>0</v>
          </cell>
          <cell r="Y652">
            <v>0</v>
          </cell>
        </row>
        <row r="653">
          <cell r="B653" t="str">
            <v>TMH1020</v>
          </cell>
          <cell r="G653" t="str">
            <v>Installed</v>
          </cell>
          <cell r="W653" t="str">
            <v>Y</v>
          </cell>
          <cell r="X653">
            <v>3</v>
          </cell>
          <cell r="Y653">
            <v>0</v>
          </cell>
        </row>
        <row r="654">
          <cell r="B654" t="str">
            <v>TMH1020</v>
          </cell>
          <cell r="G654" t="str">
            <v>Installed</v>
          </cell>
          <cell r="W654" t="str">
            <v>Y</v>
          </cell>
          <cell r="X654">
            <v>0</v>
          </cell>
          <cell r="Y654">
            <v>0</v>
          </cell>
        </row>
        <row r="655">
          <cell r="B655" t="str">
            <v>TMH1020</v>
          </cell>
          <cell r="G655" t="str">
            <v>Installed</v>
          </cell>
          <cell r="W655" t="str">
            <v>Y</v>
          </cell>
          <cell r="X655">
            <v>1</v>
          </cell>
          <cell r="Y655">
            <v>0</v>
          </cell>
        </row>
        <row r="656">
          <cell r="B656" t="str">
            <v>TMH1020</v>
          </cell>
          <cell r="G656" t="str">
            <v>Installed</v>
          </cell>
          <cell r="W656" t="str">
            <v>N</v>
          </cell>
          <cell r="X656">
            <v>6</v>
          </cell>
          <cell r="Y656">
            <v>0</v>
          </cell>
        </row>
        <row r="657">
          <cell r="B657" t="str">
            <v>TMH1020</v>
          </cell>
          <cell r="G657" t="str">
            <v>Removed</v>
          </cell>
          <cell r="W657" t="str">
            <v>Y</v>
          </cell>
          <cell r="X657">
            <v>2</v>
          </cell>
          <cell r="Y657">
            <v>0</v>
          </cell>
        </row>
        <row r="658">
          <cell r="B658" t="str">
            <v>TMH1020</v>
          </cell>
          <cell r="G658" t="str">
            <v>Removed</v>
          </cell>
          <cell r="W658" t="str">
            <v>Y</v>
          </cell>
          <cell r="X658">
            <v>1</v>
          </cell>
          <cell r="Y658">
            <v>0</v>
          </cell>
        </row>
        <row r="659">
          <cell r="B659" t="str">
            <v>TMH1020</v>
          </cell>
          <cell r="G659" t="str">
            <v>Removed</v>
          </cell>
          <cell r="W659" t="str">
            <v>Y</v>
          </cell>
          <cell r="X659">
            <v>1</v>
          </cell>
          <cell r="Y659">
            <v>0</v>
          </cell>
        </row>
        <row r="660">
          <cell r="B660" t="str">
            <v>TMH1020</v>
          </cell>
          <cell r="G660" t="str">
            <v>Installed</v>
          </cell>
          <cell r="W660" t="str">
            <v>Y</v>
          </cell>
          <cell r="X660">
            <v>4</v>
          </cell>
          <cell r="Y660">
            <v>0</v>
          </cell>
        </row>
        <row r="661">
          <cell r="B661" t="str">
            <v>TMH1020</v>
          </cell>
          <cell r="G661" t="str">
            <v>Installed</v>
          </cell>
          <cell r="W661" t="str">
            <v>Y</v>
          </cell>
          <cell r="X661">
            <v>12</v>
          </cell>
          <cell r="Y661">
            <v>0</v>
          </cell>
        </row>
        <row r="662">
          <cell r="B662" t="str">
            <v>TMH1020</v>
          </cell>
          <cell r="G662" t="str">
            <v>Installed</v>
          </cell>
          <cell r="W662" t="str">
            <v>Y</v>
          </cell>
          <cell r="X662">
            <v>2</v>
          </cell>
          <cell r="Y662">
            <v>0</v>
          </cell>
        </row>
        <row r="663">
          <cell r="B663" t="str">
            <v>TMH1020</v>
          </cell>
          <cell r="G663" t="str">
            <v>Installed</v>
          </cell>
          <cell r="W663" t="str">
            <v>Y</v>
          </cell>
          <cell r="X663">
            <v>5</v>
          </cell>
          <cell r="Y663">
            <v>0</v>
          </cell>
        </row>
        <row r="664">
          <cell r="B664" t="str">
            <v>TMH1020</v>
          </cell>
          <cell r="G664" t="str">
            <v>Installed</v>
          </cell>
          <cell r="W664" t="str">
            <v>Y</v>
          </cell>
          <cell r="X664">
            <v>1</v>
          </cell>
          <cell r="Y664">
            <v>0</v>
          </cell>
        </row>
        <row r="665">
          <cell r="B665" t="str">
            <v>TMH1020</v>
          </cell>
          <cell r="G665" t="str">
            <v>Installed</v>
          </cell>
          <cell r="W665" t="str">
            <v>N</v>
          </cell>
          <cell r="X665">
            <v>4</v>
          </cell>
          <cell r="Y665">
            <v>0</v>
          </cell>
        </row>
        <row r="666">
          <cell r="B666" t="str">
            <v>TMH1020</v>
          </cell>
          <cell r="G666" t="str">
            <v>Installed</v>
          </cell>
          <cell r="W666" t="str">
            <v>Y</v>
          </cell>
          <cell r="X666">
            <v>15</v>
          </cell>
          <cell r="Y666">
            <v>0</v>
          </cell>
        </row>
        <row r="667">
          <cell r="B667" t="str">
            <v>TTP1021</v>
          </cell>
          <cell r="G667" t="str">
            <v>Installed</v>
          </cell>
          <cell r="W667" t="str">
            <v>N</v>
          </cell>
          <cell r="X667">
            <v>5</v>
          </cell>
          <cell r="Y667">
            <v>0</v>
          </cell>
        </row>
        <row r="668">
          <cell r="B668" t="str">
            <v>TTP1021</v>
          </cell>
          <cell r="G668" t="str">
            <v>Installed</v>
          </cell>
          <cell r="W668" t="str">
            <v>N</v>
          </cell>
          <cell r="X668">
            <v>12</v>
          </cell>
          <cell r="Y668">
            <v>0</v>
          </cell>
        </row>
        <row r="669">
          <cell r="B669" t="str">
            <v>TTP1021</v>
          </cell>
          <cell r="G669" t="str">
            <v>Installed</v>
          </cell>
          <cell r="W669" t="str">
            <v>N</v>
          </cell>
          <cell r="X669">
            <v>2</v>
          </cell>
          <cell r="Y669">
            <v>0</v>
          </cell>
        </row>
        <row r="670">
          <cell r="B670" t="str">
            <v>TTP1021</v>
          </cell>
          <cell r="G670" t="str">
            <v>Installed</v>
          </cell>
          <cell r="W670" t="str">
            <v>N</v>
          </cell>
          <cell r="X670">
            <v>2</v>
          </cell>
          <cell r="Y670">
            <v>0</v>
          </cell>
        </row>
        <row r="671">
          <cell r="B671" t="str">
            <v>TTP1021</v>
          </cell>
          <cell r="G671" t="str">
            <v>Installed</v>
          </cell>
          <cell r="W671" t="str">
            <v>N</v>
          </cell>
          <cell r="X671">
            <v>3</v>
          </cell>
          <cell r="Y671">
            <v>0</v>
          </cell>
        </row>
        <row r="672">
          <cell r="B672" t="str">
            <v>TTP1021</v>
          </cell>
          <cell r="G672" t="str">
            <v>Installed</v>
          </cell>
          <cell r="W672" t="str">
            <v>Y</v>
          </cell>
          <cell r="X672">
            <v>1</v>
          </cell>
          <cell r="Y672">
            <v>0</v>
          </cell>
        </row>
        <row r="673">
          <cell r="B673" t="str">
            <v>TTP1021</v>
          </cell>
          <cell r="G673" t="str">
            <v>Installed</v>
          </cell>
          <cell r="W673" t="str">
            <v>Y</v>
          </cell>
          <cell r="X673">
            <v>1</v>
          </cell>
          <cell r="Y673">
            <v>0</v>
          </cell>
        </row>
        <row r="674">
          <cell r="B674" t="str">
            <v>TTP1021</v>
          </cell>
          <cell r="G674" t="str">
            <v>Installed</v>
          </cell>
          <cell r="W674" t="str">
            <v>Y</v>
          </cell>
          <cell r="X674">
            <v>1</v>
          </cell>
          <cell r="Y674">
            <v>0</v>
          </cell>
        </row>
        <row r="675">
          <cell r="B675" t="str">
            <v>TTP1021</v>
          </cell>
          <cell r="G675" t="str">
            <v>Removed</v>
          </cell>
          <cell r="W675" t="str">
            <v>Y</v>
          </cell>
          <cell r="X675">
            <v>1</v>
          </cell>
          <cell r="Y675">
            <v>0</v>
          </cell>
        </row>
        <row r="676">
          <cell r="B676" t="str">
            <v>TTP1021</v>
          </cell>
          <cell r="G676" t="str">
            <v>Installed</v>
          </cell>
          <cell r="W676" t="str">
            <v>Y</v>
          </cell>
          <cell r="X676">
            <v>2</v>
          </cell>
          <cell r="Y676">
            <v>0</v>
          </cell>
        </row>
        <row r="677">
          <cell r="B677" t="str">
            <v>TTP1021</v>
          </cell>
          <cell r="G677" t="str">
            <v>Removed</v>
          </cell>
          <cell r="W677" t="str">
            <v>Y</v>
          </cell>
          <cell r="X677">
            <v>1</v>
          </cell>
          <cell r="Y677">
            <v>0</v>
          </cell>
        </row>
        <row r="678">
          <cell r="B678" t="str">
            <v>TTP1021</v>
          </cell>
          <cell r="G678" t="str">
            <v>Installed</v>
          </cell>
          <cell r="W678" t="str">
            <v>N</v>
          </cell>
          <cell r="X678">
            <v>1</v>
          </cell>
          <cell r="Y678">
            <v>0</v>
          </cell>
        </row>
        <row r="679">
          <cell r="B679" t="str">
            <v>TTP1021</v>
          </cell>
          <cell r="G679" t="str">
            <v>Installed</v>
          </cell>
          <cell r="W679" t="str">
            <v>Y</v>
          </cell>
          <cell r="X679">
            <v>1</v>
          </cell>
          <cell r="Y679">
            <v>0</v>
          </cell>
        </row>
        <row r="680">
          <cell r="B680" t="str">
            <v>TTP1021</v>
          </cell>
          <cell r="G680" t="str">
            <v>Removed</v>
          </cell>
          <cell r="W680" t="str">
            <v>Y</v>
          </cell>
          <cell r="X680">
            <v>2</v>
          </cell>
          <cell r="Y680">
            <v>0</v>
          </cell>
        </row>
        <row r="681">
          <cell r="B681" t="str">
            <v>TTP1021</v>
          </cell>
          <cell r="G681" t="str">
            <v>Removed</v>
          </cell>
          <cell r="W681" t="str">
            <v>Y</v>
          </cell>
          <cell r="X681">
            <v>2</v>
          </cell>
          <cell r="Y681">
            <v>0</v>
          </cell>
        </row>
        <row r="682">
          <cell r="B682" t="str">
            <v>TTP1021</v>
          </cell>
          <cell r="G682" t="str">
            <v>Installed</v>
          </cell>
          <cell r="W682" t="str">
            <v>N</v>
          </cell>
          <cell r="X682">
            <v>2</v>
          </cell>
          <cell r="Y682">
            <v>0</v>
          </cell>
        </row>
        <row r="683">
          <cell r="B683" t="str">
            <v>TTP1021</v>
          </cell>
          <cell r="G683" t="str">
            <v>Installed</v>
          </cell>
          <cell r="W683" t="str">
            <v>Y</v>
          </cell>
          <cell r="X683">
            <v>2</v>
          </cell>
          <cell r="Y683">
            <v>0</v>
          </cell>
        </row>
        <row r="684">
          <cell r="B684" t="str">
            <v>TTP1021</v>
          </cell>
          <cell r="G684" t="str">
            <v>Installed</v>
          </cell>
          <cell r="W684" t="str">
            <v>Y</v>
          </cell>
          <cell r="X684">
            <v>2</v>
          </cell>
          <cell r="Y684">
            <v>0</v>
          </cell>
        </row>
        <row r="685">
          <cell r="B685" t="str">
            <v>TTP1021</v>
          </cell>
          <cell r="G685" t="str">
            <v>Installed</v>
          </cell>
          <cell r="W685" t="str">
            <v>Y</v>
          </cell>
          <cell r="X685">
            <v>0</v>
          </cell>
          <cell r="Y685">
            <v>0</v>
          </cell>
        </row>
        <row r="686">
          <cell r="B686" t="str">
            <v>TTP1021</v>
          </cell>
          <cell r="G686" t="str">
            <v>Installed</v>
          </cell>
          <cell r="W686" t="str">
            <v>Y</v>
          </cell>
          <cell r="X686">
            <v>0</v>
          </cell>
          <cell r="Y686">
            <v>0</v>
          </cell>
        </row>
        <row r="687">
          <cell r="B687" t="str">
            <v>TTP1021</v>
          </cell>
          <cell r="G687" t="str">
            <v>Installed</v>
          </cell>
          <cell r="W687" t="str">
            <v>Y</v>
          </cell>
          <cell r="X687">
            <v>0</v>
          </cell>
          <cell r="Y687">
            <v>0</v>
          </cell>
        </row>
        <row r="688">
          <cell r="B688" t="str">
            <v>TTP1021</v>
          </cell>
          <cell r="G688" t="str">
            <v>Installed</v>
          </cell>
          <cell r="W688" t="str">
            <v>Y</v>
          </cell>
          <cell r="X688">
            <v>0</v>
          </cell>
          <cell r="Y688">
            <v>0</v>
          </cell>
        </row>
        <row r="689">
          <cell r="B689" t="str">
            <v>TTP1021</v>
          </cell>
          <cell r="G689" t="str">
            <v>Installed</v>
          </cell>
          <cell r="W689" t="str">
            <v>Y</v>
          </cell>
          <cell r="X689">
            <v>0</v>
          </cell>
          <cell r="Y689">
            <v>0</v>
          </cell>
        </row>
        <row r="690">
          <cell r="B690" t="str">
            <v>TTP1021</v>
          </cell>
          <cell r="G690" t="str">
            <v>Installed</v>
          </cell>
          <cell r="W690" t="str">
            <v>Y</v>
          </cell>
          <cell r="X690">
            <v>1</v>
          </cell>
          <cell r="Y690">
            <v>0</v>
          </cell>
        </row>
        <row r="691">
          <cell r="B691" t="str">
            <v>TTP1021</v>
          </cell>
          <cell r="G691" t="str">
            <v>Installed</v>
          </cell>
          <cell r="W691" t="str">
            <v>Y</v>
          </cell>
          <cell r="X691">
            <v>0</v>
          </cell>
          <cell r="Y691">
            <v>0</v>
          </cell>
        </row>
        <row r="692">
          <cell r="B692" t="str">
            <v>TTP1021</v>
          </cell>
          <cell r="G692" t="str">
            <v>Installed</v>
          </cell>
          <cell r="W692" t="str">
            <v>Y</v>
          </cell>
          <cell r="X692">
            <v>0</v>
          </cell>
          <cell r="Y692">
            <v>0</v>
          </cell>
        </row>
        <row r="693">
          <cell r="B693" t="str">
            <v>TTP1021</v>
          </cell>
          <cell r="G693" t="str">
            <v>Installed</v>
          </cell>
          <cell r="W693" t="str">
            <v>Y</v>
          </cell>
          <cell r="X693">
            <v>0</v>
          </cell>
          <cell r="Y693">
            <v>0</v>
          </cell>
        </row>
        <row r="694">
          <cell r="B694" t="str">
            <v>TTP1021</v>
          </cell>
          <cell r="G694" t="str">
            <v>Installed</v>
          </cell>
          <cell r="W694" t="str">
            <v>N</v>
          </cell>
          <cell r="X694">
            <v>3</v>
          </cell>
          <cell r="Y694">
            <v>0</v>
          </cell>
        </row>
        <row r="695">
          <cell r="B695" t="str">
            <v>TTP1021</v>
          </cell>
          <cell r="G695" t="str">
            <v>Installed</v>
          </cell>
          <cell r="W695" t="str">
            <v>Y</v>
          </cell>
          <cell r="X695">
            <v>1</v>
          </cell>
          <cell r="Y695">
            <v>0</v>
          </cell>
        </row>
        <row r="696">
          <cell r="B696" t="str">
            <v>TTP1021</v>
          </cell>
          <cell r="G696" t="str">
            <v>Installed</v>
          </cell>
          <cell r="W696" t="str">
            <v>N</v>
          </cell>
          <cell r="X696">
            <v>2</v>
          </cell>
          <cell r="Y696">
            <v>0</v>
          </cell>
        </row>
        <row r="697">
          <cell r="B697" t="str">
            <v>TTP1021</v>
          </cell>
          <cell r="G697" t="str">
            <v>Installed</v>
          </cell>
          <cell r="W697" t="str">
            <v>N</v>
          </cell>
          <cell r="X697">
            <v>6</v>
          </cell>
          <cell r="Y697">
            <v>0</v>
          </cell>
        </row>
        <row r="698">
          <cell r="B698" t="str">
            <v>TTP1021</v>
          </cell>
          <cell r="G698" t="str">
            <v>Removed</v>
          </cell>
          <cell r="W698" t="str">
            <v>Y</v>
          </cell>
          <cell r="X698">
            <v>6</v>
          </cell>
          <cell r="Y698">
            <v>0</v>
          </cell>
        </row>
        <row r="699">
          <cell r="B699" t="str">
            <v>TTP1021</v>
          </cell>
          <cell r="G699" t="str">
            <v>Removed</v>
          </cell>
          <cell r="W699" t="str">
            <v>Y</v>
          </cell>
          <cell r="X699">
            <v>6</v>
          </cell>
          <cell r="Y699">
            <v>0</v>
          </cell>
        </row>
        <row r="700">
          <cell r="B700" t="str">
            <v>TTP1021</v>
          </cell>
          <cell r="G700" t="str">
            <v>Removed</v>
          </cell>
          <cell r="W700" t="str">
            <v>Y</v>
          </cell>
          <cell r="X700">
            <v>1</v>
          </cell>
          <cell r="Y700">
            <v>0</v>
          </cell>
        </row>
        <row r="701">
          <cell r="B701" t="str">
            <v>TTP1021</v>
          </cell>
          <cell r="G701" t="str">
            <v>Installed</v>
          </cell>
          <cell r="W701" t="str">
            <v>Y</v>
          </cell>
          <cell r="X701">
            <v>1</v>
          </cell>
          <cell r="Y701">
            <v>0</v>
          </cell>
        </row>
        <row r="702">
          <cell r="B702" t="str">
            <v>TTP1021</v>
          </cell>
          <cell r="G702" t="str">
            <v>Installed</v>
          </cell>
          <cell r="W702" t="str">
            <v>N</v>
          </cell>
          <cell r="X702">
            <v>2</v>
          </cell>
          <cell r="Y702">
            <v>0</v>
          </cell>
        </row>
        <row r="703">
          <cell r="B703" t="str">
            <v>TTP1021</v>
          </cell>
          <cell r="G703" t="str">
            <v>Installed</v>
          </cell>
          <cell r="W703" t="str">
            <v>Y</v>
          </cell>
          <cell r="X703">
            <v>3</v>
          </cell>
          <cell r="Y703">
            <v>0</v>
          </cell>
        </row>
        <row r="704">
          <cell r="B704" t="str">
            <v>TTP1021</v>
          </cell>
          <cell r="G704" t="str">
            <v>Installed</v>
          </cell>
          <cell r="W704" t="str">
            <v>Y</v>
          </cell>
          <cell r="X704">
            <v>12</v>
          </cell>
          <cell r="Y704">
            <v>0</v>
          </cell>
        </row>
        <row r="705">
          <cell r="B705" t="str">
            <v>TTP1021</v>
          </cell>
          <cell r="G705" t="str">
            <v>Installed</v>
          </cell>
          <cell r="W705" t="str">
            <v>N</v>
          </cell>
          <cell r="X705">
            <v>2</v>
          </cell>
          <cell r="Y705">
            <v>0</v>
          </cell>
        </row>
        <row r="706">
          <cell r="B706" t="str">
            <v>TTP1021</v>
          </cell>
          <cell r="G706" t="str">
            <v>Installed</v>
          </cell>
          <cell r="W706" t="str">
            <v>Y</v>
          </cell>
          <cell r="X706">
            <v>2</v>
          </cell>
          <cell r="Y706">
            <v>0</v>
          </cell>
        </row>
        <row r="707">
          <cell r="B707" t="str">
            <v>TTP1021</v>
          </cell>
          <cell r="G707" t="str">
            <v>Installed</v>
          </cell>
          <cell r="W707" t="str">
            <v>Y</v>
          </cell>
          <cell r="X707">
            <v>0</v>
          </cell>
          <cell r="Y707">
            <v>3</v>
          </cell>
        </row>
        <row r="708">
          <cell r="B708" t="str">
            <v>TTP1021</v>
          </cell>
          <cell r="G708" t="str">
            <v>Installed</v>
          </cell>
          <cell r="W708" t="str">
            <v>Y</v>
          </cell>
          <cell r="X708">
            <v>2</v>
          </cell>
          <cell r="Y708">
            <v>0</v>
          </cell>
        </row>
        <row r="709">
          <cell r="B709" t="str">
            <v>TKY1022</v>
          </cell>
          <cell r="G709" t="str">
            <v>Installed</v>
          </cell>
          <cell r="W709" t="str">
            <v>N</v>
          </cell>
          <cell r="X709">
            <v>10</v>
          </cell>
          <cell r="Y709">
            <v>0</v>
          </cell>
        </row>
        <row r="710">
          <cell r="B710" t="str">
            <v>TKY1022</v>
          </cell>
          <cell r="G710" t="str">
            <v>Installed</v>
          </cell>
          <cell r="W710" t="str">
            <v>Y</v>
          </cell>
          <cell r="X710">
            <v>2</v>
          </cell>
          <cell r="Y710">
            <v>0</v>
          </cell>
        </row>
        <row r="711">
          <cell r="B711" t="str">
            <v>TKY1022</v>
          </cell>
          <cell r="G711" t="str">
            <v>Installed</v>
          </cell>
          <cell r="W711" t="str">
            <v>Y</v>
          </cell>
          <cell r="X711">
            <v>3</v>
          </cell>
          <cell r="Y711">
            <v>0</v>
          </cell>
        </row>
        <row r="712">
          <cell r="B712" t="str">
            <v>TKY1022</v>
          </cell>
          <cell r="G712" t="str">
            <v>Installed</v>
          </cell>
          <cell r="W712" t="str">
            <v>Y</v>
          </cell>
          <cell r="X712">
            <v>1</v>
          </cell>
          <cell r="Y712">
            <v>0</v>
          </cell>
        </row>
        <row r="713">
          <cell r="B713" t="str">
            <v>TKY1022</v>
          </cell>
          <cell r="G713" t="str">
            <v>Installed</v>
          </cell>
          <cell r="W713" t="str">
            <v>Y</v>
          </cell>
          <cell r="X713">
            <v>1</v>
          </cell>
          <cell r="Y713">
            <v>0</v>
          </cell>
        </row>
        <row r="714">
          <cell r="B714" t="str">
            <v>TKY1022</v>
          </cell>
          <cell r="G714" t="str">
            <v>Installed</v>
          </cell>
          <cell r="W714" t="str">
            <v>Y</v>
          </cell>
          <cell r="X714">
            <v>1</v>
          </cell>
          <cell r="Y714">
            <v>0</v>
          </cell>
        </row>
        <row r="715">
          <cell r="B715" t="str">
            <v>TKY1022</v>
          </cell>
          <cell r="G715" t="str">
            <v>Removed</v>
          </cell>
          <cell r="W715" t="str">
            <v>Y</v>
          </cell>
          <cell r="X715">
            <v>1</v>
          </cell>
          <cell r="Y715">
            <v>0</v>
          </cell>
        </row>
        <row r="716">
          <cell r="B716" t="str">
            <v>TKY1022</v>
          </cell>
          <cell r="G716" t="str">
            <v>Installed</v>
          </cell>
          <cell r="W716" t="str">
            <v>Y</v>
          </cell>
          <cell r="X716">
            <v>1</v>
          </cell>
          <cell r="Y716">
            <v>0</v>
          </cell>
        </row>
        <row r="717">
          <cell r="B717" t="str">
            <v>TKY1022</v>
          </cell>
          <cell r="G717" t="str">
            <v>Installed</v>
          </cell>
          <cell r="W717" t="str">
            <v>Y</v>
          </cell>
          <cell r="X717">
            <v>1</v>
          </cell>
          <cell r="Y717">
            <v>0</v>
          </cell>
        </row>
        <row r="718">
          <cell r="B718" t="str">
            <v>TKY1022</v>
          </cell>
          <cell r="G718" t="str">
            <v>Installed</v>
          </cell>
          <cell r="W718" t="str">
            <v>Y</v>
          </cell>
          <cell r="X718">
            <v>1</v>
          </cell>
          <cell r="Y718">
            <v>0</v>
          </cell>
        </row>
        <row r="719">
          <cell r="B719" t="str">
            <v>TKY1022</v>
          </cell>
          <cell r="G719" t="str">
            <v>Installed</v>
          </cell>
          <cell r="W719" t="str">
            <v>Y</v>
          </cell>
          <cell r="X719">
            <v>2</v>
          </cell>
          <cell r="Y719">
            <v>0</v>
          </cell>
        </row>
        <row r="720">
          <cell r="B720" t="str">
            <v>TKY1022</v>
          </cell>
          <cell r="G720" t="str">
            <v>Removed</v>
          </cell>
          <cell r="W720" t="str">
            <v>Y</v>
          </cell>
          <cell r="X720">
            <v>1</v>
          </cell>
          <cell r="Y720">
            <v>0</v>
          </cell>
        </row>
        <row r="721">
          <cell r="B721" t="str">
            <v>TKY1022</v>
          </cell>
          <cell r="G721" t="str">
            <v>Installed</v>
          </cell>
          <cell r="W721" t="str">
            <v>Y</v>
          </cell>
          <cell r="X721">
            <v>1</v>
          </cell>
          <cell r="Y721">
            <v>0</v>
          </cell>
        </row>
        <row r="722">
          <cell r="B722" t="str">
            <v>TKY1022</v>
          </cell>
          <cell r="G722" t="str">
            <v>Installed</v>
          </cell>
          <cell r="W722" t="str">
            <v>Y</v>
          </cell>
          <cell r="X722">
            <v>1</v>
          </cell>
          <cell r="Y722">
            <v>0</v>
          </cell>
        </row>
        <row r="723">
          <cell r="B723" t="str">
            <v>TKY1022</v>
          </cell>
          <cell r="G723" t="str">
            <v>Installed</v>
          </cell>
          <cell r="W723" t="str">
            <v>N</v>
          </cell>
          <cell r="X723">
            <v>1</v>
          </cell>
          <cell r="Y723">
            <v>0</v>
          </cell>
        </row>
        <row r="724">
          <cell r="B724" t="str">
            <v>TKY1022</v>
          </cell>
          <cell r="G724" t="str">
            <v>Installed</v>
          </cell>
          <cell r="W724" t="str">
            <v>N</v>
          </cell>
          <cell r="X724">
            <v>4</v>
          </cell>
          <cell r="Y724">
            <v>0</v>
          </cell>
        </row>
        <row r="725">
          <cell r="B725" t="str">
            <v>TKY1022</v>
          </cell>
          <cell r="G725" t="str">
            <v>Installed</v>
          </cell>
          <cell r="W725" t="str">
            <v>Y</v>
          </cell>
          <cell r="X725">
            <v>1</v>
          </cell>
          <cell r="Y725">
            <v>0</v>
          </cell>
        </row>
        <row r="726">
          <cell r="B726" t="str">
            <v>TKY1022</v>
          </cell>
          <cell r="G726" t="str">
            <v>Installed</v>
          </cell>
          <cell r="W726" t="str">
            <v>Y</v>
          </cell>
          <cell r="X726">
            <v>5</v>
          </cell>
          <cell r="Y726">
            <v>0</v>
          </cell>
        </row>
        <row r="727">
          <cell r="B727" t="str">
            <v>TKY1022</v>
          </cell>
          <cell r="G727" t="str">
            <v>Removed</v>
          </cell>
          <cell r="W727" t="str">
            <v>Y</v>
          </cell>
          <cell r="X727">
            <v>4</v>
          </cell>
          <cell r="Y727">
            <v>0</v>
          </cell>
        </row>
        <row r="728">
          <cell r="B728" t="str">
            <v>TKY1022</v>
          </cell>
          <cell r="G728" t="str">
            <v>Removed</v>
          </cell>
          <cell r="W728" t="str">
            <v>Y</v>
          </cell>
          <cell r="X728">
            <v>4</v>
          </cell>
          <cell r="Y728">
            <v>0</v>
          </cell>
        </row>
        <row r="729">
          <cell r="B729" t="str">
            <v>TKY1022</v>
          </cell>
          <cell r="G729" t="str">
            <v>Installed</v>
          </cell>
          <cell r="W729" t="str">
            <v>Y</v>
          </cell>
          <cell r="X729">
            <v>3</v>
          </cell>
          <cell r="Y729">
            <v>0</v>
          </cell>
        </row>
        <row r="730">
          <cell r="B730" t="str">
            <v>TKY1022</v>
          </cell>
          <cell r="G730" t="str">
            <v>Installed</v>
          </cell>
          <cell r="W730" t="str">
            <v>Y</v>
          </cell>
          <cell r="X730">
            <v>2</v>
          </cell>
          <cell r="Y730">
            <v>0</v>
          </cell>
        </row>
        <row r="731">
          <cell r="B731" t="str">
            <v>TKY1022</v>
          </cell>
          <cell r="G731" t="str">
            <v>Installed</v>
          </cell>
          <cell r="W731" t="str">
            <v>Y</v>
          </cell>
          <cell r="X731">
            <v>15</v>
          </cell>
          <cell r="Y731">
            <v>0</v>
          </cell>
        </row>
        <row r="732">
          <cell r="B732" t="str">
            <v>TKY1022</v>
          </cell>
          <cell r="G732" t="str">
            <v>Installed</v>
          </cell>
          <cell r="W732" t="str">
            <v>Y</v>
          </cell>
          <cell r="X732">
            <v>2</v>
          </cell>
          <cell r="Y732">
            <v>0</v>
          </cell>
        </row>
        <row r="733">
          <cell r="B733" t="str">
            <v>TKY1022</v>
          </cell>
          <cell r="G733" t="str">
            <v>Installed</v>
          </cell>
          <cell r="W733" t="str">
            <v>Y</v>
          </cell>
          <cell r="X733">
            <v>2</v>
          </cell>
          <cell r="Y733">
            <v>0</v>
          </cell>
        </row>
        <row r="734">
          <cell r="B734" t="str">
            <v>TKY1022</v>
          </cell>
          <cell r="G734" t="str">
            <v>Installed</v>
          </cell>
          <cell r="W734" t="str">
            <v>Y</v>
          </cell>
          <cell r="X734">
            <v>1</v>
          </cell>
          <cell r="Y734">
            <v>0</v>
          </cell>
        </row>
        <row r="735">
          <cell r="B735" t="str">
            <v>TKY1022</v>
          </cell>
          <cell r="G735" t="str">
            <v>Installed</v>
          </cell>
          <cell r="W735" t="str">
            <v>N</v>
          </cell>
          <cell r="X735">
            <v>1</v>
          </cell>
          <cell r="Y735">
            <v>0</v>
          </cell>
        </row>
        <row r="736">
          <cell r="B736" t="str">
            <v>TKY1022</v>
          </cell>
          <cell r="G736" t="str">
            <v>Installed</v>
          </cell>
          <cell r="W736" t="str">
            <v>N</v>
          </cell>
          <cell r="X736">
            <v>1</v>
          </cell>
          <cell r="Y736">
            <v>0</v>
          </cell>
        </row>
        <row r="737">
          <cell r="B737" t="str">
            <v>TKY1022</v>
          </cell>
          <cell r="G737" t="str">
            <v>Installed</v>
          </cell>
          <cell r="W737" t="str">
            <v>N</v>
          </cell>
          <cell r="X737">
            <v>7</v>
          </cell>
          <cell r="Y737">
            <v>0</v>
          </cell>
        </row>
        <row r="738">
          <cell r="B738" t="str">
            <v>TKY1022</v>
          </cell>
          <cell r="G738" t="str">
            <v>Installed</v>
          </cell>
          <cell r="W738" t="str">
            <v>Y</v>
          </cell>
          <cell r="X738">
            <v>0</v>
          </cell>
          <cell r="Y738">
            <v>34</v>
          </cell>
        </row>
        <row r="739">
          <cell r="B739" t="str">
            <v>TKY1022</v>
          </cell>
          <cell r="G739" t="str">
            <v>Installed</v>
          </cell>
          <cell r="W739" t="str">
            <v>Y</v>
          </cell>
          <cell r="X739">
            <v>24</v>
          </cell>
          <cell r="Y739">
            <v>0</v>
          </cell>
        </row>
        <row r="740">
          <cell r="B740" t="str">
            <v>TMO1023</v>
          </cell>
          <cell r="G740" t="str">
            <v>Installed</v>
          </cell>
          <cell r="W740" t="str">
            <v>N</v>
          </cell>
          <cell r="X740">
            <v>3</v>
          </cell>
          <cell r="Y740">
            <v>0</v>
          </cell>
        </row>
        <row r="741">
          <cell r="B741" t="str">
            <v>TMO1023</v>
          </cell>
          <cell r="G741" t="str">
            <v>Installed</v>
          </cell>
          <cell r="W741" t="str">
            <v>N</v>
          </cell>
          <cell r="X741">
            <v>3</v>
          </cell>
          <cell r="Y741">
            <v>0</v>
          </cell>
        </row>
        <row r="742">
          <cell r="B742" t="str">
            <v>TMO1023</v>
          </cell>
          <cell r="G742" t="str">
            <v>Installed</v>
          </cell>
          <cell r="W742" t="str">
            <v>N</v>
          </cell>
          <cell r="X742">
            <v>1</v>
          </cell>
          <cell r="Y742">
            <v>0</v>
          </cell>
        </row>
        <row r="743">
          <cell r="B743" t="str">
            <v>TMO1023</v>
          </cell>
          <cell r="G743" t="str">
            <v>Removed</v>
          </cell>
          <cell r="W743" t="str">
            <v>Y</v>
          </cell>
          <cell r="X743">
            <v>1</v>
          </cell>
          <cell r="Y743">
            <v>0</v>
          </cell>
        </row>
        <row r="744">
          <cell r="B744" t="str">
            <v>TMO1023</v>
          </cell>
          <cell r="G744" t="str">
            <v>Removed</v>
          </cell>
          <cell r="W744" t="str">
            <v>Y</v>
          </cell>
          <cell r="X744">
            <v>1</v>
          </cell>
          <cell r="Y744">
            <v>0</v>
          </cell>
        </row>
        <row r="745">
          <cell r="B745" t="str">
            <v>TMO1023</v>
          </cell>
          <cell r="G745" t="str">
            <v>Removed</v>
          </cell>
          <cell r="W745" t="str">
            <v>Y</v>
          </cell>
          <cell r="X745">
            <v>2</v>
          </cell>
          <cell r="Y745">
            <v>0</v>
          </cell>
        </row>
        <row r="746">
          <cell r="B746" t="str">
            <v>TMO1023</v>
          </cell>
          <cell r="G746" t="str">
            <v>Removed</v>
          </cell>
          <cell r="W746" t="str">
            <v>Y</v>
          </cell>
          <cell r="X746">
            <v>2</v>
          </cell>
          <cell r="Y746">
            <v>0</v>
          </cell>
        </row>
        <row r="747">
          <cell r="B747" t="str">
            <v>TMO1023</v>
          </cell>
          <cell r="G747" t="str">
            <v>Removed</v>
          </cell>
          <cell r="W747" t="str">
            <v>Y</v>
          </cell>
          <cell r="X747">
            <v>2</v>
          </cell>
          <cell r="Y747">
            <v>0</v>
          </cell>
        </row>
        <row r="748">
          <cell r="B748" t="str">
            <v>TMO1023</v>
          </cell>
          <cell r="G748" t="str">
            <v>Installed</v>
          </cell>
          <cell r="W748" t="str">
            <v>Y</v>
          </cell>
          <cell r="X748">
            <v>1</v>
          </cell>
          <cell r="Y748">
            <v>0</v>
          </cell>
        </row>
        <row r="749">
          <cell r="B749" t="str">
            <v>TMO1023</v>
          </cell>
          <cell r="G749" t="str">
            <v>Installed</v>
          </cell>
          <cell r="W749" t="str">
            <v>Y</v>
          </cell>
          <cell r="X749">
            <v>1</v>
          </cell>
          <cell r="Y749">
            <v>0</v>
          </cell>
        </row>
        <row r="750">
          <cell r="B750" t="str">
            <v>TMO1023</v>
          </cell>
          <cell r="G750" t="str">
            <v>Installed</v>
          </cell>
          <cell r="W750" t="str">
            <v>Y</v>
          </cell>
          <cell r="X750">
            <v>1</v>
          </cell>
          <cell r="Y750">
            <v>0</v>
          </cell>
        </row>
        <row r="751">
          <cell r="B751" t="str">
            <v>TMO1023</v>
          </cell>
          <cell r="G751" t="str">
            <v>Removed</v>
          </cell>
          <cell r="W751" t="str">
            <v>Y</v>
          </cell>
          <cell r="X751">
            <v>1</v>
          </cell>
          <cell r="Y751">
            <v>0</v>
          </cell>
        </row>
        <row r="752">
          <cell r="B752" t="str">
            <v>TMO1023</v>
          </cell>
          <cell r="G752" t="str">
            <v>Removed</v>
          </cell>
          <cell r="W752" t="str">
            <v>Y</v>
          </cell>
          <cell r="X752">
            <v>1</v>
          </cell>
          <cell r="Y752">
            <v>0</v>
          </cell>
        </row>
        <row r="753">
          <cell r="B753" t="str">
            <v>TMO1023</v>
          </cell>
          <cell r="G753" t="str">
            <v>Removed</v>
          </cell>
          <cell r="W753" t="str">
            <v>Y</v>
          </cell>
          <cell r="X753">
            <v>1</v>
          </cell>
          <cell r="Y753">
            <v>0</v>
          </cell>
        </row>
        <row r="754">
          <cell r="B754" t="str">
            <v>TMO1023</v>
          </cell>
          <cell r="G754" t="str">
            <v>Installed</v>
          </cell>
          <cell r="W754" t="str">
            <v>Y</v>
          </cell>
          <cell r="X754">
            <v>2</v>
          </cell>
          <cell r="Y754">
            <v>0</v>
          </cell>
        </row>
        <row r="755">
          <cell r="B755" t="str">
            <v>TMO1023</v>
          </cell>
          <cell r="G755" t="str">
            <v>Installed</v>
          </cell>
          <cell r="W755" t="str">
            <v>Y</v>
          </cell>
          <cell r="X755">
            <v>1</v>
          </cell>
          <cell r="Y755">
            <v>0</v>
          </cell>
        </row>
        <row r="756">
          <cell r="B756" t="str">
            <v>TMO1023</v>
          </cell>
          <cell r="G756" t="str">
            <v>Installed</v>
          </cell>
          <cell r="W756" t="str">
            <v>Y</v>
          </cell>
          <cell r="X756">
            <v>1</v>
          </cell>
          <cell r="Y756">
            <v>0</v>
          </cell>
        </row>
        <row r="757">
          <cell r="B757" t="str">
            <v>TMO1023</v>
          </cell>
          <cell r="G757" t="str">
            <v>Installed</v>
          </cell>
          <cell r="W757" t="str">
            <v>Y</v>
          </cell>
          <cell r="X757">
            <v>1</v>
          </cell>
          <cell r="Y757">
            <v>0</v>
          </cell>
        </row>
        <row r="758">
          <cell r="B758" t="str">
            <v>TMO1023</v>
          </cell>
          <cell r="G758" t="str">
            <v>Removed</v>
          </cell>
          <cell r="W758" t="str">
            <v>Y</v>
          </cell>
          <cell r="X758">
            <v>1</v>
          </cell>
          <cell r="Y758">
            <v>0</v>
          </cell>
        </row>
        <row r="759">
          <cell r="B759" t="str">
            <v>TMO1023</v>
          </cell>
          <cell r="G759" t="str">
            <v>Removed</v>
          </cell>
          <cell r="W759" t="str">
            <v>Y</v>
          </cell>
          <cell r="X759">
            <v>0</v>
          </cell>
          <cell r="Y759">
            <v>0</v>
          </cell>
        </row>
        <row r="760">
          <cell r="B760" t="str">
            <v>TMO1023</v>
          </cell>
          <cell r="G760" t="str">
            <v>Removed</v>
          </cell>
          <cell r="W760" t="str">
            <v>Y</v>
          </cell>
          <cell r="X760">
            <v>0</v>
          </cell>
          <cell r="Y760">
            <v>0</v>
          </cell>
        </row>
        <row r="761">
          <cell r="B761" t="str">
            <v>TMO1023</v>
          </cell>
          <cell r="G761" t="str">
            <v>Removed</v>
          </cell>
          <cell r="W761" t="str">
            <v>Y</v>
          </cell>
          <cell r="X761">
            <v>0</v>
          </cell>
          <cell r="Y761">
            <v>0</v>
          </cell>
        </row>
        <row r="762">
          <cell r="B762" t="str">
            <v>TMO1023</v>
          </cell>
          <cell r="G762" t="str">
            <v>Removed</v>
          </cell>
          <cell r="W762" t="str">
            <v>Y</v>
          </cell>
          <cell r="X762">
            <v>0</v>
          </cell>
          <cell r="Y762">
            <v>0</v>
          </cell>
        </row>
        <row r="763">
          <cell r="B763" t="str">
            <v>TMO1023</v>
          </cell>
          <cell r="G763" t="str">
            <v>Removed</v>
          </cell>
          <cell r="W763" t="str">
            <v>Y</v>
          </cell>
          <cell r="X763">
            <v>0</v>
          </cell>
          <cell r="Y763">
            <v>0</v>
          </cell>
        </row>
        <row r="764">
          <cell r="B764" t="str">
            <v>TMO1023</v>
          </cell>
          <cell r="G764" t="str">
            <v>Removed</v>
          </cell>
          <cell r="W764" t="str">
            <v>Y</v>
          </cell>
          <cell r="X764">
            <v>0</v>
          </cell>
          <cell r="Y764">
            <v>0</v>
          </cell>
        </row>
        <row r="765">
          <cell r="B765" t="str">
            <v>TMO1023</v>
          </cell>
          <cell r="G765" t="str">
            <v>Removed</v>
          </cell>
          <cell r="W765" t="str">
            <v>Y</v>
          </cell>
          <cell r="X765">
            <v>0</v>
          </cell>
          <cell r="Y765">
            <v>0</v>
          </cell>
        </row>
        <row r="766">
          <cell r="B766" t="str">
            <v>TMO1023</v>
          </cell>
          <cell r="G766" t="str">
            <v>Installed</v>
          </cell>
          <cell r="W766" t="str">
            <v>Y</v>
          </cell>
          <cell r="X766">
            <v>2</v>
          </cell>
          <cell r="Y766">
            <v>0</v>
          </cell>
        </row>
        <row r="767">
          <cell r="B767" t="str">
            <v>TMO1023</v>
          </cell>
          <cell r="G767" t="str">
            <v>Installed</v>
          </cell>
          <cell r="W767" t="str">
            <v>Y</v>
          </cell>
          <cell r="X767">
            <v>1</v>
          </cell>
          <cell r="Y767">
            <v>0</v>
          </cell>
        </row>
        <row r="768">
          <cell r="B768" t="str">
            <v>TMO1023</v>
          </cell>
          <cell r="G768" t="str">
            <v>Installed</v>
          </cell>
          <cell r="W768" t="str">
            <v>N</v>
          </cell>
          <cell r="X768">
            <v>2</v>
          </cell>
          <cell r="Y768">
            <v>0</v>
          </cell>
        </row>
        <row r="769">
          <cell r="B769" t="str">
            <v>TMO1023</v>
          </cell>
          <cell r="G769" t="str">
            <v>Installed</v>
          </cell>
          <cell r="W769" t="str">
            <v>N</v>
          </cell>
          <cell r="X769">
            <v>6</v>
          </cell>
          <cell r="Y769">
            <v>0</v>
          </cell>
        </row>
        <row r="770">
          <cell r="B770" t="str">
            <v>TMO1023</v>
          </cell>
          <cell r="G770" t="str">
            <v>Installed</v>
          </cell>
          <cell r="W770" t="str">
            <v>N</v>
          </cell>
          <cell r="X770">
            <v>1</v>
          </cell>
          <cell r="Y770">
            <v>0</v>
          </cell>
        </row>
        <row r="771">
          <cell r="B771" t="str">
            <v>TMO1023</v>
          </cell>
          <cell r="G771" t="str">
            <v>Installed</v>
          </cell>
          <cell r="W771" t="str">
            <v>Y</v>
          </cell>
          <cell r="X771">
            <v>1</v>
          </cell>
          <cell r="Y771">
            <v>0</v>
          </cell>
        </row>
        <row r="772">
          <cell r="B772" t="str">
            <v>TMO1023</v>
          </cell>
          <cell r="G772" t="str">
            <v>Installed</v>
          </cell>
          <cell r="W772" t="str">
            <v>Y</v>
          </cell>
          <cell r="X772">
            <v>1</v>
          </cell>
          <cell r="Y772">
            <v>0</v>
          </cell>
        </row>
        <row r="773">
          <cell r="B773" t="str">
            <v>TMO1023</v>
          </cell>
          <cell r="G773" t="str">
            <v>Installed</v>
          </cell>
          <cell r="W773" t="str">
            <v>N</v>
          </cell>
          <cell r="X773">
            <v>0</v>
          </cell>
          <cell r="Y773">
            <v>0</v>
          </cell>
        </row>
        <row r="774">
          <cell r="B774" t="str">
            <v>TMO1023</v>
          </cell>
          <cell r="G774" t="str">
            <v>Installed</v>
          </cell>
          <cell r="W774" t="str">
            <v>Y</v>
          </cell>
          <cell r="X774">
            <v>1</v>
          </cell>
          <cell r="Y774">
            <v>0</v>
          </cell>
        </row>
        <row r="775">
          <cell r="B775" t="str">
            <v>TMO1023</v>
          </cell>
          <cell r="G775" t="str">
            <v>Removed</v>
          </cell>
          <cell r="W775" t="str">
            <v>Y</v>
          </cell>
          <cell r="X775">
            <v>2</v>
          </cell>
          <cell r="Y775">
            <v>0</v>
          </cell>
        </row>
        <row r="776">
          <cell r="B776" t="str">
            <v>TMO1023</v>
          </cell>
          <cell r="G776" t="str">
            <v>Installed</v>
          </cell>
          <cell r="W776" t="str">
            <v>Y</v>
          </cell>
          <cell r="X776">
            <v>8</v>
          </cell>
          <cell r="Y776">
            <v>0</v>
          </cell>
        </row>
        <row r="777">
          <cell r="B777" t="str">
            <v>TMO1023</v>
          </cell>
          <cell r="G777" t="str">
            <v>Installed</v>
          </cell>
          <cell r="W777" t="str">
            <v>Y</v>
          </cell>
          <cell r="X777">
            <v>2</v>
          </cell>
          <cell r="Y777">
            <v>0</v>
          </cell>
        </row>
        <row r="778">
          <cell r="B778" t="str">
            <v>TMO1023</v>
          </cell>
          <cell r="G778" t="str">
            <v>Installed</v>
          </cell>
          <cell r="W778" t="str">
            <v>Y</v>
          </cell>
          <cell r="X778">
            <v>3</v>
          </cell>
          <cell r="Y778">
            <v>0</v>
          </cell>
        </row>
        <row r="779">
          <cell r="B779" t="str">
            <v>TMO1023</v>
          </cell>
          <cell r="G779" t="str">
            <v>Installed</v>
          </cell>
          <cell r="W779" t="str">
            <v>Y</v>
          </cell>
          <cell r="X779">
            <v>1</v>
          </cell>
          <cell r="Y779">
            <v>0</v>
          </cell>
        </row>
        <row r="780">
          <cell r="B780" t="str">
            <v>TMO1023</v>
          </cell>
          <cell r="G780" t="str">
            <v>Installed</v>
          </cell>
          <cell r="W780" t="str">
            <v>Y</v>
          </cell>
          <cell r="X780">
            <v>1</v>
          </cell>
          <cell r="Y780">
            <v>0</v>
          </cell>
        </row>
        <row r="781">
          <cell r="B781" t="str">
            <v>TMO1023</v>
          </cell>
          <cell r="G781" t="str">
            <v>Installed</v>
          </cell>
          <cell r="W781" t="str">
            <v>Y</v>
          </cell>
          <cell r="X781">
            <v>5</v>
          </cell>
          <cell r="Y781">
            <v>0</v>
          </cell>
        </row>
        <row r="782">
          <cell r="B782" t="str">
            <v>TCE1024</v>
          </cell>
          <cell r="G782" t="str">
            <v>Installed</v>
          </cell>
          <cell r="W782" t="str">
            <v>Y</v>
          </cell>
          <cell r="X782">
            <v>0</v>
          </cell>
          <cell r="Y782">
            <v>44</v>
          </cell>
        </row>
        <row r="783">
          <cell r="B783" t="str">
            <v>TCE1024</v>
          </cell>
          <cell r="G783" t="str">
            <v>Installed</v>
          </cell>
          <cell r="W783" t="str">
            <v>Y</v>
          </cell>
          <cell r="X783">
            <v>0</v>
          </cell>
          <cell r="Y783">
            <v>14</v>
          </cell>
        </row>
        <row r="784">
          <cell r="B784" t="str">
            <v>TKY1025</v>
          </cell>
          <cell r="G784" t="str">
            <v>Installed</v>
          </cell>
          <cell r="W784" t="str">
            <v>N</v>
          </cell>
          <cell r="X784">
            <v>6</v>
          </cell>
          <cell r="Y784">
            <v>0</v>
          </cell>
        </row>
        <row r="785">
          <cell r="B785" t="str">
            <v>TKY1025</v>
          </cell>
          <cell r="G785" t="str">
            <v>Installed</v>
          </cell>
          <cell r="W785" t="str">
            <v>Y</v>
          </cell>
          <cell r="X785">
            <v>1</v>
          </cell>
          <cell r="Y785">
            <v>0</v>
          </cell>
        </row>
        <row r="786">
          <cell r="B786" t="str">
            <v>TKY1025</v>
          </cell>
          <cell r="G786" t="str">
            <v>Installed</v>
          </cell>
          <cell r="W786" t="str">
            <v>Y</v>
          </cell>
          <cell r="X786">
            <v>1</v>
          </cell>
          <cell r="Y786">
            <v>0</v>
          </cell>
        </row>
        <row r="787">
          <cell r="B787" t="str">
            <v>TKY1025</v>
          </cell>
          <cell r="G787" t="str">
            <v>Installed</v>
          </cell>
          <cell r="W787" t="str">
            <v>Y</v>
          </cell>
          <cell r="X787">
            <v>1</v>
          </cell>
          <cell r="Y787">
            <v>0</v>
          </cell>
        </row>
        <row r="788">
          <cell r="B788" t="str">
            <v>TKY1025</v>
          </cell>
          <cell r="G788" t="str">
            <v>Installed</v>
          </cell>
          <cell r="W788" t="str">
            <v>Y</v>
          </cell>
          <cell r="X788">
            <v>0</v>
          </cell>
          <cell r="Y788">
            <v>0</v>
          </cell>
        </row>
        <row r="789">
          <cell r="B789" t="str">
            <v>TKY1025</v>
          </cell>
          <cell r="G789" t="str">
            <v>Installed</v>
          </cell>
          <cell r="W789" t="str">
            <v>Y</v>
          </cell>
          <cell r="X789">
            <v>2</v>
          </cell>
          <cell r="Y789">
            <v>0</v>
          </cell>
        </row>
        <row r="790">
          <cell r="B790" t="str">
            <v>TKY1025</v>
          </cell>
          <cell r="G790" t="str">
            <v>Installed</v>
          </cell>
          <cell r="W790" t="str">
            <v>Y</v>
          </cell>
          <cell r="X790">
            <v>2</v>
          </cell>
          <cell r="Y790">
            <v>0</v>
          </cell>
        </row>
        <row r="791">
          <cell r="B791" t="str">
            <v>TKY1025</v>
          </cell>
          <cell r="G791" t="str">
            <v>Installed</v>
          </cell>
          <cell r="W791" t="str">
            <v>Y</v>
          </cell>
          <cell r="X791">
            <v>1</v>
          </cell>
          <cell r="Y791">
            <v>0</v>
          </cell>
        </row>
        <row r="792">
          <cell r="B792" t="str">
            <v>TKY1025</v>
          </cell>
          <cell r="G792" t="str">
            <v>Installed</v>
          </cell>
          <cell r="W792" t="str">
            <v>Y</v>
          </cell>
          <cell r="X792">
            <v>1</v>
          </cell>
          <cell r="Y792">
            <v>0</v>
          </cell>
        </row>
        <row r="793">
          <cell r="B793" t="str">
            <v>TKY1025</v>
          </cell>
          <cell r="G793" t="str">
            <v>Installed</v>
          </cell>
          <cell r="W793" t="str">
            <v>Y</v>
          </cell>
          <cell r="X793">
            <v>1</v>
          </cell>
          <cell r="Y793">
            <v>0</v>
          </cell>
        </row>
        <row r="794">
          <cell r="B794" t="str">
            <v>TKY1025</v>
          </cell>
          <cell r="G794" t="str">
            <v>Installed</v>
          </cell>
          <cell r="W794" t="str">
            <v>Y</v>
          </cell>
          <cell r="X794">
            <v>1</v>
          </cell>
          <cell r="Y794">
            <v>0</v>
          </cell>
        </row>
        <row r="795">
          <cell r="B795" t="str">
            <v>TKY1025</v>
          </cell>
          <cell r="G795" t="str">
            <v>Installed</v>
          </cell>
          <cell r="W795" t="str">
            <v>Y</v>
          </cell>
          <cell r="X795">
            <v>1</v>
          </cell>
          <cell r="Y795">
            <v>0</v>
          </cell>
        </row>
        <row r="796">
          <cell r="B796" t="str">
            <v>TKY1025</v>
          </cell>
          <cell r="G796" t="str">
            <v>Installed</v>
          </cell>
          <cell r="W796" t="str">
            <v>N</v>
          </cell>
          <cell r="X796">
            <v>2</v>
          </cell>
          <cell r="Y796">
            <v>0</v>
          </cell>
        </row>
        <row r="797">
          <cell r="B797" t="str">
            <v>TKY1025</v>
          </cell>
          <cell r="G797" t="str">
            <v>Installed</v>
          </cell>
          <cell r="W797" t="str">
            <v>N</v>
          </cell>
          <cell r="X797">
            <v>1</v>
          </cell>
          <cell r="Y797">
            <v>0</v>
          </cell>
        </row>
        <row r="798">
          <cell r="B798" t="str">
            <v>TKY1025</v>
          </cell>
          <cell r="G798" t="str">
            <v>Installed</v>
          </cell>
          <cell r="W798" t="str">
            <v>Y</v>
          </cell>
          <cell r="X798">
            <v>5</v>
          </cell>
          <cell r="Y798">
            <v>0</v>
          </cell>
        </row>
        <row r="799">
          <cell r="B799" t="str">
            <v>TKY1025</v>
          </cell>
          <cell r="G799" t="str">
            <v>Installed</v>
          </cell>
          <cell r="W799" t="str">
            <v>Y</v>
          </cell>
          <cell r="X799">
            <v>1</v>
          </cell>
          <cell r="Y799">
            <v>0</v>
          </cell>
        </row>
        <row r="800">
          <cell r="B800" t="str">
            <v>TKY1025</v>
          </cell>
          <cell r="G800" t="str">
            <v>Installed</v>
          </cell>
          <cell r="W800" t="str">
            <v>Y</v>
          </cell>
          <cell r="X800">
            <v>1</v>
          </cell>
          <cell r="Y800">
            <v>0</v>
          </cell>
        </row>
        <row r="801">
          <cell r="B801" t="str">
            <v>TKY1025</v>
          </cell>
          <cell r="G801" t="str">
            <v>Installed</v>
          </cell>
          <cell r="W801" t="str">
            <v>Y</v>
          </cell>
          <cell r="X801">
            <v>2</v>
          </cell>
          <cell r="Y801">
            <v>0</v>
          </cell>
        </row>
        <row r="802">
          <cell r="B802" t="str">
            <v>TKY1025</v>
          </cell>
          <cell r="G802" t="str">
            <v>Installed</v>
          </cell>
          <cell r="W802" t="str">
            <v>Y</v>
          </cell>
          <cell r="X802">
            <v>1</v>
          </cell>
          <cell r="Y802">
            <v>0</v>
          </cell>
        </row>
        <row r="803">
          <cell r="B803" t="str">
            <v>TKY1025</v>
          </cell>
          <cell r="G803" t="str">
            <v>Installed</v>
          </cell>
          <cell r="W803" t="str">
            <v>Y</v>
          </cell>
          <cell r="X803">
            <v>3</v>
          </cell>
          <cell r="Y803">
            <v>0</v>
          </cell>
        </row>
        <row r="804">
          <cell r="B804" t="str">
            <v>TKY1025</v>
          </cell>
          <cell r="G804" t="str">
            <v>Installed</v>
          </cell>
          <cell r="W804" t="str">
            <v>Y</v>
          </cell>
          <cell r="X804">
            <v>15</v>
          </cell>
          <cell r="Y804">
            <v>0</v>
          </cell>
        </row>
        <row r="805">
          <cell r="B805" t="str">
            <v>TKY1025</v>
          </cell>
          <cell r="G805" t="str">
            <v>Installed</v>
          </cell>
          <cell r="W805" t="str">
            <v>Y</v>
          </cell>
          <cell r="X805">
            <v>2</v>
          </cell>
          <cell r="Y805">
            <v>0</v>
          </cell>
        </row>
        <row r="806">
          <cell r="B806" t="str">
            <v>TKY1025</v>
          </cell>
          <cell r="G806" t="str">
            <v>Installed</v>
          </cell>
          <cell r="W806" t="str">
            <v>Y</v>
          </cell>
          <cell r="X806">
            <v>16</v>
          </cell>
          <cell r="Y806">
            <v>0</v>
          </cell>
        </row>
        <row r="807">
          <cell r="B807" t="str">
            <v>TKY1025</v>
          </cell>
          <cell r="G807" t="str">
            <v>Installed</v>
          </cell>
          <cell r="W807" t="str">
            <v>Y</v>
          </cell>
          <cell r="X807">
            <v>1</v>
          </cell>
          <cell r="Y807">
            <v>0</v>
          </cell>
        </row>
        <row r="808">
          <cell r="B808" t="str">
            <v>TCK1026</v>
          </cell>
          <cell r="G808" t="str">
            <v>Installed</v>
          </cell>
          <cell r="W808" t="str">
            <v>N</v>
          </cell>
          <cell r="X808">
            <v>2</v>
          </cell>
          <cell r="Y808">
            <v>0</v>
          </cell>
        </row>
        <row r="809">
          <cell r="B809" t="str">
            <v>TCK1026</v>
          </cell>
          <cell r="G809" t="str">
            <v>Removed</v>
          </cell>
          <cell r="W809" t="str">
            <v>Y</v>
          </cell>
          <cell r="X809">
            <v>1</v>
          </cell>
          <cell r="Y809">
            <v>0</v>
          </cell>
        </row>
        <row r="810">
          <cell r="B810" t="str">
            <v>TCK1026</v>
          </cell>
          <cell r="G810" t="str">
            <v>Installed</v>
          </cell>
          <cell r="W810" t="str">
            <v>Y</v>
          </cell>
          <cell r="X810">
            <v>1</v>
          </cell>
          <cell r="Y810">
            <v>0</v>
          </cell>
        </row>
        <row r="811">
          <cell r="B811" t="str">
            <v>TCK1026</v>
          </cell>
          <cell r="G811" t="str">
            <v>Removed</v>
          </cell>
          <cell r="W811" t="str">
            <v>Y</v>
          </cell>
          <cell r="X811">
            <v>1</v>
          </cell>
          <cell r="Y811">
            <v>0</v>
          </cell>
        </row>
        <row r="812">
          <cell r="B812" t="str">
            <v>TCK1026</v>
          </cell>
          <cell r="G812" t="str">
            <v>Installed</v>
          </cell>
          <cell r="W812" t="str">
            <v>N</v>
          </cell>
          <cell r="X812">
            <v>6</v>
          </cell>
          <cell r="Y812">
            <v>0</v>
          </cell>
        </row>
        <row r="813">
          <cell r="B813" t="str">
            <v>TCK1026</v>
          </cell>
          <cell r="G813" t="str">
            <v>Installed</v>
          </cell>
          <cell r="W813" t="str">
            <v>Y</v>
          </cell>
          <cell r="X813">
            <v>2</v>
          </cell>
          <cell r="Y813">
            <v>0</v>
          </cell>
        </row>
        <row r="814">
          <cell r="B814" t="str">
            <v>TCK1026</v>
          </cell>
          <cell r="G814" t="str">
            <v>Removed</v>
          </cell>
          <cell r="W814" t="str">
            <v>Y</v>
          </cell>
          <cell r="X814">
            <v>3</v>
          </cell>
          <cell r="Y814">
            <v>0</v>
          </cell>
        </row>
        <row r="815">
          <cell r="B815" t="str">
            <v>TCK1026</v>
          </cell>
          <cell r="G815" t="str">
            <v>Removed</v>
          </cell>
          <cell r="W815" t="str">
            <v>Y</v>
          </cell>
          <cell r="X815">
            <v>1</v>
          </cell>
          <cell r="Y815">
            <v>0</v>
          </cell>
        </row>
        <row r="816">
          <cell r="B816" t="str">
            <v>TCK1026</v>
          </cell>
          <cell r="G816" t="str">
            <v>Removed</v>
          </cell>
          <cell r="W816" t="str">
            <v>Y</v>
          </cell>
          <cell r="X816">
            <v>3</v>
          </cell>
          <cell r="Y816">
            <v>0</v>
          </cell>
        </row>
        <row r="817">
          <cell r="B817" t="str">
            <v>TCK1026</v>
          </cell>
          <cell r="G817" t="str">
            <v>Removed</v>
          </cell>
          <cell r="W817" t="str">
            <v>Y</v>
          </cell>
          <cell r="X817">
            <v>1</v>
          </cell>
          <cell r="Y817">
            <v>0</v>
          </cell>
        </row>
        <row r="818">
          <cell r="B818" t="str">
            <v>TCK1026</v>
          </cell>
          <cell r="G818" t="str">
            <v>Installed</v>
          </cell>
          <cell r="W818" t="str">
            <v>N</v>
          </cell>
          <cell r="X818">
            <v>3</v>
          </cell>
          <cell r="Y818">
            <v>0</v>
          </cell>
        </row>
        <row r="819">
          <cell r="B819" t="str">
            <v>TCK1026</v>
          </cell>
          <cell r="G819" t="str">
            <v>Installed</v>
          </cell>
          <cell r="W819" t="str">
            <v>N</v>
          </cell>
          <cell r="X819">
            <v>8</v>
          </cell>
          <cell r="Y819">
            <v>0</v>
          </cell>
        </row>
        <row r="820">
          <cell r="B820" t="str">
            <v>TCK1026</v>
          </cell>
          <cell r="G820" t="str">
            <v>Installed</v>
          </cell>
          <cell r="W820" t="str">
            <v>N</v>
          </cell>
          <cell r="X820">
            <v>3</v>
          </cell>
          <cell r="Y820">
            <v>0</v>
          </cell>
        </row>
        <row r="821">
          <cell r="B821" t="str">
            <v>TCK1026</v>
          </cell>
          <cell r="G821" t="str">
            <v>Installed</v>
          </cell>
          <cell r="W821" t="str">
            <v>Y</v>
          </cell>
          <cell r="X821">
            <v>1</v>
          </cell>
          <cell r="Y821">
            <v>0</v>
          </cell>
        </row>
        <row r="822">
          <cell r="B822" t="str">
            <v>TCK1026</v>
          </cell>
          <cell r="G822" t="str">
            <v>Installed</v>
          </cell>
          <cell r="W822" t="str">
            <v>N</v>
          </cell>
          <cell r="X822">
            <v>5</v>
          </cell>
          <cell r="Y822">
            <v>0</v>
          </cell>
        </row>
        <row r="823">
          <cell r="B823" t="str">
            <v>TCK1026</v>
          </cell>
          <cell r="G823" t="str">
            <v>Installed</v>
          </cell>
          <cell r="W823" t="str">
            <v>N</v>
          </cell>
          <cell r="X823">
            <v>4</v>
          </cell>
          <cell r="Y823">
            <v>0</v>
          </cell>
        </row>
        <row r="824">
          <cell r="B824" t="str">
            <v>TCK1026</v>
          </cell>
          <cell r="G824" t="str">
            <v>Installed</v>
          </cell>
          <cell r="W824" t="str">
            <v>N</v>
          </cell>
          <cell r="X824">
            <v>1</v>
          </cell>
          <cell r="Y824">
            <v>0</v>
          </cell>
        </row>
        <row r="825">
          <cell r="B825" t="str">
            <v>TCK1026</v>
          </cell>
          <cell r="G825" t="str">
            <v>Installed</v>
          </cell>
          <cell r="W825" t="str">
            <v>Y</v>
          </cell>
          <cell r="X825">
            <v>2</v>
          </cell>
          <cell r="Y825">
            <v>0</v>
          </cell>
        </row>
        <row r="826">
          <cell r="B826" t="str">
            <v>TCK1026</v>
          </cell>
          <cell r="G826" t="str">
            <v>Removed</v>
          </cell>
          <cell r="W826" t="str">
            <v>Y</v>
          </cell>
          <cell r="X826">
            <v>4</v>
          </cell>
          <cell r="Y826">
            <v>0</v>
          </cell>
        </row>
        <row r="827">
          <cell r="B827" t="str">
            <v>TCK1026</v>
          </cell>
          <cell r="G827" t="str">
            <v>Removed</v>
          </cell>
          <cell r="W827" t="str">
            <v>Y</v>
          </cell>
          <cell r="X827">
            <v>1</v>
          </cell>
          <cell r="Y827">
            <v>0</v>
          </cell>
        </row>
        <row r="828">
          <cell r="B828" t="str">
            <v>TCK1026</v>
          </cell>
          <cell r="G828" t="str">
            <v>Removed</v>
          </cell>
          <cell r="W828" t="str">
            <v>Y</v>
          </cell>
          <cell r="X828">
            <v>1</v>
          </cell>
          <cell r="Y828">
            <v>0</v>
          </cell>
        </row>
        <row r="829">
          <cell r="B829" t="str">
            <v>TCK1026</v>
          </cell>
          <cell r="G829" t="str">
            <v>Installed</v>
          </cell>
          <cell r="W829" t="str">
            <v>N</v>
          </cell>
          <cell r="X829">
            <v>1</v>
          </cell>
          <cell r="Y829">
            <v>0</v>
          </cell>
        </row>
        <row r="830">
          <cell r="B830" t="str">
            <v>TCK1026</v>
          </cell>
          <cell r="G830" t="str">
            <v>Installed</v>
          </cell>
          <cell r="W830" t="str">
            <v>Y</v>
          </cell>
          <cell r="X830">
            <v>1</v>
          </cell>
          <cell r="Y830">
            <v>0</v>
          </cell>
        </row>
        <row r="831">
          <cell r="B831" t="str">
            <v>TCK1026</v>
          </cell>
          <cell r="G831" t="str">
            <v>Installed</v>
          </cell>
          <cell r="W831" t="str">
            <v>Y</v>
          </cell>
          <cell r="X831">
            <v>3</v>
          </cell>
          <cell r="Y831">
            <v>0</v>
          </cell>
        </row>
        <row r="832">
          <cell r="B832" t="str">
            <v>TCK1026</v>
          </cell>
          <cell r="G832" t="str">
            <v>Installed</v>
          </cell>
          <cell r="W832" t="str">
            <v>Y</v>
          </cell>
          <cell r="X832">
            <v>4</v>
          </cell>
          <cell r="Y832">
            <v>0</v>
          </cell>
        </row>
        <row r="833">
          <cell r="B833" t="str">
            <v>TCK1026</v>
          </cell>
          <cell r="G833" t="str">
            <v>Installed</v>
          </cell>
          <cell r="W833" t="str">
            <v>Y</v>
          </cell>
          <cell r="X833">
            <v>8</v>
          </cell>
          <cell r="Y833">
            <v>0</v>
          </cell>
        </row>
        <row r="834">
          <cell r="B834" t="str">
            <v>TCK1026</v>
          </cell>
          <cell r="G834" t="str">
            <v>Installed</v>
          </cell>
          <cell r="W834" t="str">
            <v>Y</v>
          </cell>
          <cell r="X834">
            <v>2</v>
          </cell>
          <cell r="Y834">
            <v>0</v>
          </cell>
        </row>
        <row r="835">
          <cell r="B835" t="str">
            <v>TCK1026</v>
          </cell>
          <cell r="G835" t="str">
            <v>Installed</v>
          </cell>
          <cell r="W835" t="str">
            <v>N</v>
          </cell>
          <cell r="X835">
            <v>1</v>
          </cell>
          <cell r="Y835">
            <v>0</v>
          </cell>
        </row>
        <row r="836">
          <cell r="B836" t="str">
            <v>TCK1026</v>
          </cell>
          <cell r="G836" t="str">
            <v>Installed</v>
          </cell>
          <cell r="W836" t="str">
            <v>Y</v>
          </cell>
          <cell r="X836">
            <v>18</v>
          </cell>
          <cell r="Y836">
            <v>0</v>
          </cell>
        </row>
        <row r="837">
          <cell r="B837" t="str">
            <v>TLK1027</v>
          </cell>
          <cell r="G837" t="str">
            <v>Installed</v>
          </cell>
          <cell r="W837" t="str">
            <v>Y</v>
          </cell>
          <cell r="X837">
            <v>1</v>
          </cell>
          <cell r="Y837">
            <v>0</v>
          </cell>
        </row>
        <row r="838">
          <cell r="B838" t="str">
            <v>TLK1027</v>
          </cell>
          <cell r="G838" t="str">
            <v>Installed</v>
          </cell>
          <cell r="W838" t="str">
            <v>Y</v>
          </cell>
          <cell r="X838">
            <v>1</v>
          </cell>
          <cell r="Y838">
            <v>0</v>
          </cell>
        </row>
        <row r="839">
          <cell r="B839" t="str">
            <v>TLK1027</v>
          </cell>
          <cell r="G839" t="str">
            <v>Installed</v>
          </cell>
          <cell r="W839" t="str">
            <v>Y</v>
          </cell>
          <cell r="X839">
            <v>1</v>
          </cell>
          <cell r="Y839">
            <v>0</v>
          </cell>
        </row>
        <row r="840">
          <cell r="B840" t="str">
            <v>TLK1027</v>
          </cell>
          <cell r="G840" t="str">
            <v>Installed</v>
          </cell>
          <cell r="W840" t="str">
            <v>Y</v>
          </cell>
          <cell r="X840">
            <v>2</v>
          </cell>
          <cell r="Y840">
            <v>0</v>
          </cell>
        </row>
        <row r="841">
          <cell r="B841" t="str">
            <v>TLK1027</v>
          </cell>
          <cell r="G841" t="str">
            <v>Installed</v>
          </cell>
          <cell r="W841" t="str">
            <v>Y</v>
          </cell>
          <cell r="X841">
            <v>2</v>
          </cell>
          <cell r="Y841">
            <v>0</v>
          </cell>
        </row>
        <row r="842">
          <cell r="B842" t="str">
            <v>TLK1027</v>
          </cell>
          <cell r="G842" t="str">
            <v>Installed</v>
          </cell>
          <cell r="W842" t="str">
            <v>Y</v>
          </cell>
          <cell r="X842">
            <v>1</v>
          </cell>
          <cell r="Y842">
            <v>0</v>
          </cell>
        </row>
        <row r="843">
          <cell r="B843" t="str">
            <v>TLK1027</v>
          </cell>
          <cell r="G843" t="str">
            <v>Installed</v>
          </cell>
          <cell r="W843" t="str">
            <v>Y</v>
          </cell>
          <cell r="X843">
            <v>1</v>
          </cell>
          <cell r="Y843">
            <v>0</v>
          </cell>
        </row>
        <row r="844">
          <cell r="B844" t="str">
            <v>TLK1027</v>
          </cell>
          <cell r="G844" t="str">
            <v>Installed</v>
          </cell>
          <cell r="W844" t="str">
            <v>Y</v>
          </cell>
          <cell r="X844">
            <v>1</v>
          </cell>
          <cell r="Y844">
            <v>0</v>
          </cell>
        </row>
        <row r="845">
          <cell r="B845" t="str">
            <v>TLK1027</v>
          </cell>
          <cell r="G845" t="str">
            <v>Installed</v>
          </cell>
          <cell r="W845" t="str">
            <v>Y</v>
          </cell>
          <cell r="X845">
            <v>1</v>
          </cell>
          <cell r="Y845">
            <v>0</v>
          </cell>
        </row>
        <row r="846">
          <cell r="B846" t="str">
            <v>TLK1027</v>
          </cell>
          <cell r="G846" t="str">
            <v>Installed</v>
          </cell>
          <cell r="W846" t="str">
            <v>Y</v>
          </cell>
          <cell r="X846">
            <v>1</v>
          </cell>
          <cell r="Y846">
            <v>0</v>
          </cell>
        </row>
        <row r="847">
          <cell r="B847" t="str">
            <v>TLK1027</v>
          </cell>
          <cell r="G847" t="str">
            <v>Installed</v>
          </cell>
          <cell r="W847" t="str">
            <v>Y</v>
          </cell>
          <cell r="X847">
            <v>1</v>
          </cell>
          <cell r="Y847">
            <v>0</v>
          </cell>
        </row>
        <row r="848">
          <cell r="B848" t="str">
            <v>TLK1027</v>
          </cell>
          <cell r="G848" t="str">
            <v>Installed</v>
          </cell>
          <cell r="W848" t="str">
            <v>Y</v>
          </cell>
          <cell r="X848">
            <v>1</v>
          </cell>
          <cell r="Y848">
            <v>0</v>
          </cell>
        </row>
        <row r="849">
          <cell r="B849" t="str">
            <v>TLK1027</v>
          </cell>
          <cell r="G849" t="str">
            <v>Installed</v>
          </cell>
          <cell r="W849" t="str">
            <v>Y</v>
          </cell>
          <cell r="X849">
            <v>4</v>
          </cell>
          <cell r="Y849">
            <v>0</v>
          </cell>
        </row>
        <row r="850">
          <cell r="B850" t="str">
            <v>TLK1027</v>
          </cell>
          <cell r="G850" t="str">
            <v>Installed</v>
          </cell>
          <cell r="W850" t="str">
            <v>N</v>
          </cell>
          <cell r="X850">
            <v>1</v>
          </cell>
          <cell r="Y850">
            <v>0</v>
          </cell>
        </row>
        <row r="851">
          <cell r="B851" t="str">
            <v>TLK1027</v>
          </cell>
          <cell r="G851" t="str">
            <v>Installed</v>
          </cell>
          <cell r="W851" t="str">
            <v>Y</v>
          </cell>
          <cell r="X851">
            <v>1</v>
          </cell>
          <cell r="Y851">
            <v>0</v>
          </cell>
        </row>
        <row r="852">
          <cell r="B852" t="str">
            <v>TLK1027</v>
          </cell>
          <cell r="G852" t="str">
            <v>Installed</v>
          </cell>
          <cell r="W852" t="str">
            <v>Y</v>
          </cell>
          <cell r="X852">
            <v>1</v>
          </cell>
          <cell r="Y852">
            <v>0</v>
          </cell>
        </row>
        <row r="853">
          <cell r="B853" t="str">
            <v>TLK1027</v>
          </cell>
          <cell r="G853" t="str">
            <v>Installed</v>
          </cell>
          <cell r="W853" t="str">
            <v>Y</v>
          </cell>
          <cell r="X853">
            <v>1</v>
          </cell>
          <cell r="Y853">
            <v>0</v>
          </cell>
        </row>
        <row r="854">
          <cell r="B854" t="str">
            <v>TLK1027</v>
          </cell>
          <cell r="G854" t="str">
            <v>Installed</v>
          </cell>
          <cell r="W854" t="str">
            <v>Y</v>
          </cell>
          <cell r="X854">
            <v>1</v>
          </cell>
          <cell r="Y854">
            <v>0</v>
          </cell>
        </row>
        <row r="855">
          <cell r="B855" t="str">
            <v>TLK1027</v>
          </cell>
          <cell r="G855" t="str">
            <v>Installed</v>
          </cell>
          <cell r="W855" t="str">
            <v>Y</v>
          </cell>
          <cell r="X855">
            <v>14</v>
          </cell>
          <cell r="Y855">
            <v>0</v>
          </cell>
        </row>
        <row r="856">
          <cell r="B856" t="str">
            <v>TLK1027</v>
          </cell>
          <cell r="G856" t="str">
            <v>Installed</v>
          </cell>
          <cell r="W856" t="str">
            <v>Y</v>
          </cell>
          <cell r="X856">
            <v>2</v>
          </cell>
          <cell r="Y856">
            <v>0</v>
          </cell>
        </row>
        <row r="857">
          <cell r="B857" t="str">
            <v>TLK1027</v>
          </cell>
          <cell r="G857" t="str">
            <v>Installed</v>
          </cell>
          <cell r="W857" t="str">
            <v>Y</v>
          </cell>
          <cell r="X857">
            <v>2</v>
          </cell>
          <cell r="Y857">
            <v>0</v>
          </cell>
        </row>
        <row r="858">
          <cell r="B858" t="str">
            <v>TLK1027</v>
          </cell>
          <cell r="G858" t="str">
            <v>Installed</v>
          </cell>
          <cell r="W858" t="str">
            <v>Y</v>
          </cell>
          <cell r="X858">
            <v>2</v>
          </cell>
          <cell r="Y858">
            <v>0</v>
          </cell>
        </row>
        <row r="859">
          <cell r="B859" t="str">
            <v>TLK1027</v>
          </cell>
          <cell r="G859" t="str">
            <v>Installed</v>
          </cell>
          <cell r="W859" t="str">
            <v>Y</v>
          </cell>
          <cell r="X859">
            <v>1</v>
          </cell>
          <cell r="Y859">
            <v>0</v>
          </cell>
        </row>
        <row r="860">
          <cell r="B860" t="str">
            <v>TLK1027</v>
          </cell>
          <cell r="G860" t="str">
            <v>Installed</v>
          </cell>
          <cell r="W860" t="str">
            <v>Y</v>
          </cell>
          <cell r="X860">
            <v>1</v>
          </cell>
          <cell r="Y860">
            <v>0</v>
          </cell>
        </row>
        <row r="861">
          <cell r="B861" t="str">
            <v>TLK1027</v>
          </cell>
          <cell r="G861" t="str">
            <v>Installed</v>
          </cell>
          <cell r="W861" t="str">
            <v>Y</v>
          </cell>
          <cell r="X861">
            <v>1</v>
          </cell>
          <cell r="Y861">
            <v>0</v>
          </cell>
        </row>
        <row r="862">
          <cell r="B862" t="str">
            <v>TLK1027</v>
          </cell>
          <cell r="G862" t="str">
            <v>Installed</v>
          </cell>
          <cell r="W862" t="str">
            <v>Y</v>
          </cell>
          <cell r="X862">
            <v>1</v>
          </cell>
          <cell r="Y862">
            <v>0</v>
          </cell>
        </row>
        <row r="863">
          <cell r="B863" t="str">
            <v>TLK1027</v>
          </cell>
          <cell r="G863" t="str">
            <v>Prop Removal</v>
          </cell>
          <cell r="W863" t="str">
            <v>Y</v>
          </cell>
          <cell r="X863">
            <v>1</v>
          </cell>
          <cell r="Y863">
            <v>0</v>
          </cell>
        </row>
        <row r="864">
          <cell r="B864" t="str">
            <v>TLK1027</v>
          </cell>
          <cell r="G864" t="str">
            <v>Prop Removal</v>
          </cell>
          <cell r="W864" t="str">
            <v>Y</v>
          </cell>
          <cell r="X864">
            <v>1</v>
          </cell>
          <cell r="Y864">
            <v>0</v>
          </cell>
        </row>
        <row r="865">
          <cell r="B865" t="str">
            <v>TLK1027</v>
          </cell>
          <cell r="G865" t="str">
            <v>Installed</v>
          </cell>
          <cell r="W865" t="str">
            <v>Y</v>
          </cell>
          <cell r="X865">
            <v>0</v>
          </cell>
          <cell r="Y865">
            <v>2</v>
          </cell>
        </row>
        <row r="866">
          <cell r="B866" t="str">
            <v>TLK1027</v>
          </cell>
          <cell r="G866" t="str">
            <v>Installed</v>
          </cell>
          <cell r="W866" t="str">
            <v>N</v>
          </cell>
          <cell r="X866">
            <v>2</v>
          </cell>
          <cell r="Y866">
            <v>0</v>
          </cell>
        </row>
        <row r="867">
          <cell r="B867" t="str">
            <v>TLK1027</v>
          </cell>
          <cell r="G867" t="str">
            <v>Installed</v>
          </cell>
          <cell r="W867" t="str">
            <v>N</v>
          </cell>
          <cell r="X867">
            <v>2</v>
          </cell>
          <cell r="Y867">
            <v>0</v>
          </cell>
        </row>
        <row r="868">
          <cell r="B868" t="str">
            <v>TCK1029</v>
          </cell>
          <cell r="G868" t="str">
            <v>Installed</v>
          </cell>
          <cell r="W868" t="str">
            <v>Y</v>
          </cell>
          <cell r="X868">
            <v>1</v>
          </cell>
          <cell r="Y868">
            <v>0</v>
          </cell>
        </row>
        <row r="869">
          <cell r="B869" t="str">
            <v>TCK1029</v>
          </cell>
          <cell r="G869" t="str">
            <v>Installed</v>
          </cell>
          <cell r="W869" t="str">
            <v>Y</v>
          </cell>
          <cell r="X869">
            <v>1</v>
          </cell>
          <cell r="Y869">
            <v>0</v>
          </cell>
        </row>
        <row r="870">
          <cell r="B870" t="str">
            <v>TCK1029</v>
          </cell>
          <cell r="G870" t="str">
            <v>Installed</v>
          </cell>
          <cell r="W870" t="str">
            <v>Y</v>
          </cell>
          <cell r="X870">
            <v>1</v>
          </cell>
          <cell r="Y870">
            <v>0</v>
          </cell>
        </row>
        <row r="871">
          <cell r="B871" t="str">
            <v>TCK1029</v>
          </cell>
          <cell r="G871" t="str">
            <v>Installed</v>
          </cell>
          <cell r="W871" t="str">
            <v>Y</v>
          </cell>
          <cell r="X871">
            <v>1</v>
          </cell>
          <cell r="Y871">
            <v>0</v>
          </cell>
        </row>
        <row r="872">
          <cell r="B872" t="str">
            <v>TCK1029</v>
          </cell>
          <cell r="G872" t="str">
            <v>Installed</v>
          </cell>
          <cell r="W872" t="str">
            <v>Y</v>
          </cell>
          <cell r="X872">
            <v>1</v>
          </cell>
          <cell r="Y872">
            <v>0</v>
          </cell>
        </row>
        <row r="873">
          <cell r="B873" t="str">
            <v>TCK1029</v>
          </cell>
          <cell r="G873" t="str">
            <v>Installed</v>
          </cell>
          <cell r="W873" t="str">
            <v>Y</v>
          </cell>
          <cell r="X873">
            <v>1</v>
          </cell>
          <cell r="Y873">
            <v>0</v>
          </cell>
        </row>
        <row r="874">
          <cell r="B874" t="str">
            <v>TCK1029</v>
          </cell>
          <cell r="G874" t="str">
            <v>Installed</v>
          </cell>
          <cell r="W874" t="str">
            <v>Y</v>
          </cell>
          <cell r="X874">
            <v>1</v>
          </cell>
          <cell r="Y874">
            <v>0</v>
          </cell>
        </row>
        <row r="875">
          <cell r="B875" t="str">
            <v>TCK1029</v>
          </cell>
          <cell r="G875" t="str">
            <v>Removed</v>
          </cell>
          <cell r="W875" t="str">
            <v>Y</v>
          </cell>
          <cell r="X875">
            <v>1</v>
          </cell>
          <cell r="Y875">
            <v>0</v>
          </cell>
        </row>
        <row r="876">
          <cell r="B876" t="str">
            <v>TCK1029</v>
          </cell>
          <cell r="G876" t="str">
            <v>Installed</v>
          </cell>
          <cell r="W876" t="str">
            <v>Y</v>
          </cell>
          <cell r="X876">
            <v>2</v>
          </cell>
          <cell r="Y876">
            <v>0</v>
          </cell>
        </row>
        <row r="877">
          <cell r="B877" t="str">
            <v>TCK1029</v>
          </cell>
          <cell r="G877" t="str">
            <v>Installed</v>
          </cell>
          <cell r="W877" t="str">
            <v>N</v>
          </cell>
          <cell r="X877">
            <v>2</v>
          </cell>
          <cell r="Y877">
            <v>0</v>
          </cell>
        </row>
        <row r="878">
          <cell r="B878" t="str">
            <v>TCK1029</v>
          </cell>
          <cell r="G878" t="str">
            <v>Installed</v>
          </cell>
          <cell r="W878" t="str">
            <v>Y</v>
          </cell>
          <cell r="X878">
            <v>1</v>
          </cell>
          <cell r="Y878">
            <v>0</v>
          </cell>
        </row>
        <row r="879">
          <cell r="B879" t="str">
            <v>TCK1029</v>
          </cell>
          <cell r="G879" t="str">
            <v>Installed</v>
          </cell>
          <cell r="W879" t="str">
            <v>Y</v>
          </cell>
          <cell r="X879">
            <v>2</v>
          </cell>
          <cell r="Y879">
            <v>0</v>
          </cell>
        </row>
        <row r="880">
          <cell r="B880" t="str">
            <v>TCK1029</v>
          </cell>
          <cell r="G880" t="str">
            <v>Installed</v>
          </cell>
          <cell r="W880" t="str">
            <v>Y</v>
          </cell>
          <cell r="X880">
            <v>1</v>
          </cell>
          <cell r="Y880">
            <v>0</v>
          </cell>
        </row>
        <row r="881">
          <cell r="B881" t="str">
            <v>TCK1029</v>
          </cell>
          <cell r="G881" t="str">
            <v>Installed</v>
          </cell>
          <cell r="W881" t="str">
            <v>Y</v>
          </cell>
          <cell r="X881">
            <v>1</v>
          </cell>
          <cell r="Y881">
            <v>0</v>
          </cell>
        </row>
        <row r="882">
          <cell r="B882" t="str">
            <v>TCK1029</v>
          </cell>
          <cell r="G882" t="str">
            <v>Installed</v>
          </cell>
          <cell r="W882" t="str">
            <v>Y</v>
          </cell>
          <cell r="X882">
            <v>2</v>
          </cell>
          <cell r="Y882">
            <v>0</v>
          </cell>
        </row>
        <row r="883">
          <cell r="B883" t="str">
            <v>TCK1029</v>
          </cell>
          <cell r="G883" t="str">
            <v>Installed</v>
          </cell>
          <cell r="W883" t="str">
            <v>N</v>
          </cell>
          <cell r="X883">
            <v>1</v>
          </cell>
          <cell r="Y883">
            <v>0</v>
          </cell>
        </row>
        <row r="884">
          <cell r="B884" t="str">
            <v>TCK1029</v>
          </cell>
          <cell r="G884" t="str">
            <v>Installed</v>
          </cell>
          <cell r="W884" t="str">
            <v>N</v>
          </cell>
          <cell r="X884">
            <v>1</v>
          </cell>
          <cell r="Y884">
            <v>0</v>
          </cell>
        </row>
        <row r="885">
          <cell r="B885" t="str">
            <v>TCK1029</v>
          </cell>
          <cell r="G885" t="str">
            <v>Installed</v>
          </cell>
          <cell r="W885" t="str">
            <v>Y</v>
          </cell>
          <cell r="X885">
            <v>4</v>
          </cell>
          <cell r="Y885">
            <v>0</v>
          </cell>
        </row>
        <row r="886">
          <cell r="B886" t="str">
            <v>TCK1029</v>
          </cell>
          <cell r="G886" t="str">
            <v>Installed</v>
          </cell>
          <cell r="W886" t="str">
            <v>Y</v>
          </cell>
          <cell r="X886">
            <v>4</v>
          </cell>
          <cell r="Y886">
            <v>0</v>
          </cell>
        </row>
        <row r="887">
          <cell r="B887" t="str">
            <v>TCK1029</v>
          </cell>
          <cell r="G887" t="str">
            <v>Installed</v>
          </cell>
          <cell r="W887" t="str">
            <v>Y</v>
          </cell>
          <cell r="X887">
            <v>3</v>
          </cell>
          <cell r="Y887">
            <v>0</v>
          </cell>
        </row>
        <row r="888">
          <cell r="B888" t="str">
            <v>TCK1029</v>
          </cell>
          <cell r="G888" t="str">
            <v>Installed</v>
          </cell>
          <cell r="W888" t="str">
            <v>Y</v>
          </cell>
          <cell r="X888">
            <v>14</v>
          </cell>
          <cell r="Y888">
            <v>0</v>
          </cell>
        </row>
        <row r="889">
          <cell r="B889" t="str">
            <v>TCK1029</v>
          </cell>
          <cell r="G889" t="str">
            <v>Installed</v>
          </cell>
          <cell r="W889" t="str">
            <v>Y</v>
          </cell>
          <cell r="X889">
            <v>1</v>
          </cell>
          <cell r="Y889">
            <v>0</v>
          </cell>
        </row>
        <row r="890">
          <cell r="B890" t="str">
            <v>TCK1029</v>
          </cell>
          <cell r="G890" t="str">
            <v>Installed</v>
          </cell>
          <cell r="W890" t="str">
            <v>Y</v>
          </cell>
          <cell r="X890">
            <v>2</v>
          </cell>
          <cell r="Y890">
            <v>0</v>
          </cell>
        </row>
        <row r="891">
          <cell r="B891" t="str">
            <v>TCK1029</v>
          </cell>
          <cell r="G891" t="str">
            <v>Installed</v>
          </cell>
          <cell r="W891" t="str">
            <v>Y</v>
          </cell>
          <cell r="X891">
            <v>1</v>
          </cell>
          <cell r="Y891">
            <v>0</v>
          </cell>
        </row>
        <row r="892">
          <cell r="B892" t="str">
            <v>TCK1029</v>
          </cell>
          <cell r="G892" t="str">
            <v>Installed</v>
          </cell>
          <cell r="W892" t="str">
            <v>Y</v>
          </cell>
          <cell r="X892">
            <v>1</v>
          </cell>
          <cell r="Y892">
            <v>0</v>
          </cell>
        </row>
        <row r="893">
          <cell r="B893" t="str">
            <v>TCK1029</v>
          </cell>
          <cell r="G893" t="str">
            <v>Installed</v>
          </cell>
          <cell r="W893" t="str">
            <v>Y</v>
          </cell>
          <cell r="X893">
            <v>24</v>
          </cell>
          <cell r="Y893">
            <v>0</v>
          </cell>
        </row>
        <row r="894">
          <cell r="B894" t="str">
            <v>TGY1030</v>
          </cell>
          <cell r="G894" t="str">
            <v>Installed</v>
          </cell>
          <cell r="W894" t="str">
            <v>Y</v>
          </cell>
          <cell r="X894">
            <v>2</v>
          </cell>
          <cell r="Y894">
            <v>0</v>
          </cell>
        </row>
        <row r="895">
          <cell r="B895" t="str">
            <v>TGY1030</v>
          </cell>
          <cell r="G895" t="str">
            <v>Installed</v>
          </cell>
          <cell r="W895" t="str">
            <v>Y</v>
          </cell>
          <cell r="X895">
            <v>1</v>
          </cell>
          <cell r="Y895">
            <v>0</v>
          </cell>
        </row>
        <row r="896">
          <cell r="B896" t="str">
            <v>TGY1030</v>
          </cell>
          <cell r="G896" t="str">
            <v>Installed</v>
          </cell>
          <cell r="W896" t="str">
            <v>Y</v>
          </cell>
          <cell r="X896">
            <v>1</v>
          </cell>
          <cell r="Y896">
            <v>0</v>
          </cell>
        </row>
        <row r="897">
          <cell r="B897" t="str">
            <v>TGY1030</v>
          </cell>
          <cell r="G897" t="str">
            <v>Installed</v>
          </cell>
          <cell r="W897" t="str">
            <v>Y</v>
          </cell>
          <cell r="X897">
            <v>1</v>
          </cell>
          <cell r="Y897">
            <v>0</v>
          </cell>
        </row>
        <row r="898">
          <cell r="B898" t="str">
            <v>TGY1030</v>
          </cell>
          <cell r="G898" t="str">
            <v>Installed</v>
          </cell>
          <cell r="W898" t="str">
            <v>N</v>
          </cell>
          <cell r="X898">
            <v>6</v>
          </cell>
          <cell r="Y898">
            <v>0</v>
          </cell>
        </row>
        <row r="899">
          <cell r="B899" t="str">
            <v>TGY1030</v>
          </cell>
          <cell r="G899" t="str">
            <v>Installed</v>
          </cell>
          <cell r="W899" t="str">
            <v>Y</v>
          </cell>
          <cell r="X899">
            <v>1</v>
          </cell>
          <cell r="Y899">
            <v>0</v>
          </cell>
        </row>
        <row r="900">
          <cell r="B900" t="str">
            <v>TGY1030</v>
          </cell>
          <cell r="G900" t="str">
            <v>Installed</v>
          </cell>
          <cell r="W900" t="str">
            <v>Y</v>
          </cell>
          <cell r="X900">
            <v>0</v>
          </cell>
          <cell r="Y900">
            <v>0</v>
          </cell>
        </row>
        <row r="901">
          <cell r="B901" t="str">
            <v>TGY1030</v>
          </cell>
          <cell r="G901" t="str">
            <v>Installed</v>
          </cell>
          <cell r="W901" t="str">
            <v>Y</v>
          </cell>
          <cell r="X901">
            <v>0</v>
          </cell>
          <cell r="Y901">
            <v>0</v>
          </cell>
        </row>
        <row r="902">
          <cell r="B902" t="str">
            <v>TGY1030</v>
          </cell>
          <cell r="G902" t="str">
            <v>Installed</v>
          </cell>
          <cell r="W902" t="str">
            <v>Y</v>
          </cell>
          <cell r="X902">
            <v>0</v>
          </cell>
          <cell r="Y902">
            <v>0</v>
          </cell>
        </row>
        <row r="903">
          <cell r="B903" t="str">
            <v>TGY1030</v>
          </cell>
          <cell r="G903" t="str">
            <v>Installed</v>
          </cell>
          <cell r="W903" t="str">
            <v>Y</v>
          </cell>
          <cell r="X903">
            <v>1</v>
          </cell>
          <cell r="Y903">
            <v>0</v>
          </cell>
        </row>
        <row r="904">
          <cell r="B904" t="str">
            <v>TGY1030</v>
          </cell>
          <cell r="G904" t="str">
            <v>Installed</v>
          </cell>
          <cell r="W904" t="str">
            <v>Y</v>
          </cell>
          <cell r="X904">
            <v>0</v>
          </cell>
          <cell r="Y904">
            <v>0</v>
          </cell>
        </row>
        <row r="905">
          <cell r="B905" t="str">
            <v>TGY1030</v>
          </cell>
          <cell r="G905" t="str">
            <v>Installed</v>
          </cell>
          <cell r="W905" t="str">
            <v>Y</v>
          </cell>
          <cell r="X905">
            <v>0</v>
          </cell>
          <cell r="Y905">
            <v>0</v>
          </cell>
        </row>
        <row r="906">
          <cell r="B906" t="str">
            <v>TGY1030</v>
          </cell>
          <cell r="G906" t="str">
            <v>Installed</v>
          </cell>
          <cell r="W906" t="str">
            <v>Y</v>
          </cell>
          <cell r="X906">
            <v>0</v>
          </cell>
          <cell r="Y906">
            <v>0</v>
          </cell>
        </row>
        <row r="907">
          <cell r="B907" t="str">
            <v>TGY1030</v>
          </cell>
          <cell r="G907" t="str">
            <v>Installed</v>
          </cell>
          <cell r="W907" t="str">
            <v>Y</v>
          </cell>
          <cell r="X907">
            <v>1</v>
          </cell>
          <cell r="Y907">
            <v>0</v>
          </cell>
        </row>
        <row r="908">
          <cell r="B908" t="str">
            <v>TGY1030</v>
          </cell>
          <cell r="G908" t="str">
            <v>Installed</v>
          </cell>
          <cell r="W908" t="str">
            <v>Y</v>
          </cell>
          <cell r="X908">
            <v>2</v>
          </cell>
          <cell r="Y908">
            <v>0</v>
          </cell>
        </row>
        <row r="909">
          <cell r="B909" t="str">
            <v>TGY1030</v>
          </cell>
          <cell r="G909" t="str">
            <v>Installed</v>
          </cell>
          <cell r="W909" t="str">
            <v>Y</v>
          </cell>
          <cell r="X909">
            <v>2</v>
          </cell>
          <cell r="Y909">
            <v>0</v>
          </cell>
        </row>
        <row r="910">
          <cell r="B910" t="str">
            <v>TGY1030</v>
          </cell>
          <cell r="G910" t="str">
            <v>Installed</v>
          </cell>
          <cell r="W910" t="str">
            <v>N</v>
          </cell>
          <cell r="X910">
            <v>2</v>
          </cell>
          <cell r="Y910">
            <v>0</v>
          </cell>
        </row>
        <row r="911">
          <cell r="B911" t="str">
            <v>TGY1030</v>
          </cell>
          <cell r="G911" t="str">
            <v>Installed</v>
          </cell>
          <cell r="W911" t="str">
            <v>Y</v>
          </cell>
          <cell r="X911">
            <v>1</v>
          </cell>
          <cell r="Y911">
            <v>0</v>
          </cell>
        </row>
        <row r="912">
          <cell r="B912" t="str">
            <v>TGY1030</v>
          </cell>
          <cell r="G912" t="str">
            <v>Installed</v>
          </cell>
          <cell r="W912" t="str">
            <v>Y</v>
          </cell>
          <cell r="X912">
            <v>1</v>
          </cell>
          <cell r="Y912">
            <v>0</v>
          </cell>
        </row>
        <row r="913">
          <cell r="B913" t="str">
            <v>TGY1030</v>
          </cell>
          <cell r="G913" t="str">
            <v>Installed</v>
          </cell>
          <cell r="W913" t="str">
            <v>N</v>
          </cell>
          <cell r="X913">
            <v>3</v>
          </cell>
          <cell r="Y913">
            <v>0</v>
          </cell>
        </row>
        <row r="914">
          <cell r="B914" t="str">
            <v>TGY1030</v>
          </cell>
          <cell r="G914" t="str">
            <v>Installed</v>
          </cell>
          <cell r="W914" t="str">
            <v>Y</v>
          </cell>
          <cell r="X914">
            <v>1</v>
          </cell>
          <cell r="Y914">
            <v>0</v>
          </cell>
        </row>
        <row r="915">
          <cell r="B915" t="str">
            <v>TGY1030</v>
          </cell>
          <cell r="G915" t="str">
            <v>Installed</v>
          </cell>
          <cell r="W915" t="str">
            <v>Y</v>
          </cell>
          <cell r="X915">
            <v>1</v>
          </cell>
          <cell r="Y915">
            <v>0</v>
          </cell>
        </row>
        <row r="916">
          <cell r="B916" t="str">
            <v>TGY1030</v>
          </cell>
          <cell r="G916" t="str">
            <v>Installed</v>
          </cell>
          <cell r="W916" t="str">
            <v>Y</v>
          </cell>
          <cell r="X916">
            <v>5</v>
          </cell>
          <cell r="Y916">
            <v>0</v>
          </cell>
        </row>
        <row r="917">
          <cell r="B917" t="str">
            <v>TGY1030</v>
          </cell>
          <cell r="G917" t="str">
            <v>Installed</v>
          </cell>
          <cell r="W917" t="str">
            <v>Y</v>
          </cell>
          <cell r="X917">
            <v>5</v>
          </cell>
          <cell r="Y917">
            <v>0</v>
          </cell>
        </row>
        <row r="918">
          <cell r="B918" t="str">
            <v>TGY1030</v>
          </cell>
          <cell r="G918" t="str">
            <v>Installed</v>
          </cell>
          <cell r="W918" t="str">
            <v>N</v>
          </cell>
          <cell r="X918">
            <v>1</v>
          </cell>
          <cell r="Y918">
            <v>0</v>
          </cell>
        </row>
        <row r="919">
          <cell r="B919" t="str">
            <v>TGY1030</v>
          </cell>
          <cell r="G919" t="str">
            <v>Installed</v>
          </cell>
          <cell r="W919" t="str">
            <v>N</v>
          </cell>
          <cell r="X919">
            <v>1</v>
          </cell>
          <cell r="Y919">
            <v>0</v>
          </cell>
        </row>
        <row r="920">
          <cell r="B920" t="str">
            <v>TGY1030</v>
          </cell>
          <cell r="G920" t="str">
            <v>Installed</v>
          </cell>
          <cell r="W920" t="str">
            <v>Y</v>
          </cell>
          <cell r="X920">
            <v>1</v>
          </cell>
          <cell r="Y920">
            <v>0</v>
          </cell>
        </row>
        <row r="921">
          <cell r="B921" t="str">
            <v>TGY1030</v>
          </cell>
          <cell r="G921" t="str">
            <v>Installed</v>
          </cell>
          <cell r="W921" t="str">
            <v>Y</v>
          </cell>
          <cell r="X921">
            <v>0</v>
          </cell>
          <cell r="Y921">
            <v>0</v>
          </cell>
        </row>
        <row r="922">
          <cell r="B922" t="str">
            <v>TGY1030</v>
          </cell>
          <cell r="G922" t="str">
            <v>Installed</v>
          </cell>
          <cell r="W922" t="str">
            <v>Y</v>
          </cell>
          <cell r="X922">
            <v>8</v>
          </cell>
          <cell r="Y922">
            <v>0</v>
          </cell>
        </row>
        <row r="923">
          <cell r="B923" t="str">
            <v>TGY1030</v>
          </cell>
          <cell r="G923" t="str">
            <v>Installed</v>
          </cell>
          <cell r="W923" t="str">
            <v>Y</v>
          </cell>
          <cell r="X923">
            <v>2</v>
          </cell>
          <cell r="Y923">
            <v>0</v>
          </cell>
        </row>
        <row r="924">
          <cell r="B924" t="str">
            <v>TGY1030</v>
          </cell>
          <cell r="G924" t="str">
            <v>Installed</v>
          </cell>
          <cell r="W924" t="str">
            <v>Y</v>
          </cell>
          <cell r="X924">
            <v>1</v>
          </cell>
          <cell r="Y924">
            <v>0</v>
          </cell>
        </row>
        <row r="925">
          <cell r="B925" t="str">
            <v>TGY1030</v>
          </cell>
          <cell r="G925" t="str">
            <v>Installed</v>
          </cell>
          <cell r="W925" t="str">
            <v>N</v>
          </cell>
          <cell r="X925">
            <v>1</v>
          </cell>
          <cell r="Y925">
            <v>0</v>
          </cell>
        </row>
        <row r="926">
          <cell r="B926" t="str">
            <v>TGY1030</v>
          </cell>
          <cell r="G926" t="str">
            <v>Installed</v>
          </cell>
          <cell r="W926" t="str">
            <v>Y</v>
          </cell>
          <cell r="X926">
            <v>2</v>
          </cell>
          <cell r="Y926">
            <v>0</v>
          </cell>
        </row>
        <row r="927">
          <cell r="B927" t="str">
            <v>TGY1030</v>
          </cell>
          <cell r="G927" t="str">
            <v>Installed</v>
          </cell>
          <cell r="W927" t="str">
            <v>Y</v>
          </cell>
          <cell r="X927">
            <v>2</v>
          </cell>
          <cell r="Y927">
            <v>0</v>
          </cell>
        </row>
        <row r="928">
          <cell r="B928" t="str">
            <v>TGY1030</v>
          </cell>
          <cell r="G928" t="str">
            <v>Installed</v>
          </cell>
          <cell r="W928" t="str">
            <v>Y</v>
          </cell>
          <cell r="X928">
            <v>8</v>
          </cell>
          <cell r="Y928">
            <v>0</v>
          </cell>
        </row>
        <row r="929">
          <cell r="B929" t="str">
            <v>TGY1030</v>
          </cell>
          <cell r="G929" t="str">
            <v>Installed</v>
          </cell>
          <cell r="W929" t="str">
            <v>Y</v>
          </cell>
          <cell r="X929">
            <v>2</v>
          </cell>
          <cell r="Y929">
            <v>0</v>
          </cell>
        </row>
        <row r="930">
          <cell r="B930" t="str">
            <v>TGY1030</v>
          </cell>
          <cell r="G930" t="str">
            <v>Installed</v>
          </cell>
          <cell r="W930" t="str">
            <v>Y</v>
          </cell>
          <cell r="X930">
            <v>2</v>
          </cell>
          <cell r="Y930">
            <v>0</v>
          </cell>
        </row>
        <row r="931">
          <cell r="B931" t="str">
            <v>TGY1030</v>
          </cell>
          <cell r="G931" t="str">
            <v>Installed</v>
          </cell>
          <cell r="W931" t="str">
            <v>N</v>
          </cell>
          <cell r="X931">
            <v>0</v>
          </cell>
          <cell r="Y931">
            <v>15</v>
          </cell>
        </row>
        <row r="932">
          <cell r="B932" t="str">
            <v>TLS2029</v>
          </cell>
          <cell r="G932" t="str">
            <v>Installed</v>
          </cell>
          <cell r="W932" t="str">
            <v>Y</v>
          </cell>
          <cell r="X932">
            <v>0</v>
          </cell>
          <cell r="Y932">
            <v>1</v>
          </cell>
        </row>
        <row r="933">
          <cell r="B933" t="str">
            <v>TLS2029</v>
          </cell>
          <cell r="G933" t="str">
            <v>Installed</v>
          </cell>
          <cell r="W933" t="str">
            <v>Y</v>
          </cell>
          <cell r="X933">
            <v>0</v>
          </cell>
          <cell r="Y933">
            <v>1</v>
          </cell>
        </row>
        <row r="934">
          <cell r="B934" t="str">
            <v>TKY1031</v>
          </cell>
          <cell r="G934" t="str">
            <v>Installed</v>
          </cell>
          <cell r="W934" t="str">
            <v>Y</v>
          </cell>
          <cell r="X934">
            <v>1</v>
          </cell>
          <cell r="Y934">
            <v>0</v>
          </cell>
        </row>
        <row r="935">
          <cell r="B935" t="str">
            <v>TKY1031</v>
          </cell>
          <cell r="G935" t="str">
            <v>Installed</v>
          </cell>
          <cell r="W935" t="str">
            <v>N</v>
          </cell>
          <cell r="X935">
            <v>6</v>
          </cell>
          <cell r="Y935">
            <v>0</v>
          </cell>
        </row>
        <row r="936">
          <cell r="B936" t="str">
            <v>TKY1031</v>
          </cell>
          <cell r="G936" t="str">
            <v>Installed</v>
          </cell>
          <cell r="W936" t="str">
            <v>Y</v>
          </cell>
          <cell r="X936">
            <v>2</v>
          </cell>
          <cell r="Y936">
            <v>0</v>
          </cell>
        </row>
        <row r="937">
          <cell r="B937" t="str">
            <v>TKY1031</v>
          </cell>
          <cell r="G937" t="str">
            <v>Installed</v>
          </cell>
          <cell r="W937" t="str">
            <v>Y</v>
          </cell>
          <cell r="X937">
            <v>2</v>
          </cell>
          <cell r="Y937">
            <v>0</v>
          </cell>
        </row>
        <row r="938">
          <cell r="B938" t="str">
            <v>TKY1031</v>
          </cell>
          <cell r="G938" t="str">
            <v>Removed</v>
          </cell>
          <cell r="W938" t="str">
            <v>Y</v>
          </cell>
          <cell r="X938">
            <v>1</v>
          </cell>
          <cell r="Y938">
            <v>0</v>
          </cell>
        </row>
        <row r="939">
          <cell r="B939" t="str">
            <v>TKY1031</v>
          </cell>
          <cell r="G939" t="str">
            <v>Installed</v>
          </cell>
          <cell r="W939" t="str">
            <v>N</v>
          </cell>
          <cell r="X939">
            <v>1</v>
          </cell>
          <cell r="Y939">
            <v>0</v>
          </cell>
        </row>
        <row r="940">
          <cell r="B940" t="str">
            <v>TKY1031</v>
          </cell>
          <cell r="G940" t="str">
            <v>Installed</v>
          </cell>
          <cell r="W940" t="str">
            <v>N</v>
          </cell>
          <cell r="X940">
            <v>4</v>
          </cell>
          <cell r="Y940">
            <v>0</v>
          </cell>
        </row>
        <row r="941">
          <cell r="B941" t="str">
            <v>TKY1031</v>
          </cell>
          <cell r="G941" t="str">
            <v>Installed</v>
          </cell>
          <cell r="W941" t="str">
            <v>Y</v>
          </cell>
          <cell r="X941">
            <v>1</v>
          </cell>
          <cell r="Y941">
            <v>0</v>
          </cell>
        </row>
        <row r="942">
          <cell r="B942" t="str">
            <v>TKY1031</v>
          </cell>
          <cell r="G942" t="str">
            <v>Installed</v>
          </cell>
          <cell r="W942" t="str">
            <v>Y</v>
          </cell>
          <cell r="X942">
            <v>0</v>
          </cell>
          <cell r="Y942">
            <v>0</v>
          </cell>
        </row>
        <row r="943">
          <cell r="B943" t="str">
            <v>TKY1031</v>
          </cell>
          <cell r="G943" t="str">
            <v>Installed</v>
          </cell>
          <cell r="W943" t="str">
            <v>Y</v>
          </cell>
          <cell r="X943">
            <v>2</v>
          </cell>
          <cell r="Y943">
            <v>0</v>
          </cell>
        </row>
        <row r="944">
          <cell r="B944" t="str">
            <v>TKY1031</v>
          </cell>
          <cell r="G944" t="str">
            <v>Removed</v>
          </cell>
          <cell r="W944" t="str">
            <v>Y</v>
          </cell>
          <cell r="X944">
            <v>1</v>
          </cell>
          <cell r="Y944">
            <v>0</v>
          </cell>
        </row>
        <row r="945">
          <cell r="B945" t="str">
            <v>TKY1031</v>
          </cell>
          <cell r="G945" t="str">
            <v>Removed</v>
          </cell>
          <cell r="W945" t="str">
            <v>Y</v>
          </cell>
          <cell r="X945">
            <v>1</v>
          </cell>
          <cell r="Y945">
            <v>0</v>
          </cell>
        </row>
        <row r="946">
          <cell r="B946" t="str">
            <v>TKY1031</v>
          </cell>
          <cell r="G946" t="str">
            <v>Removed</v>
          </cell>
          <cell r="W946" t="str">
            <v>Y</v>
          </cell>
          <cell r="X946">
            <v>1</v>
          </cell>
          <cell r="Y946">
            <v>0</v>
          </cell>
        </row>
        <row r="947">
          <cell r="B947" t="str">
            <v>TKY1031</v>
          </cell>
          <cell r="G947" t="str">
            <v>Installed</v>
          </cell>
          <cell r="W947" t="str">
            <v>Y</v>
          </cell>
          <cell r="X947">
            <v>1</v>
          </cell>
          <cell r="Y947">
            <v>0</v>
          </cell>
        </row>
        <row r="948">
          <cell r="B948" t="str">
            <v>TKY1031</v>
          </cell>
          <cell r="G948" t="str">
            <v>Installed</v>
          </cell>
          <cell r="W948" t="str">
            <v>N</v>
          </cell>
          <cell r="X948">
            <v>4</v>
          </cell>
          <cell r="Y948">
            <v>0</v>
          </cell>
        </row>
        <row r="949">
          <cell r="B949" t="str">
            <v>TKY1031</v>
          </cell>
          <cell r="G949" t="str">
            <v>Installed</v>
          </cell>
          <cell r="W949" t="str">
            <v>N</v>
          </cell>
          <cell r="X949">
            <v>2</v>
          </cell>
          <cell r="Y949">
            <v>0</v>
          </cell>
        </row>
        <row r="950">
          <cell r="B950" t="str">
            <v>TKY1031</v>
          </cell>
          <cell r="G950" t="str">
            <v>Removed</v>
          </cell>
          <cell r="W950" t="str">
            <v>Y</v>
          </cell>
          <cell r="X950">
            <v>1</v>
          </cell>
          <cell r="Y950">
            <v>0</v>
          </cell>
        </row>
        <row r="951">
          <cell r="B951" t="str">
            <v>TKY1031</v>
          </cell>
          <cell r="G951" t="str">
            <v>Installed</v>
          </cell>
          <cell r="W951" t="str">
            <v>N</v>
          </cell>
          <cell r="X951">
            <v>1</v>
          </cell>
          <cell r="Y951">
            <v>0</v>
          </cell>
        </row>
        <row r="952">
          <cell r="B952" t="str">
            <v>TKY1031</v>
          </cell>
          <cell r="G952" t="str">
            <v>Installed</v>
          </cell>
          <cell r="W952" t="str">
            <v>N</v>
          </cell>
          <cell r="X952">
            <v>1</v>
          </cell>
          <cell r="Y952">
            <v>0</v>
          </cell>
        </row>
        <row r="953">
          <cell r="B953" t="str">
            <v>TKY1031</v>
          </cell>
          <cell r="G953" t="str">
            <v>Installed</v>
          </cell>
          <cell r="W953" t="str">
            <v>Y</v>
          </cell>
          <cell r="X953">
            <v>5</v>
          </cell>
          <cell r="Y953">
            <v>0</v>
          </cell>
        </row>
        <row r="954">
          <cell r="B954" t="str">
            <v>TKY1031</v>
          </cell>
          <cell r="G954" t="str">
            <v>Installed</v>
          </cell>
          <cell r="W954" t="str">
            <v>Y</v>
          </cell>
          <cell r="X954">
            <v>2</v>
          </cell>
          <cell r="Y954">
            <v>0</v>
          </cell>
        </row>
        <row r="955">
          <cell r="B955" t="str">
            <v>TKY1031</v>
          </cell>
          <cell r="G955" t="str">
            <v>Installed</v>
          </cell>
          <cell r="W955" t="str">
            <v>Y</v>
          </cell>
          <cell r="X955">
            <v>1</v>
          </cell>
          <cell r="Y955">
            <v>0</v>
          </cell>
        </row>
        <row r="956">
          <cell r="B956" t="str">
            <v>TKY1031</v>
          </cell>
          <cell r="G956" t="str">
            <v>Installed</v>
          </cell>
          <cell r="W956" t="str">
            <v>Y</v>
          </cell>
          <cell r="X956">
            <v>1</v>
          </cell>
          <cell r="Y956">
            <v>0</v>
          </cell>
        </row>
        <row r="957">
          <cell r="B957" t="str">
            <v>TKY1031</v>
          </cell>
          <cell r="G957" t="str">
            <v>Installed</v>
          </cell>
          <cell r="W957" t="str">
            <v>Y</v>
          </cell>
          <cell r="X957">
            <v>2</v>
          </cell>
          <cell r="Y957">
            <v>0</v>
          </cell>
        </row>
        <row r="958">
          <cell r="B958" t="str">
            <v>TKY1031</v>
          </cell>
          <cell r="G958" t="str">
            <v>Installed</v>
          </cell>
          <cell r="W958" t="str">
            <v>Y</v>
          </cell>
          <cell r="X958">
            <v>4</v>
          </cell>
          <cell r="Y958">
            <v>0</v>
          </cell>
        </row>
        <row r="959">
          <cell r="B959" t="str">
            <v>TKY1031</v>
          </cell>
          <cell r="G959" t="str">
            <v>Installed</v>
          </cell>
          <cell r="W959" t="str">
            <v>Y</v>
          </cell>
          <cell r="X959">
            <v>2</v>
          </cell>
          <cell r="Y959">
            <v>0</v>
          </cell>
        </row>
        <row r="960">
          <cell r="B960" t="str">
            <v>TKY1031</v>
          </cell>
          <cell r="G960" t="str">
            <v>Installed</v>
          </cell>
          <cell r="W960" t="str">
            <v>Y</v>
          </cell>
          <cell r="X960">
            <v>2</v>
          </cell>
          <cell r="Y960">
            <v>0</v>
          </cell>
        </row>
        <row r="961">
          <cell r="B961" t="str">
            <v>TKY1031</v>
          </cell>
          <cell r="G961" t="str">
            <v>Removed</v>
          </cell>
          <cell r="W961" t="str">
            <v>Y</v>
          </cell>
          <cell r="X961">
            <v>1</v>
          </cell>
          <cell r="Y961">
            <v>0</v>
          </cell>
        </row>
        <row r="962">
          <cell r="B962" t="str">
            <v>TKY1031</v>
          </cell>
          <cell r="G962" t="str">
            <v>Installed</v>
          </cell>
          <cell r="W962" t="str">
            <v>Y</v>
          </cell>
          <cell r="X962">
            <v>12</v>
          </cell>
          <cell r="Y962">
            <v>0</v>
          </cell>
        </row>
        <row r="963">
          <cell r="B963" t="str">
            <v>TKY1028</v>
          </cell>
          <cell r="G963" t="str">
            <v>Installed</v>
          </cell>
          <cell r="W963" t="str">
            <v>Y</v>
          </cell>
          <cell r="X963">
            <v>0</v>
          </cell>
          <cell r="Y963">
            <v>28</v>
          </cell>
        </row>
        <row r="964">
          <cell r="B964" t="str">
            <v>TKY1028</v>
          </cell>
          <cell r="G964" t="str">
            <v>Removed</v>
          </cell>
          <cell r="W964" t="str">
            <v>Y</v>
          </cell>
          <cell r="X964">
            <v>1</v>
          </cell>
          <cell r="Y964">
            <v>0</v>
          </cell>
        </row>
        <row r="965">
          <cell r="B965" t="str">
            <v>TKY1028</v>
          </cell>
          <cell r="G965" t="str">
            <v>Removed</v>
          </cell>
          <cell r="W965" t="str">
            <v>Y</v>
          </cell>
          <cell r="X965">
            <v>1</v>
          </cell>
          <cell r="Y965">
            <v>0</v>
          </cell>
        </row>
        <row r="966">
          <cell r="B966" t="str">
            <v>TKY1028</v>
          </cell>
          <cell r="G966" t="str">
            <v>Removed</v>
          </cell>
          <cell r="W966" t="str">
            <v>Y</v>
          </cell>
          <cell r="X966">
            <v>1</v>
          </cell>
          <cell r="Y966">
            <v>0</v>
          </cell>
        </row>
        <row r="967">
          <cell r="B967" t="str">
            <v>TTP1032</v>
          </cell>
          <cell r="G967" t="str">
            <v>Installed</v>
          </cell>
          <cell r="W967" t="str">
            <v>Y</v>
          </cell>
          <cell r="X967">
            <v>1</v>
          </cell>
          <cell r="Y967">
            <v>0</v>
          </cell>
        </row>
        <row r="968">
          <cell r="B968" t="str">
            <v>TTP1032</v>
          </cell>
          <cell r="G968" t="str">
            <v>Installed</v>
          </cell>
          <cell r="W968" t="str">
            <v>Y</v>
          </cell>
          <cell r="X968">
            <v>1</v>
          </cell>
          <cell r="Y968">
            <v>0</v>
          </cell>
        </row>
        <row r="969">
          <cell r="B969" t="str">
            <v>TTP1032</v>
          </cell>
          <cell r="G969" t="str">
            <v>Installed</v>
          </cell>
          <cell r="W969" t="str">
            <v>Y</v>
          </cell>
          <cell r="X969">
            <v>1</v>
          </cell>
          <cell r="Y969">
            <v>0</v>
          </cell>
        </row>
        <row r="970">
          <cell r="B970" t="str">
            <v>TTP1032</v>
          </cell>
          <cell r="G970" t="str">
            <v>Installed</v>
          </cell>
          <cell r="W970" t="str">
            <v>Y</v>
          </cell>
          <cell r="X970">
            <v>1</v>
          </cell>
          <cell r="Y970">
            <v>0</v>
          </cell>
        </row>
        <row r="971">
          <cell r="B971" t="str">
            <v>TTP1032</v>
          </cell>
          <cell r="G971" t="str">
            <v>Removed</v>
          </cell>
          <cell r="W971" t="str">
            <v>Y</v>
          </cell>
          <cell r="X971">
            <v>1</v>
          </cell>
          <cell r="Y971">
            <v>0</v>
          </cell>
        </row>
        <row r="972">
          <cell r="B972" t="str">
            <v>TTP1032</v>
          </cell>
          <cell r="G972" t="str">
            <v>Installed</v>
          </cell>
          <cell r="W972" t="str">
            <v>N</v>
          </cell>
          <cell r="X972">
            <v>3</v>
          </cell>
          <cell r="Y972">
            <v>0</v>
          </cell>
        </row>
        <row r="973">
          <cell r="B973" t="str">
            <v>TTP1032</v>
          </cell>
          <cell r="G973" t="str">
            <v>Removed</v>
          </cell>
          <cell r="W973" t="str">
            <v>Y</v>
          </cell>
          <cell r="X973">
            <v>1</v>
          </cell>
          <cell r="Y973">
            <v>0</v>
          </cell>
        </row>
        <row r="974">
          <cell r="B974" t="str">
            <v>TTP1032</v>
          </cell>
          <cell r="G974" t="str">
            <v>Installed</v>
          </cell>
          <cell r="W974" t="str">
            <v>Y</v>
          </cell>
          <cell r="X974">
            <v>2</v>
          </cell>
          <cell r="Y974">
            <v>0</v>
          </cell>
        </row>
        <row r="975">
          <cell r="B975" t="str">
            <v>TTP1032</v>
          </cell>
          <cell r="G975" t="str">
            <v>Installed</v>
          </cell>
          <cell r="W975" t="str">
            <v>Y</v>
          </cell>
          <cell r="X975">
            <v>1</v>
          </cell>
          <cell r="Y975">
            <v>0</v>
          </cell>
        </row>
        <row r="976">
          <cell r="B976" t="str">
            <v>TTP1032</v>
          </cell>
          <cell r="G976" t="str">
            <v>Installed</v>
          </cell>
          <cell r="W976" t="str">
            <v>Y</v>
          </cell>
          <cell r="X976">
            <v>1</v>
          </cell>
          <cell r="Y976">
            <v>0</v>
          </cell>
        </row>
        <row r="977">
          <cell r="B977" t="str">
            <v>TTP1032</v>
          </cell>
          <cell r="G977" t="str">
            <v>Installed</v>
          </cell>
          <cell r="W977" t="str">
            <v>Y</v>
          </cell>
          <cell r="X977">
            <v>1</v>
          </cell>
          <cell r="Y977">
            <v>0</v>
          </cell>
        </row>
        <row r="978">
          <cell r="B978" t="str">
            <v>TTP1032</v>
          </cell>
          <cell r="G978" t="str">
            <v>Removed</v>
          </cell>
          <cell r="W978" t="str">
            <v>Y</v>
          </cell>
          <cell r="X978">
            <v>1</v>
          </cell>
          <cell r="Y978">
            <v>0</v>
          </cell>
        </row>
        <row r="979">
          <cell r="B979" t="str">
            <v>TTP1032</v>
          </cell>
          <cell r="G979" t="str">
            <v>Installed</v>
          </cell>
          <cell r="W979" t="str">
            <v>Y</v>
          </cell>
          <cell r="X979">
            <v>2</v>
          </cell>
          <cell r="Y979">
            <v>0</v>
          </cell>
        </row>
        <row r="980">
          <cell r="B980" t="str">
            <v>TTP1032</v>
          </cell>
          <cell r="G980" t="str">
            <v>Installed</v>
          </cell>
          <cell r="W980" t="str">
            <v>N</v>
          </cell>
          <cell r="X980">
            <v>4</v>
          </cell>
          <cell r="Y980">
            <v>0</v>
          </cell>
        </row>
        <row r="981">
          <cell r="B981" t="str">
            <v>TTP1032</v>
          </cell>
          <cell r="G981" t="str">
            <v>Removed</v>
          </cell>
          <cell r="W981" t="str">
            <v>Y</v>
          </cell>
          <cell r="X981">
            <v>2</v>
          </cell>
          <cell r="Y981">
            <v>0</v>
          </cell>
        </row>
        <row r="982">
          <cell r="B982" t="str">
            <v>TTP1032</v>
          </cell>
          <cell r="G982" t="str">
            <v>Removed</v>
          </cell>
          <cell r="W982" t="str">
            <v>Y</v>
          </cell>
          <cell r="X982">
            <v>1</v>
          </cell>
          <cell r="Y982">
            <v>0</v>
          </cell>
        </row>
        <row r="983">
          <cell r="B983" t="str">
            <v>TTP1032</v>
          </cell>
          <cell r="G983" t="str">
            <v>Installed</v>
          </cell>
          <cell r="W983" t="str">
            <v>Y</v>
          </cell>
          <cell r="X983">
            <v>1</v>
          </cell>
          <cell r="Y983">
            <v>0</v>
          </cell>
        </row>
        <row r="984">
          <cell r="B984" t="str">
            <v>TTP1032</v>
          </cell>
          <cell r="G984" t="str">
            <v>Removed</v>
          </cell>
          <cell r="W984" t="str">
            <v>Y</v>
          </cell>
          <cell r="X984">
            <v>1</v>
          </cell>
          <cell r="Y984">
            <v>0</v>
          </cell>
        </row>
        <row r="985">
          <cell r="B985" t="str">
            <v>TTP1032</v>
          </cell>
          <cell r="G985" t="str">
            <v>Removed</v>
          </cell>
          <cell r="W985" t="str">
            <v>Y</v>
          </cell>
          <cell r="X985">
            <v>1</v>
          </cell>
          <cell r="Y985">
            <v>0</v>
          </cell>
        </row>
        <row r="986">
          <cell r="B986" t="str">
            <v>TTP1032</v>
          </cell>
          <cell r="G986" t="str">
            <v>Removed</v>
          </cell>
          <cell r="W986" t="str">
            <v>Y</v>
          </cell>
          <cell r="X986">
            <v>0</v>
          </cell>
          <cell r="Y986">
            <v>0</v>
          </cell>
        </row>
        <row r="987">
          <cell r="B987" t="str">
            <v>TTP1032</v>
          </cell>
          <cell r="G987" t="str">
            <v>Removed</v>
          </cell>
          <cell r="W987" t="str">
            <v>Y</v>
          </cell>
          <cell r="X987">
            <v>0</v>
          </cell>
          <cell r="Y987">
            <v>0</v>
          </cell>
        </row>
        <row r="988">
          <cell r="B988" t="str">
            <v>TTP1032</v>
          </cell>
          <cell r="G988" t="str">
            <v>Removed</v>
          </cell>
          <cell r="W988" t="str">
            <v>Y</v>
          </cell>
          <cell r="X988">
            <v>0</v>
          </cell>
          <cell r="Y988">
            <v>0</v>
          </cell>
        </row>
        <row r="989">
          <cell r="B989" t="str">
            <v>TTP1032</v>
          </cell>
          <cell r="G989" t="str">
            <v>Removed</v>
          </cell>
          <cell r="W989" t="str">
            <v>Y</v>
          </cell>
          <cell r="X989">
            <v>1</v>
          </cell>
          <cell r="Y989">
            <v>0</v>
          </cell>
        </row>
        <row r="990">
          <cell r="B990" t="str">
            <v>TTP1032</v>
          </cell>
          <cell r="G990" t="str">
            <v>Removed</v>
          </cell>
          <cell r="W990" t="str">
            <v>Y</v>
          </cell>
          <cell r="X990">
            <v>0</v>
          </cell>
          <cell r="Y990">
            <v>0</v>
          </cell>
        </row>
        <row r="991">
          <cell r="B991" t="str">
            <v>TTP1032</v>
          </cell>
          <cell r="G991" t="str">
            <v>Removed</v>
          </cell>
          <cell r="W991" t="str">
            <v>Y</v>
          </cell>
          <cell r="X991">
            <v>0</v>
          </cell>
          <cell r="Y991">
            <v>0</v>
          </cell>
        </row>
        <row r="992">
          <cell r="B992" t="str">
            <v>TTP1032</v>
          </cell>
          <cell r="G992" t="str">
            <v>Removed</v>
          </cell>
          <cell r="W992" t="str">
            <v>Y</v>
          </cell>
          <cell r="X992">
            <v>0</v>
          </cell>
          <cell r="Y992">
            <v>0</v>
          </cell>
        </row>
        <row r="993">
          <cell r="B993" t="str">
            <v>TTP1032</v>
          </cell>
          <cell r="G993" t="str">
            <v>Removed</v>
          </cell>
          <cell r="W993" t="str">
            <v>Y</v>
          </cell>
          <cell r="X993">
            <v>0</v>
          </cell>
          <cell r="Y993">
            <v>0</v>
          </cell>
        </row>
        <row r="994">
          <cell r="B994" t="str">
            <v>TTP1032</v>
          </cell>
          <cell r="G994" t="str">
            <v>Removed</v>
          </cell>
          <cell r="W994" t="str">
            <v>Y</v>
          </cell>
          <cell r="X994">
            <v>0</v>
          </cell>
          <cell r="Y994">
            <v>0</v>
          </cell>
        </row>
        <row r="995">
          <cell r="B995" t="str">
            <v>TTP1032</v>
          </cell>
          <cell r="G995" t="str">
            <v>Installed</v>
          </cell>
          <cell r="W995" t="str">
            <v>Y</v>
          </cell>
          <cell r="X995">
            <v>2</v>
          </cell>
          <cell r="Y995">
            <v>0</v>
          </cell>
        </row>
        <row r="996">
          <cell r="B996" t="str">
            <v>TTP1032</v>
          </cell>
          <cell r="G996" t="str">
            <v>Installed</v>
          </cell>
          <cell r="W996" t="str">
            <v>Y</v>
          </cell>
          <cell r="X996">
            <v>1</v>
          </cell>
          <cell r="Y996">
            <v>0</v>
          </cell>
        </row>
        <row r="997">
          <cell r="B997" t="str">
            <v>TTP1032</v>
          </cell>
          <cell r="G997" t="str">
            <v>Installed</v>
          </cell>
          <cell r="W997" t="str">
            <v>Y</v>
          </cell>
          <cell r="X997">
            <v>1</v>
          </cell>
          <cell r="Y997">
            <v>0</v>
          </cell>
        </row>
        <row r="998">
          <cell r="B998" t="str">
            <v>TTP1032</v>
          </cell>
          <cell r="G998" t="str">
            <v>Installed</v>
          </cell>
          <cell r="W998" t="str">
            <v>N</v>
          </cell>
          <cell r="X998">
            <v>1</v>
          </cell>
          <cell r="Y998">
            <v>0</v>
          </cell>
        </row>
        <row r="999">
          <cell r="B999" t="str">
            <v>TTP1032</v>
          </cell>
          <cell r="G999" t="str">
            <v>Installed</v>
          </cell>
          <cell r="W999" t="str">
            <v>N</v>
          </cell>
          <cell r="X999">
            <v>1</v>
          </cell>
          <cell r="Y999">
            <v>0</v>
          </cell>
        </row>
        <row r="1000">
          <cell r="B1000" t="str">
            <v>TTP1032</v>
          </cell>
          <cell r="G1000" t="str">
            <v>Installed</v>
          </cell>
          <cell r="W1000" t="str">
            <v>Y</v>
          </cell>
          <cell r="X1000">
            <v>1</v>
          </cell>
          <cell r="Y1000">
            <v>0</v>
          </cell>
        </row>
        <row r="1001">
          <cell r="B1001" t="str">
            <v>TTP1032</v>
          </cell>
          <cell r="G1001" t="str">
            <v>Installed</v>
          </cell>
          <cell r="W1001" t="str">
            <v>Y</v>
          </cell>
          <cell r="X1001">
            <v>3</v>
          </cell>
          <cell r="Y1001">
            <v>0</v>
          </cell>
        </row>
        <row r="1002">
          <cell r="B1002" t="str">
            <v>TTP1032</v>
          </cell>
          <cell r="G1002" t="str">
            <v>Installed</v>
          </cell>
          <cell r="W1002" t="str">
            <v>Y</v>
          </cell>
          <cell r="X1002">
            <v>3</v>
          </cell>
          <cell r="Y1002">
            <v>0</v>
          </cell>
        </row>
        <row r="1003">
          <cell r="B1003" t="str">
            <v>TTP1032</v>
          </cell>
          <cell r="G1003" t="str">
            <v>Installed</v>
          </cell>
          <cell r="W1003" t="str">
            <v>Y</v>
          </cell>
          <cell r="X1003">
            <v>1</v>
          </cell>
          <cell r="Y1003">
            <v>0</v>
          </cell>
        </row>
        <row r="1004">
          <cell r="B1004" t="str">
            <v>TTP1032</v>
          </cell>
          <cell r="G1004" t="str">
            <v>Installed</v>
          </cell>
          <cell r="W1004" t="str">
            <v>Y</v>
          </cell>
          <cell r="X1004">
            <v>10</v>
          </cell>
          <cell r="Y1004">
            <v>0</v>
          </cell>
        </row>
        <row r="1005">
          <cell r="B1005" t="str">
            <v>TTP1032</v>
          </cell>
          <cell r="G1005" t="str">
            <v>Installed</v>
          </cell>
          <cell r="W1005" t="str">
            <v>Y</v>
          </cell>
          <cell r="X1005">
            <v>3</v>
          </cell>
          <cell r="Y1005">
            <v>0</v>
          </cell>
        </row>
        <row r="1006">
          <cell r="B1006" t="str">
            <v>TTP1032</v>
          </cell>
          <cell r="G1006" t="str">
            <v>Installed</v>
          </cell>
          <cell r="W1006" t="str">
            <v>Y</v>
          </cell>
          <cell r="X1006">
            <v>2</v>
          </cell>
          <cell r="Y1006">
            <v>0</v>
          </cell>
        </row>
        <row r="1007">
          <cell r="B1007" t="str">
            <v>TTP1032</v>
          </cell>
          <cell r="G1007" t="str">
            <v>Removed</v>
          </cell>
          <cell r="W1007" t="str">
            <v>Y</v>
          </cell>
          <cell r="X1007">
            <v>2</v>
          </cell>
          <cell r="Y1007">
            <v>0</v>
          </cell>
        </row>
        <row r="1008">
          <cell r="B1008" t="str">
            <v>TTP1032</v>
          </cell>
          <cell r="G1008" t="str">
            <v>Removed</v>
          </cell>
          <cell r="W1008" t="str">
            <v>Y</v>
          </cell>
          <cell r="X1008">
            <v>2</v>
          </cell>
          <cell r="Y1008">
            <v>0</v>
          </cell>
        </row>
        <row r="1009">
          <cell r="B1009" t="str">
            <v>TTP1032</v>
          </cell>
          <cell r="G1009" t="str">
            <v>Installed</v>
          </cell>
          <cell r="W1009" t="str">
            <v>Y</v>
          </cell>
          <cell r="X1009">
            <v>1</v>
          </cell>
          <cell r="Y1009">
            <v>0</v>
          </cell>
        </row>
        <row r="1010">
          <cell r="B1010" t="str">
            <v>TTP1032</v>
          </cell>
          <cell r="G1010" t="str">
            <v>Installed</v>
          </cell>
          <cell r="W1010" t="str">
            <v>Y</v>
          </cell>
          <cell r="X1010">
            <v>1</v>
          </cell>
          <cell r="Y1010">
            <v>0</v>
          </cell>
        </row>
        <row r="1011">
          <cell r="B1011" t="str">
            <v>TTP1032</v>
          </cell>
          <cell r="G1011" t="str">
            <v>Removed</v>
          </cell>
          <cell r="W1011" t="str">
            <v>Y</v>
          </cell>
          <cell r="X1011">
            <v>1</v>
          </cell>
          <cell r="Y1011">
            <v>0</v>
          </cell>
        </row>
        <row r="1012">
          <cell r="B1012" t="str">
            <v>TTP1032</v>
          </cell>
          <cell r="G1012" t="str">
            <v>Removed</v>
          </cell>
          <cell r="W1012" t="str">
            <v>Y</v>
          </cell>
          <cell r="X1012">
            <v>1</v>
          </cell>
          <cell r="Y1012">
            <v>0</v>
          </cell>
        </row>
        <row r="1013">
          <cell r="B1013" t="str">
            <v>TTP1032</v>
          </cell>
          <cell r="G1013" t="str">
            <v>Installed</v>
          </cell>
          <cell r="W1013" t="str">
            <v>N</v>
          </cell>
          <cell r="X1013">
            <v>3</v>
          </cell>
          <cell r="Y1013">
            <v>0</v>
          </cell>
        </row>
        <row r="1014">
          <cell r="B1014" t="str">
            <v>TMO1033</v>
          </cell>
          <cell r="G1014" t="str">
            <v>Installed</v>
          </cell>
          <cell r="W1014" t="str">
            <v>N</v>
          </cell>
          <cell r="X1014">
            <v>1</v>
          </cell>
          <cell r="Y1014">
            <v>0</v>
          </cell>
        </row>
        <row r="1015">
          <cell r="B1015" t="str">
            <v>TMO1033</v>
          </cell>
          <cell r="G1015" t="str">
            <v>Installed</v>
          </cell>
          <cell r="W1015" t="str">
            <v>Y</v>
          </cell>
          <cell r="X1015">
            <v>1</v>
          </cell>
          <cell r="Y1015">
            <v>0</v>
          </cell>
        </row>
        <row r="1016">
          <cell r="B1016" t="str">
            <v>TMO1033</v>
          </cell>
          <cell r="G1016" t="str">
            <v>Installed</v>
          </cell>
          <cell r="W1016" t="str">
            <v>N</v>
          </cell>
          <cell r="X1016">
            <v>1</v>
          </cell>
          <cell r="Y1016">
            <v>0</v>
          </cell>
        </row>
        <row r="1017">
          <cell r="B1017" t="str">
            <v>TMO1033</v>
          </cell>
          <cell r="G1017" t="str">
            <v>Installed</v>
          </cell>
          <cell r="W1017" t="str">
            <v>Y</v>
          </cell>
          <cell r="X1017">
            <v>3</v>
          </cell>
          <cell r="Y1017">
            <v>0</v>
          </cell>
        </row>
        <row r="1018">
          <cell r="B1018" t="str">
            <v>TMO1033</v>
          </cell>
          <cell r="G1018" t="str">
            <v>Installed</v>
          </cell>
          <cell r="W1018" t="str">
            <v>Y</v>
          </cell>
          <cell r="X1018">
            <v>0</v>
          </cell>
          <cell r="Y1018">
            <v>0</v>
          </cell>
        </row>
        <row r="1019">
          <cell r="B1019" t="str">
            <v>TMO1033</v>
          </cell>
          <cell r="G1019" t="str">
            <v>Installed</v>
          </cell>
          <cell r="W1019" t="str">
            <v>Y</v>
          </cell>
          <cell r="X1019">
            <v>0</v>
          </cell>
          <cell r="Y1019">
            <v>0</v>
          </cell>
        </row>
        <row r="1020">
          <cell r="B1020" t="str">
            <v>TMO1033</v>
          </cell>
          <cell r="G1020" t="str">
            <v>Installed</v>
          </cell>
          <cell r="W1020" t="str">
            <v>Y</v>
          </cell>
          <cell r="X1020">
            <v>0</v>
          </cell>
          <cell r="Y1020">
            <v>0</v>
          </cell>
        </row>
        <row r="1021">
          <cell r="B1021" t="str">
            <v>TMO1033</v>
          </cell>
          <cell r="G1021" t="str">
            <v>Installed</v>
          </cell>
          <cell r="W1021" t="str">
            <v>Y</v>
          </cell>
          <cell r="X1021">
            <v>0</v>
          </cell>
          <cell r="Y1021">
            <v>0</v>
          </cell>
        </row>
        <row r="1022">
          <cell r="B1022" t="str">
            <v>TMO1033</v>
          </cell>
          <cell r="G1022" t="str">
            <v>Installed</v>
          </cell>
          <cell r="W1022" t="str">
            <v>Y</v>
          </cell>
          <cell r="X1022">
            <v>0</v>
          </cell>
          <cell r="Y1022">
            <v>0</v>
          </cell>
        </row>
        <row r="1023">
          <cell r="B1023" t="str">
            <v>TMO1033</v>
          </cell>
          <cell r="G1023" t="str">
            <v>Installed</v>
          </cell>
          <cell r="W1023" t="str">
            <v>Y</v>
          </cell>
          <cell r="X1023">
            <v>0</v>
          </cell>
          <cell r="Y1023">
            <v>0</v>
          </cell>
        </row>
        <row r="1024">
          <cell r="B1024" t="str">
            <v>TMO1033</v>
          </cell>
          <cell r="G1024" t="str">
            <v>Installed</v>
          </cell>
          <cell r="W1024" t="str">
            <v>Y</v>
          </cell>
          <cell r="X1024">
            <v>0</v>
          </cell>
          <cell r="Y1024">
            <v>0</v>
          </cell>
        </row>
        <row r="1025">
          <cell r="B1025" t="str">
            <v>TMO1033</v>
          </cell>
          <cell r="G1025" t="str">
            <v>Installed</v>
          </cell>
          <cell r="W1025" t="str">
            <v>Y</v>
          </cell>
          <cell r="X1025">
            <v>0</v>
          </cell>
          <cell r="Y1025">
            <v>0</v>
          </cell>
        </row>
        <row r="1026">
          <cell r="B1026" t="str">
            <v>TMO1033</v>
          </cell>
          <cell r="G1026" t="str">
            <v>Installed</v>
          </cell>
          <cell r="W1026" t="str">
            <v>Y</v>
          </cell>
          <cell r="X1026">
            <v>0</v>
          </cell>
          <cell r="Y1026">
            <v>0</v>
          </cell>
        </row>
        <row r="1027">
          <cell r="B1027" t="str">
            <v>TMO1033</v>
          </cell>
          <cell r="G1027" t="str">
            <v>Installed</v>
          </cell>
          <cell r="W1027" t="str">
            <v>Y</v>
          </cell>
          <cell r="X1027">
            <v>0</v>
          </cell>
          <cell r="Y1027">
            <v>0</v>
          </cell>
        </row>
        <row r="1028">
          <cell r="B1028" t="str">
            <v>TMO1033</v>
          </cell>
          <cell r="G1028" t="str">
            <v>Installed</v>
          </cell>
          <cell r="W1028" t="str">
            <v>Y</v>
          </cell>
          <cell r="X1028">
            <v>0</v>
          </cell>
          <cell r="Y1028">
            <v>0</v>
          </cell>
        </row>
        <row r="1029">
          <cell r="B1029" t="str">
            <v>TMO1033</v>
          </cell>
          <cell r="G1029" t="str">
            <v>Installed</v>
          </cell>
          <cell r="W1029" t="str">
            <v>Y</v>
          </cell>
          <cell r="X1029">
            <v>1</v>
          </cell>
          <cell r="Y1029">
            <v>0</v>
          </cell>
        </row>
        <row r="1030">
          <cell r="B1030" t="str">
            <v>TMO1033</v>
          </cell>
          <cell r="G1030" t="str">
            <v>Installed</v>
          </cell>
          <cell r="W1030" t="str">
            <v>Y</v>
          </cell>
          <cell r="X1030">
            <v>1</v>
          </cell>
          <cell r="Y1030">
            <v>0</v>
          </cell>
        </row>
        <row r="1031">
          <cell r="B1031" t="str">
            <v>TMO1033</v>
          </cell>
          <cell r="G1031" t="str">
            <v>Installed</v>
          </cell>
          <cell r="W1031" t="str">
            <v>Y</v>
          </cell>
          <cell r="X1031">
            <v>1</v>
          </cell>
          <cell r="Y1031">
            <v>0</v>
          </cell>
        </row>
        <row r="1032">
          <cell r="B1032" t="str">
            <v>TMO1033</v>
          </cell>
          <cell r="G1032" t="str">
            <v>Installed</v>
          </cell>
          <cell r="W1032" t="str">
            <v>Y</v>
          </cell>
          <cell r="X1032">
            <v>1</v>
          </cell>
          <cell r="Y1032">
            <v>0</v>
          </cell>
        </row>
        <row r="1033">
          <cell r="B1033" t="str">
            <v>TMO1033</v>
          </cell>
          <cell r="G1033" t="str">
            <v>Installed</v>
          </cell>
          <cell r="W1033" t="str">
            <v>Y</v>
          </cell>
          <cell r="X1033">
            <v>2</v>
          </cell>
          <cell r="Y1033">
            <v>0</v>
          </cell>
        </row>
        <row r="1034">
          <cell r="B1034" t="str">
            <v>TMO1033</v>
          </cell>
          <cell r="G1034" t="str">
            <v>Installed</v>
          </cell>
          <cell r="W1034" t="str">
            <v>Y</v>
          </cell>
          <cell r="X1034">
            <v>2</v>
          </cell>
          <cell r="Y1034">
            <v>0</v>
          </cell>
        </row>
        <row r="1035">
          <cell r="B1035" t="str">
            <v>TMO1033</v>
          </cell>
          <cell r="G1035" t="str">
            <v>Installed</v>
          </cell>
          <cell r="W1035" t="str">
            <v>N</v>
          </cell>
          <cell r="X1035">
            <v>6</v>
          </cell>
          <cell r="Y1035">
            <v>0</v>
          </cell>
        </row>
        <row r="1036">
          <cell r="B1036" t="str">
            <v>TMO1033</v>
          </cell>
          <cell r="G1036" t="str">
            <v>Installed</v>
          </cell>
          <cell r="W1036" t="str">
            <v>Y</v>
          </cell>
          <cell r="X1036">
            <v>1</v>
          </cell>
          <cell r="Y1036">
            <v>0</v>
          </cell>
        </row>
        <row r="1037">
          <cell r="B1037" t="str">
            <v>TMO1033</v>
          </cell>
          <cell r="G1037" t="str">
            <v>Installed</v>
          </cell>
          <cell r="W1037" t="str">
            <v>Y</v>
          </cell>
          <cell r="X1037">
            <v>1</v>
          </cell>
          <cell r="Y1037">
            <v>0</v>
          </cell>
        </row>
        <row r="1038">
          <cell r="B1038" t="str">
            <v>TMO1033</v>
          </cell>
          <cell r="G1038" t="str">
            <v>Installed</v>
          </cell>
          <cell r="W1038" t="str">
            <v>Y</v>
          </cell>
          <cell r="X1038">
            <v>1</v>
          </cell>
          <cell r="Y1038">
            <v>0</v>
          </cell>
        </row>
        <row r="1039">
          <cell r="B1039" t="str">
            <v>TMO1033</v>
          </cell>
          <cell r="G1039" t="str">
            <v>Installed</v>
          </cell>
          <cell r="W1039" t="str">
            <v>Y</v>
          </cell>
          <cell r="X1039">
            <v>1</v>
          </cell>
          <cell r="Y1039">
            <v>0</v>
          </cell>
        </row>
        <row r="1040">
          <cell r="B1040" t="str">
            <v>TMO1033</v>
          </cell>
          <cell r="G1040" t="str">
            <v>Installed</v>
          </cell>
          <cell r="W1040" t="str">
            <v>Y</v>
          </cell>
          <cell r="X1040">
            <v>1</v>
          </cell>
          <cell r="Y1040">
            <v>0</v>
          </cell>
        </row>
        <row r="1041">
          <cell r="B1041" t="str">
            <v>TMO1033</v>
          </cell>
          <cell r="G1041" t="str">
            <v>Installed</v>
          </cell>
          <cell r="W1041" t="str">
            <v>Y</v>
          </cell>
          <cell r="X1041">
            <v>1</v>
          </cell>
          <cell r="Y1041">
            <v>0</v>
          </cell>
        </row>
        <row r="1042">
          <cell r="B1042" t="str">
            <v>TMO1033</v>
          </cell>
          <cell r="G1042" t="str">
            <v>Installed</v>
          </cell>
          <cell r="W1042" t="str">
            <v>Y</v>
          </cell>
          <cell r="X1042">
            <v>2</v>
          </cell>
          <cell r="Y1042">
            <v>0</v>
          </cell>
        </row>
        <row r="1043">
          <cell r="B1043" t="str">
            <v>TMO1033</v>
          </cell>
          <cell r="G1043" t="str">
            <v>Installed</v>
          </cell>
          <cell r="W1043" t="str">
            <v>Y</v>
          </cell>
          <cell r="X1043">
            <v>1</v>
          </cell>
          <cell r="Y1043">
            <v>0</v>
          </cell>
        </row>
        <row r="1044">
          <cell r="B1044" t="str">
            <v>TMO1033</v>
          </cell>
          <cell r="G1044" t="str">
            <v>Installed</v>
          </cell>
          <cell r="W1044" t="str">
            <v>Y</v>
          </cell>
          <cell r="X1044">
            <v>1</v>
          </cell>
          <cell r="Y1044">
            <v>0</v>
          </cell>
        </row>
        <row r="1045">
          <cell r="B1045" t="str">
            <v>TMO1033</v>
          </cell>
          <cell r="G1045" t="str">
            <v>Installed</v>
          </cell>
          <cell r="W1045" t="str">
            <v>Y</v>
          </cell>
          <cell r="X1045">
            <v>1</v>
          </cell>
          <cell r="Y1045">
            <v>0</v>
          </cell>
        </row>
        <row r="1046">
          <cell r="B1046" t="str">
            <v>TMO1033</v>
          </cell>
          <cell r="G1046" t="str">
            <v>Installed</v>
          </cell>
          <cell r="W1046" t="str">
            <v>N</v>
          </cell>
          <cell r="X1046">
            <v>3</v>
          </cell>
          <cell r="Y1046">
            <v>0</v>
          </cell>
        </row>
        <row r="1047">
          <cell r="B1047" t="str">
            <v>TMO1033</v>
          </cell>
          <cell r="G1047" t="str">
            <v>Installed</v>
          </cell>
          <cell r="W1047" t="str">
            <v>N</v>
          </cell>
          <cell r="X1047">
            <v>8</v>
          </cell>
          <cell r="Y1047">
            <v>0</v>
          </cell>
        </row>
        <row r="1048">
          <cell r="B1048" t="str">
            <v>TMO1033</v>
          </cell>
          <cell r="G1048" t="str">
            <v>Installed</v>
          </cell>
          <cell r="W1048" t="str">
            <v>N</v>
          </cell>
          <cell r="X1048">
            <v>1</v>
          </cell>
          <cell r="Y1048">
            <v>0</v>
          </cell>
        </row>
        <row r="1049">
          <cell r="B1049" t="str">
            <v>TMO1033</v>
          </cell>
          <cell r="G1049" t="str">
            <v>Installed</v>
          </cell>
          <cell r="W1049" t="str">
            <v>N</v>
          </cell>
          <cell r="X1049">
            <v>1</v>
          </cell>
          <cell r="Y1049">
            <v>0</v>
          </cell>
        </row>
        <row r="1050">
          <cell r="B1050" t="str">
            <v>TMO1033</v>
          </cell>
          <cell r="G1050" t="str">
            <v>Installed</v>
          </cell>
          <cell r="W1050" t="str">
            <v>N</v>
          </cell>
          <cell r="X1050">
            <v>0</v>
          </cell>
          <cell r="Y1050">
            <v>0</v>
          </cell>
        </row>
        <row r="1051">
          <cell r="B1051" t="str">
            <v>TMO1033</v>
          </cell>
          <cell r="G1051" t="str">
            <v>Installed</v>
          </cell>
          <cell r="W1051" t="str">
            <v>Y</v>
          </cell>
          <cell r="X1051">
            <v>3</v>
          </cell>
          <cell r="Y1051">
            <v>0</v>
          </cell>
        </row>
        <row r="1052">
          <cell r="B1052" t="str">
            <v>TMO1033</v>
          </cell>
          <cell r="G1052" t="str">
            <v>Installed</v>
          </cell>
          <cell r="W1052" t="str">
            <v>Y</v>
          </cell>
          <cell r="X1052">
            <v>2</v>
          </cell>
          <cell r="Y1052">
            <v>0</v>
          </cell>
        </row>
        <row r="1053">
          <cell r="B1053" t="str">
            <v>TMO1033</v>
          </cell>
          <cell r="G1053" t="str">
            <v>Installed</v>
          </cell>
          <cell r="W1053" t="str">
            <v>Y</v>
          </cell>
          <cell r="X1053">
            <v>8</v>
          </cell>
          <cell r="Y1053">
            <v>0</v>
          </cell>
        </row>
        <row r="1054">
          <cell r="B1054" t="str">
            <v>TMO1033</v>
          </cell>
          <cell r="G1054" t="str">
            <v>Installed</v>
          </cell>
          <cell r="W1054" t="str">
            <v>Y</v>
          </cell>
          <cell r="X1054">
            <v>2</v>
          </cell>
          <cell r="Y1054">
            <v>0</v>
          </cell>
        </row>
        <row r="1055">
          <cell r="B1055" t="str">
            <v>TMO1033</v>
          </cell>
          <cell r="G1055" t="str">
            <v>Installed</v>
          </cell>
          <cell r="W1055" t="str">
            <v>Y</v>
          </cell>
          <cell r="X1055">
            <v>2</v>
          </cell>
          <cell r="Y1055">
            <v>0</v>
          </cell>
        </row>
        <row r="1056">
          <cell r="B1056" t="str">
            <v>TMO1033</v>
          </cell>
          <cell r="G1056" t="str">
            <v>Installed</v>
          </cell>
          <cell r="W1056" t="str">
            <v>Y</v>
          </cell>
          <cell r="X1056">
            <v>1</v>
          </cell>
          <cell r="Y1056">
            <v>0</v>
          </cell>
        </row>
        <row r="1057">
          <cell r="B1057" t="str">
            <v>TMO1033</v>
          </cell>
          <cell r="G1057" t="str">
            <v>Installed</v>
          </cell>
          <cell r="W1057" t="str">
            <v>Y</v>
          </cell>
          <cell r="X1057">
            <v>1</v>
          </cell>
          <cell r="Y1057">
            <v>0</v>
          </cell>
        </row>
        <row r="1058">
          <cell r="B1058" t="str">
            <v>TMO1033</v>
          </cell>
          <cell r="G1058" t="str">
            <v>Removed</v>
          </cell>
          <cell r="W1058" t="str">
            <v>Y</v>
          </cell>
          <cell r="X1058">
            <v>1</v>
          </cell>
          <cell r="Y1058">
            <v>0</v>
          </cell>
        </row>
        <row r="1059">
          <cell r="B1059" t="str">
            <v>TMO1033</v>
          </cell>
          <cell r="G1059" t="str">
            <v>Removed</v>
          </cell>
          <cell r="W1059" t="str">
            <v>Y</v>
          </cell>
          <cell r="X1059">
            <v>1</v>
          </cell>
          <cell r="Y1059">
            <v>0</v>
          </cell>
        </row>
        <row r="1060">
          <cell r="B1060" t="str">
            <v>TMO1033</v>
          </cell>
          <cell r="G1060" t="str">
            <v>Removed</v>
          </cell>
          <cell r="W1060" t="str">
            <v>Y</v>
          </cell>
          <cell r="X1060">
            <v>3</v>
          </cell>
          <cell r="Y1060">
            <v>0</v>
          </cell>
        </row>
        <row r="1061">
          <cell r="B1061" t="str">
            <v>TMO1033</v>
          </cell>
          <cell r="G1061" t="str">
            <v>Removed</v>
          </cell>
          <cell r="W1061" t="str">
            <v>Y</v>
          </cell>
          <cell r="X1061">
            <v>3</v>
          </cell>
          <cell r="Y1061">
            <v>0</v>
          </cell>
        </row>
        <row r="1062">
          <cell r="B1062" t="str">
            <v>TMO1033</v>
          </cell>
          <cell r="G1062" t="str">
            <v>Removed</v>
          </cell>
          <cell r="W1062" t="str">
            <v>Y</v>
          </cell>
          <cell r="X1062">
            <v>2</v>
          </cell>
          <cell r="Y1062">
            <v>0</v>
          </cell>
        </row>
        <row r="1063">
          <cell r="B1063" t="str">
            <v>TMO1033</v>
          </cell>
          <cell r="G1063" t="str">
            <v>Prop Install</v>
          </cell>
          <cell r="W1063" t="str">
            <v>Y</v>
          </cell>
          <cell r="X1063">
            <v>1</v>
          </cell>
          <cell r="Y1063">
            <v>0</v>
          </cell>
        </row>
        <row r="1064">
          <cell r="B1064" t="str">
            <v>TMO1033</v>
          </cell>
          <cell r="G1064" t="str">
            <v>Installed</v>
          </cell>
          <cell r="W1064" t="str">
            <v>Y</v>
          </cell>
          <cell r="X1064">
            <v>35</v>
          </cell>
          <cell r="Y1064">
            <v>0</v>
          </cell>
        </row>
        <row r="1065">
          <cell r="B1065" t="str">
            <v>TMO1033</v>
          </cell>
          <cell r="G1065" t="str">
            <v>Installed</v>
          </cell>
          <cell r="W1065" t="str">
            <v>Y</v>
          </cell>
          <cell r="X1065">
            <v>2</v>
          </cell>
          <cell r="Y1065">
            <v>0</v>
          </cell>
        </row>
        <row r="1066">
          <cell r="B1066" t="str">
            <v>TDL1034</v>
          </cell>
          <cell r="G1066" t="str">
            <v>Installed</v>
          </cell>
          <cell r="W1066" t="str">
            <v>Y</v>
          </cell>
          <cell r="X1066">
            <v>1</v>
          </cell>
          <cell r="Y1066">
            <v>0</v>
          </cell>
        </row>
        <row r="1067">
          <cell r="B1067" t="str">
            <v>TDL1034</v>
          </cell>
          <cell r="G1067" t="str">
            <v>Installed</v>
          </cell>
          <cell r="W1067" t="str">
            <v>Y</v>
          </cell>
          <cell r="X1067">
            <v>2</v>
          </cell>
          <cell r="Y1067">
            <v>0</v>
          </cell>
        </row>
        <row r="1068">
          <cell r="B1068" t="str">
            <v>TDL1034</v>
          </cell>
          <cell r="G1068" t="str">
            <v>Removed</v>
          </cell>
          <cell r="W1068" t="str">
            <v>Y</v>
          </cell>
          <cell r="X1068">
            <v>2</v>
          </cell>
          <cell r="Y1068">
            <v>0</v>
          </cell>
        </row>
        <row r="1069">
          <cell r="B1069" t="str">
            <v>TDL1034</v>
          </cell>
          <cell r="G1069" t="str">
            <v>Installed</v>
          </cell>
          <cell r="W1069" t="str">
            <v>Y</v>
          </cell>
          <cell r="X1069">
            <v>1</v>
          </cell>
          <cell r="Y1069">
            <v>0</v>
          </cell>
        </row>
        <row r="1070">
          <cell r="B1070" t="str">
            <v>TDL1034</v>
          </cell>
          <cell r="G1070" t="str">
            <v>Installed</v>
          </cell>
          <cell r="W1070" t="str">
            <v>Y</v>
          </cell>
          <cell r="X1070">
            <v>1</v>
          </cell>
          <cell r="Y1070">
            <v>0</v>
          </cell>
        </row>
        <row r="1071">
          <cell r="B1071" t="str">
            <v>TDL1034</v>
          </cell>
          <cell r="G1071" t="str">
            <v>Installed</v>
          </cell>
          <cell r="W1071" t="str">
            <v>Y</v>
          </cell>
          <cell r="X1071">
            <v>1</v>
          </cell>
          <cell r="Y1071">
            <v>0</v>
          </cell>
        </row>
        <row r="1072">
          <cell r="B1072" t="str">
            <v>TDL1034</v>
          </cell>
          <cell r="G1072" t="str">
            <v>Installed</v>
          </cell>
          <cell r="W1072" t="str">
            <v>Y</v>
          </cell>
          <cell r="X1072">
            <v>1</v>
          </cell>
          <cell r="Y1072">
            <v>0</v>
          </cell>
        </row>
        <row r="1073">
          <cell r="B1073" t="str">
            <v>TDL1034</v>
          </cell>
          <cell r="G1073" t="str">
            <v>Installed</v>
          </cell>
          <cell r="W1073" t="str">
            <v>Y</v>
          </cell>
          <cell r="X1073">
            <v>1</v>
          </cell>
          <cell r="Y1073">
            <v>0</v>
          </cell>
        </row>
        <row r="1074">
          <cell r="B1074" t="str">
            <v>TDL1034</v>
          </cell>
          <cell r="G1074" t="str">
            <v>Removed</v>
          </cell>
          <cell r="W1074" t="str">
            <v>Y</v>
          </cell>
          <cell r="X1074">
            <v>1</v>
          </cell>
          <cell r="Y1074">
            <v>0</v>
          </cell>
        </row>
        <row r="1075">
          <cell r="B1075" t="str">
            <v>TDL1034</v>
          </cell>
          <cell r="G1075" t="str">
            <v>Installed</v>
          </cell>
          <cell r="W1075" t="str">
            <v>Y</v>
          </cell>
          <cell r="X1075">
            <v>1</v>
          </cell>
          <cell r="Y1075">
            <v>0</v>
          </cell>
        </row>
        <row r="1076">
          <cell r="B1076" t="str">
            <v>TDL1034</v>
          </cell>
          <cell r="G1076" t="str">
            <v>Installed</v>
          </cell>
          <cell r="W1076" t="str">
            <v>Y</v>
          </cell>
          <cell r="X1076">
            <v>1</v>
          </cell>
          <cell r="Y1076">
            <v>0</v>
          </cell>
        </row>
        <row r="1077">
          <cell r="B1077" t="str">
            <v>TDL1034</v>
          </cell>
          <cell r="G1077" t="str">
            <v>Installed</v>
          </cell>
          <cell r="W1077" t="str">
            <v>Y</v>
          </cell>
          <cell r="X1077">
            <v>2</v>
          </cell>
          <cell r="Y1077">
            <v>0</v>
          </cell>
        </row>
        <row r="1078">
          <cell r="B1078" t="str">
            <v>TDL1034</v>
          </cell>
          <cell r="G1078" t="str">
            <v>Installed</v>
          </cell>
          <cell r="W1078" t="str">
            <v>Y</v>
          </cell>
          <cell r="X1078">
            <v>0</v>
          </cell>
          <cell r="Y1078">
            <v>0</v>
          </cell>
        </row>
        <row r="1079">
          <cell r="B1079" t="str">
            <v>TDL1034</v>
          </cell>
          <cell r="G1079" t="str">
            <v>Installed</v>
          </cell>
          <cell r="W1079" t="str">
            <v>Y</v>
          </cell>
          <cell r="X1079">
            <v>0</v>
          </cell>
          <cell r="Y1079">
            <v>0</v>
          </cell>
        </row>
        <row r="1080">
          <cell r="B1080" t="str">
            <v>TDL1034</v>
          </cell>
          <cell r="G1080" t="str">
            <v>Installed</v>
          </cell>
          <cell r="W1080" t="str">
            <v>Y</v>
          </cell>
          <cell r="X1080">
            <v>0</v>
          </cell>
          <cell r="Y1080">
            <v>0</v>
          </cell>
        </row>
        <row r="1081">
          <cell r="B1081" t="str">
            <v>TDL1034</v>
          </cell>
          <cell r="G1081" t="str">
            <v>Installed</v>
          </cell>
          <cell r="W1081" t="str">
            <v>Y</v>
          </cell>
          <cell r="X1081">
            <v>0</v>
          </cell>
          <cell r="Y1081">
            <v>0</v>
          </cell>
        </row>
        <row r="1082">
          <cell r="B1082" t="str">
            <v>TDL1034</v>
          </cell>
          <cell r="G1082" t="str">
            <v>Installed</v>
          </cell>
          <cell r="W1082" t="str">
            <v>Y</v>
          </cell>
          <cell r="X1082">
            <v>0</v>
          </cell>
          <cell r="Y1082">
            <v>0</v>
          </cell>
        </row>
        <row r="1083">
          <cell r="B1083" t="str">
            <v>TDL1034</v>
          </cell>
          <cell r="G1083" t="str">
            <v>Installed</v>
          </cell>
          <cell r="W1083" t="str">
            <v>Y</v>
          </cell>
          <cell r="X1083">
            <v>0</v>
          </cell>
          <cell r="Y1083">
            <v>0</v>
          </cell>
        </row>
        <row r="1084">
          <cell r="B1084" t="str">
            <v>TDL1034</v>
          </cell>
          <cell r="G1084" t="str">
            <v>Installed</v>
          </cell>
          <cell r="W1084" t="str">
            <v>Y</v>
          </cell>
          <cell r="X1084">
            <v>0</v>
          </cell>
          <cell r="Y1084">
            <v>0</v>
          </cell>
        </row>
        <row r="1085">
          <cell r="B1085" t="str">
            <v>TDL1034</v>
          </cell>
          <cell r="G1085" t="str">
            <v>Removed</v>
          </cell>
          <cell r="W1085" t="str">
            <v>Y</v>
          </cell>
          <cell r="X1085">
            <v>7</v>
          </cell>
          <cell r="Y1085">
            <v>0</v>
          </cell>
        </row>
        <row r="1086">
          <cell r="B1086" t="str">
            <v>TDL1034</v>
          </cell>
          <cell r="G1086" t="str">
            <v>Removed</v>
          </cell>
          <cell r="W1086" t="str">
            <v>Y</v>
          </cell>
          <cell r="X1086">
            <v>1</v>
          </cell>
          <cell r="Y1086">
            <v>0</v>
          </cell>
        </row>
        <row r="1087">
          <cell r="B1087" t="str">
            <v>TDL1034</v>
          </cell>
          <cell r="G1087" t="str">
            <v>Installed</v>
          </cell>
          <cell r="W1087" t="str">
            <v>N</v>
          </cell>
          <cell r="X1087">
            <v>2</v>
          </cell>
          <cell r="Y1087">
            <v>0</v>
          </cell>
        </row>
        <row r="1088">
          <cell r="B1088" t="str">
            <v>TDL1034</v>
          </cell>
          <cell r="G1088" t="str">
            <v>Installed</v>
          </cell>
          <cell r="W1088" t="str">
            <v>Y</v>
          </cell>
          <cell r="X1088">
            <v>1</v>
          </cell>
          <cell r="Y1088">
            <v>0</v>
          </cell>
        </row>
        <row r="1089">
          <cell r="B1089" t="str">
            <v>TDL1034</v>
          </cell>
          <cell r="G1089" t="str">
            <v>Installed</v>
          </cell>
          <cell r="W1089" t="str">
            <v>N</v>
          </cell>
          <cell r="X1089">
            <v>1</v>
          </cell>
          <cell r="Y1089">
            <v>0</v>
          </cell>
        </row>
        <row r="1090">
          <cell r="B1090" t="str">
            <v>TDL1034</v>
          </cell>
          <cell r="G1090" t="str">
            <v>Installed</v>
          </cell>
          <cell r="W1090" t="str">
            <v>N</v>
          </cell>
          <cell r="X1090">
            <v>10</v>
          </cell>
          <cell r="Y1090">
            <v>0</v>
          </cell>
        </row>
        <row r="1091">
          <cell r="B1091" t="str">
            <v>TDL1034</v>
          </cell>
          <cell r="G1091" t="str">
            <v>Installed</v>
          </cell>
          <cell r="W1091" t="str">
            <v>N</v>
          </cell>
          <cell r="X1091">
            <v>5</v>
          </cell>
          <cell r="Y1091">
            <v>0</v>
          </cell>
        </row>
        <row r="1092">
          <cell r="B1092" t="str">
            <v>TDL1034</v>
          </cell>
          <cell r="G1092" t="str">
            <v>Installed</v>
          </cell>
          <cell r="W1092" t="str">
            <v>N</v>
          </cell>
          <cell r="X1092">
            <v>1</v>
          </cell>
          <cell r="Y1092">
            <v>0</v>
          </cell>
        </row>
        <row r="1093">
          <cell r="B1093" t="str">
            <v>TDL1034</v>
          </cell>
          <cell r="G1093" t="str">
            <v>Installed</v>
          </cell>
          <cell r="W1093" t="str">
            <v>N</v>
          </cell>
          <cell r="X1093">
            <v>1</v>
          </cell>
          <cell r="Y1093">
            <v>0</v>
          </cell>
        </row>
        <row r="1094">
          <cell r="B1094" t="str">
            <v>TDL1034</v>
          </cell>
          <cell r="G1094" t="str">
            <v>Removed</v>
          </cell>
          <cell r="W1094" t="str">
            <v>Y</v>
          </cell>
          <cell r="X1094">
            <v>4</v>
          </cell>
          <cell r="Y1094">
            <v>0</v>
          </cell>
        </row>
        <row r="1095">
          <cell r="B1095" t="str">
            <v>TDL1034</v>
          </cell>
          <cell r="G1095" t="str">
            <v>Removed</v>
          </cell>
          <cell r="W1095" t="str">
            <v>Y</v>
          </cell>
          <cell r="X1095">
            <v>4</v>
          </cell>
          <cell r="Y1095">
            <v>0</v>
          </cell>
        </row>
        <row r="1096">
          <cell r="B1096" t="str">
            <v>TDL1034</v>
          </cell>
          <cell r="G1096" t="str">
            <v>Installed</v>
          </cell>
          <cell r="W1096" t="str">
            <v>Y</v>
          </cell>
          <cell r="X1096">
            <v>2</v>
          </cell>
          <cell r="Y1096">
            <v>0</v>
          </cell>
        </row>
        <row r="1097">
          <cell r="B1097" t="str">
            <v>TDL1034</v>
          </cell>
          <cell r="G1097" t="str">
            <v>Installed</v>
          </cell>
          <cell r="W1097" t="str">
            <v>Y</v>
          </cell>
          <cell r="X1097">
            <v>2</v>
          </cell>
          <cell r="Y1097">
            <v>0</v>
          </cell>
        </row>
        <row r="1098">
          <cell r="B1098" t="str">
            <v>TDL1034</v>
          </cell>
          <cell r="G1098" t="str">
            <v>Installed</v>
          </cell>
          <cell r="W1098" t="str">
            <v>Y</v>
          </cell>
          <cell r="X1098">
            <v>2</v>
          </cell>
          <cell r="Y1098">
            <v>0</v>
          </cell>
        </row>
        <row r="1099">
          <cell r="B1099" t="str">
            <v>TDL1034</v>
          </cell>
          <cell r="G1099" t="str">
            <v>Installed</v>
          </cell>
          <cell r="W1099" t="str">
            <v>Y</v>
          </cell>
          <cell r="X1099">
            <v>16</v>
          </cell>
          <cell r="Y1099">
            <v>0</v>
          </cell>
        </row>
        <row r="1100">
          <cell r="B1100" t="str">
            <v>TDL1034</v>
          </cell>
          <cell r="G1100" t="str">
            <v>Installed</v>
          </cell>
          <cell r="W1100" t="str">
            <v>Y</v>
          </cell>
          <cell r="X1100">
            <v>1</v>
          </cell>
          <cell r="Y1100">
            <v>0</v>
          </cell>
        </row>
        <row r="1101">
          <cell r="B1101" t="str">
            <v>TDL1034</v>
          </cell>
          <cell r="G1101" t="str">
            <v>Installed</v>
          </cell>
          <cell r="W1101" t="str">
            <v>Y</v>
          </cell>
          <cell r="X1101">
            <v>2</v>
          </cell>
          <cell r="Y1101">
            <v>0</v>
          </cell>
        </row>
        <row r="1102">
          <cell r="B1102" t="str">
            <v>TKY1035</v>
          </cell>
          <cell r="G1102" t="str">
            <v>Installed</v>
          </cell>
          <cell r="W1102" t="str">
            <v>Y</v>
          </cell>
          <cell r="X1102">
            <v>2</v>
          </cell>
          <cell r="Y1102">
            <v>0</v>
          </cell>
        </row>
        <row r="1103">
          <cell r="B1103" t="str">
            <v>TKY1035</v>
          </cell>
          <cell r="G1103" t="str">
            <v>Installed</v>
          </cell>
          <cell r="W1103" t="str">
            <v>Y</v>
          </cell>
          <cell r="X1103">
            <v>2</v>
          </cell>
          <cell r="Y1103">
            <v>0</v>
          </cell>
        </row>
        <row r="1104">
          <cell r="B1104" t="str">
            <v>TKY1035</v>
          </cell>
          <cell r="G1104" t="str">
            <v>Installed</v>
          </cell>
          <cell r="W1104" t="str">
            <v>Y</v>
          </cell>
          <cell r="X1104">
            <v>2</v>
          </cell>
          <cell r="Y1104">
            <v>0</v>
          </cell>
        </row>
        <row r="1105">
          <cell r="B1105" t="str">
            <v>TKY1035</v>
          </cell>
          <cell r="G1105" t="str">
            <v>Installed</v>
          </cell>
          <cell r="W1105" t="str">
            <v>Y</v>
          </cell>
          <cell r="X1105">
            <v>1</v>
          </cell>
          <cell r="Y1105">
            <v>0</v>
          </cell>
        </row>
        <row r="1106">
          <cell r="B1106" t="str">
            <v>TKY1035</v>
          </cell>
          <cell r="G1106" t="str">
            <v>Installed</v>
          </cell>
          <cell r="W1106" t="str">
            <v>Y</v>
          </cell>
          <cell r="X1106">
            <v>1</v>
          </cell>
          <cell r="Y1106">
            <v>0</v>
          </cell>
        </row>
        <row r="1107">
          <cell r="B1107" t="str">
            <v>TKY1035</v>
          </cell>
          <cell r="G1107" t="str">
            <v>Installed</v>
          </cell>
          <cell r="W1107" t="str">
            <v>Y</v>
          </cell>
          <cell r="X1107">
            <v>1</v>
          </cell>
          <cell r="Y1107">
            <v>0</v>
          </cell>
        </row>
        <row r="1108">
          <cell r="B1108" t="str">
            <v>TKY1035</v>
          </cell>
          <cell r="G1108" t="str">
            <v>Installed</v>
          </cell>
          <cell r="W1108" t="str">
            <v>Y</v>
          </cell>
          <cell r="X1108">
            <v>1</v>
          </cell>
          <cell r="Y1108">
            <v>0</v>
          </cell>
        </row>
        <row r="1109">
          <cell r="B1109" t="str">
            <v>TKY1035</v>
          </cell>
          <cell r="G1109" t="str">
            <v>Installed</v>
          </cell>
          <cell r="W1109" t="str">
            <v>Y</v>
          </cell>
          <cell r="X1109">
            <v>1</v>
          </cell>
          <cell r="Y1109">
            <v>0</v>
          </cell>
        </row>
        <row r="1110">
          <cell r="B1110" t="str">
            <v>TKY1035</v>
          </cell>
          <cell r="G1110" t="str">
            <v>Installed</v>
          </cell>
          <cell r="W1110" t="str">
            <v>Y</v>
          </cell>
          <cell r="X1110">
            <v>1</v>
          </cell>
          <cell r="Y1110">
            <v>0</v>
          </cell>
        </row>
        <row r="1111">
          <cell r="B1111" t="str">
            <v>TKY1035</v>
          </cell>
          <cell r="G1111" t="str">
            <v>Installed</v>
          </cell>
          <cell r="W1111" t="str">
            <v>Y</v>
          </cell>
          <cell r="X1111">
            <v>1</v>
          </cell>
          <cell r="Y1111">
            <v>0</v>
          </cell>
        </row>
        <row r="1112">
          <cell r="B1112" t="str">
            <v>TKY1035</v>
          </cell>
          <cell r="G1112" t="str">
            <v>Installed</v>
          </cell>
          <cell r="W1112" t="str">
            <v>Y</v>
          </cell>
          <cell r="X1112">
            <v>1</v>
          </cell>
          <cell r="Y1112">
            <v>0</v>
          </cell>
        </row>
        <row r="1113">
          <cell r="B1113" t="str">
            <v>TKY1035</v>
          </cell>
          <cell r="G1113" t="str">
            <v>Installed</v>
          </cell>
          <cell r="W1113" t="str">
            <v>Y</v>
          </cell>
          <cell r="X1113">
            <v>2</v>
          </cell>
          <cell r="Y1113">
            <v>0</v>
          </cell>
        </row>
        <row r="1114">
          <cell r="B1114" t="str">
            <v>TKY1035</v>
          </cell>
          <cell r="G1114" t="str">
            <v>Installed</v>
          </cell>
          <cell r="W1114" t="str">
            <v>Y</v>
          </cell>
          <cell r="X1114">
            <v>1</v>
          </cell>
          <cell r="Y1114">
            <v>0</v>
          </cell>
        </row>
        <row r="1115">
          <cell r="B1115" t="str">
            <v>TKY1035</v>
          </cell>
          <cell r="G1115" t="str">
            <v>Installed</v>
          </cell>
          <cell r="W1115" t="str">
            <v>Y</v>
          </cell>
          <cell r="X1115">
            <v>1</v>
          </cell>
          <cell r="Y1115">
            <v>0</v>
          </cell>
        </row>
        <row r="1116">
          <cell r="B1116" t="str">
            <v>TKY1035</v>
          </cell>
          <cell r="G1116" t="str">
            <v>Installed</v>
          </cell>
          <cell r="W1116" t="str">
            <v>Y</v>
          </cell>
          <cell r="X1116">
            <v>1</v>
          </cell>
          <cell r="Y1116">
            <v>0</v>
          </cell>
        </row>
        <row r="1117">
          <cell r="B1117" t="str">
            <v>TKY1035</v>
          </cell>
          <cell r="G1117" t="str">
            <v>Installed</v>
          </cell>
          <cell r="W1117" t="str">
            <v>N</v>
          </cell>
          <cell r="X1117">
            <v>2</v>
          </cell>
          <cell r="Y1117">
            <v>0</v>
          </cell>
        </row>
        <row r="1118">
          <cell r="B1118" t="str">
            <v>TKY1035</v>
          </cell>
          <cell r="G1118" t="str">
            <v>Installed</v>
          </cell>
          <cell r="W1118" t="str">
            <v>Y</v>
          </cell>
          <cell r="X1118">
            <v>2</v>
          </cell>
          <cell r="Y1118">
            <v>0</v>
          </cell>
        </row>
        <row r="1119">
          <cell r="B1119" t="str">
            <v>TKY1035</v>
          </cell>
          <cell r="G1119" t="str">
            <v>Installed</v>
          </cell>
          <cell r="W1119" t="str">
            <v>Y</v>
          </cell>
          <cell r="X1119">
            <v>2</v>
          </cell>
          <cell r="Y1119">
            <v>0</v>
          </cell>
        </row>
        <row r="1120">
          <cell r="B1120" t="str">
            <v>TKY1035</v>
          </cell>
          <cell r="G1120" t="str">
            <v>Installed</v>
          </cell>
          <cell r="W1120" t="str">
            <v>Y</v>
          </cell>
          <cell r="X1120">
            <v>1</v>
          </cell>
          <cell r="Y1120">
            <v>0</v>
          </cell>
        </row>
        <row r="1121">
          <cell r="B1121" t="str">
            <v>TKY1035</v>
          </cell>
          <cell r="G1121" t="str">
            <v>Installed</v>
          </cell>
          <cell r="W1121" t="str">
            <v>N</v>
          </cell>
          <cell r="X1121">
            <v>1</v>
          </cell>
          <cell r="Y1121">
            <v>0</v>
          </cell>
        </row>
        <row r="1122">
          <cell r="B1122" t="str">
            <v>TKY1035</v>
          </cell>
          <cell r="G1122" t="str">
            <v>Installed</v>
          </cell>
          <cell r="W1122" t="str">
            <v>Y</v>
          </cell>
          <cell r="X1122">
            <v>1</v>
          </cell>
          <cell r="Y1122">
            <v>0</v>
          </cell>
        </row>
        <row r="1123">
          <cell r="B1123" t="str">
            <v>TKY1035</v>
          </cell>
          <cell r="G1123" t="str">
            <v>Installed</v>
          </cell>
          <cell r="W1123" t="str">
            <v>Y</v>
          </cell>
          <cell r="X1123">
            <v>1</v>
          </cell>
          <cell r="Y1123">
            <v>0</v>
          </cell>
        </row>
        <row r="1124">
          <cell r="B1124" t="str">
            <v>TKY1035</v>
          </cell>
          <cell r="G1124" t="str">
            <v>Installed</v>
          </cell>
          <cell r="W1124" t="str">
            <v>Y</v>
          </cell>
          <cell r="X1124">
            <v>2</v>
          </cell>
          <cell r="Y1124">
            <v>0</v>
          </cell>
        </row>
        <row r="1125">
          <cell r="B1125" t="str">
            <v>TKY1035</v>
          </cell>
          <cell r="G1125" t="str">
            <v>Installed</v>
          </cell>
          <cell r="W1125" t="str">
            <v>Y</v>
          </cell>
          <cell r="X1125">
            <v>0</v>
          </cell>
          <cell r="Y1125">
            <v>12</v>
          </cell>
        </row>
        <row r="1126">
          <cell r="B1126" t="str">
            <v>TKY1035</v>
          </cell>
          <cell r="G1126" t="str">
            <v>Installed</v>
          </cell>
          <cell r="W1126" t="str">
            <v>Y</v>
          </cell>
          <cell r="X1126">
            <v>0</v>
          </cell>
          <cell r="Y1126">
            <v>5</v>
          </cell>
        </row>
        <row r="1127">
          <cell r="B1127" t="str">
            <v>TKY1035</v>
          </cell>
          <cell r="G1127" t="str">
            <v>Installed</v>
          </cell>
          <cell r="W1127" t="str">
            <v>N</v>
          </cell>
          <cell r="X1127">
            <v>6</v>
          </cell>
          <cell r="Y1127">
            <v>0</v>
          </cell>
        </row>
        <row r="1128">
          <cell r="B1128" t="str">
            <v>TLH1036</v>
          </cell>
          <cell r="G1128" t="str">
            <v>Installed</v>
          </cell>
          <cell r="W1128" t="str">
            <v>Y</v>
          </cell>
          <cell r="X1128">
            <v>2</v>
          </cell>
          <cell r="Y1128">
            <v>0</v>
          </cell>
        </row>
        <row r="1129">
          <cell r="B1129" t="str">
            <v>TLH1036</v>
          </cell>
          <cell r="G1129" t="str">
            <v>Removed</v>
          </cell>
          <cell r="W1129" t="str">
            <v>Y</v>
          </cell>
          <cell r="X1129">
            <v>2</v>
          </cell>
          <cell r="Y1129">
            <v>0</v>
          </cell>
        </row>
        <row r="1130">
          <cell r="B1130" t="str">
            <v>TLH1036</v>
          </cell>
          <cell r="G1130" t="str">
            <v>Removed</v>
          </cell>
          <cell r="W1130" t="str">
            <v>Y</v>
          </cell>
          <cell r="X1130">
            <v>2</v>
          </cell>
          <cell r="Y1130">
            <v>0</v>
          </cell>
        </row>
        <row r="1131">
          <cell r="B1131" t="str">
            <v>TLH1036</v>
          </cell>
          <cell r="G1131" t="str">
            <v>Removed</v>
          </cell>
          <cell r="W1131" t="str">
            <v>Y</v>
          </cell>
          <cell r="X1131">
            <v>1</v>
          </cell>
          <cell r="Y1131">
            <v>0</v>
          </cell>
        </row>
        <row r="1132">
          <cell r="B1132" t="str">
            <v>TLH1036</v>
          </cell>
          <cell r="G1132" t="str">
            <v>Removed</v>
          </cell>
          <cell r="W1132" t="str">
            <v>Y</v>
          </cell>
          <cell r="X1132">
            <v>1</v>
          </cell>
          <cell r="Y1132">
            <v>0</v>
          </cell>
        </row>
        <row r="1133">
          <cell r="B1133" t="str">
            <v>TLH1036</v>
          </cell>
          <cell r="G1133" t="str">
            <v>Removed</v>
          </cell>
          <cell r="W1133" t="str">
            <v>Y</v>
          </cell>
          <cell r="X1133">
            <v>1</v>
          </cell>
          <cell r="Y1133">
            <v>0</v>
          </cell>
        </row>
        <row r="1134">
          <cell r="B1134" t="str">
            <v>TLH1036</v>
          </cell>
          <cell r="G1134" t="str">
            <v>Removed</v>
          </cell>
          <cell r="W1134" t="str">
            <v>Y</v>
          </cell>
          <cell r="X1134">
            <v>1</v>
          </cell>
          <cell r="Y1134">
            <v>0</v>
          </cell>
        </row>
        <row r="1135">
          <cell r="B1135" t="str">
            <v>TLH1036</v>
          </cell>
          <cell r="G1135" t="str">
            <v>Removed</v>
          </cell>
          <cell r="W1135" t="str">
            <v>Y</v>
          </cell>
          <cell r="X1135">
            <v>1</v>
          </cell>
          <cell r="Y1135">
            <v>0</v>
          </cell>
        </row>
        <row r="1136">
          <cell r="B1136" t="str">
            <v>TLH1036</v>
          </cell>
          <cell r="G1136" t="str">
            <v>Removed</v>
          </cell>
          <cell r="W1136" t="str">
            <v>Y</v>
          </cell>
          <cell r="X1136">
            <v>1</v>
          </cell>
          <cell r="Y1136">
            <v>0</v>
          </cell>
        </row>
        <row r="1137">
          <cell r="B1137" t="str">
            <v>TLH1036</v>
          </cell>
          <cell r="G1137" t="str">
            <v>Removed</v>
          </cell>
          <cell r="W1137" t="str">
            <v>Y</v>
          </cell>
          <cell r="X1137">
            <v>1</v>
          </cell>
          <cell r="Y1137">
            <v>0</v>
          </cell>
        </row>
        <row r="1138">
          <cell r="B1138" t="str">
            <v>TLH1036</v>
          </cell>
          <cell r="G1138" t="str">
            <v>Removed</v>
          </cell>
          <cell r="W1138" t="str">
            <v>Y</v>
          </cell>
          <cell r="X1138">
            <v>1</v>
          </cell>
          <cell r="Y1138">
            <v>0</v>
          </cell>
        </row>
        <row r="1139">
          <cell r="B1139" t="str">
            <v>TLH1036</v>
          </cell>
          <cell r="G1139" t="str">
            <v>Removed</v>
          </cell>
          <cell r="W1139" t="str">
            <v>Y</v>
          </cell>
          <cell r="X1139">
            <v>1</v>
          </cell>
          <cell r="Y1139">
            <v>0</v>
          </cell>
        </row>
        <row r="1140">
          <cell r="B1140" t="str">
            <v>TLH1036</v>
          </cell>
          <cell r="G1140" t="str">
            <v>Removed</v>
          </cell>
          <cell r="W1140" t="str">
            <v>Y</v>
          </cell>
          <cell r="X1140">
            <v>1</v>
          </cell>
          <cell r="Y1140">
            <v>0</v>
          </cell>
        </row>
        <row r="1141">
          <cell r="B1141" t="str">
            <v>TLH1036</v>
          </cell>
          <cell r="G1141" t="str">
            <v>Installed</v>
          </cell>
          <cell r="W1141" t="str">
            <v>Y</v>
          </cell>
          <cell r="X1141">
            <v>1</v>
          </cell>
          <cell r="Y1141">
            <v>0</v>
          </cell>
        </row>
        <row r="1142">
          <cell r="B1142" t="str">
            <v>TLH1036</v>
          </cell>
          <cell r="G1142" t="str">
            <v>Installed</v>
          </cell>
          <cell r="W1142" t="str">
            <v>N</v>
          </cell>
          <cell r="X1142">
            <v>3</v>
          </cell>
          <cell r="Y1142">
            <v>0</v>
          </cell>
        </row>
        <row r="1143">
          <cell r="B1143" t="str">
            <v>TLH1036</v>
          </cell>
          <cell r="G1143" t="str">
            <v>Removed</v>
          </cell>
          <cell r="W1143" t="str">
            <v>Y</v>
          </cell>
          <cell r="X1143">
            <v>1</v>
          </cell>
          <cell r="Y1143">
            <v>0</v>
          </cell>
        </row>
        <row r="1144">
          <cell r="B1144" t="str">
            <v>TLH1036</v>
          </cell>
          <cell r="G1144" t="str">
            <v>Removed</v>
          </cell>
          <cell r="W1144" t="str">
            <v>Y</v>
          </cell>
          <cell r="X1144">
            <v>1</v>
          </cell>
          <cell r="Y1144">
            <v>0</v>
          </cell>
        </row>
        <row r="1145">
          <cell r="B1145" t="str">
            <v>TLH1036</v>
          </cell>
          <cell r="G1145" t="str">
            <v>Installed</v>
          </cell>
          <cell r="W1145" t="str">
            <v>N</v>
          </cell>
          <cell r="X1145">
            <v>2</v>
          </cell>
          <cell r="Y1145">
            <v>0</v>
          </cell>
        </row>
        <row r="1146">
          <cell r="B1146" t="str">
            <v>TLH1036</v>
          </cell>
          <cell r="G1146" t="str">
            <v>Removed</v>
          </cell>
          <cell r="W1146" t="str">
            <v>Y</v>
          </cell>
          <cell r="X1146">
            <v>1</v>
          </cell>
          <cell r="Y1146">
            <v>0</v>
          </cell>
        </row>
        <row r="1147">
          <cell r="B1147" t="str">
            <v>TLH1036</v>
          </cell>
          <cell r="G1147" t="str">
            <v>Installed</v>
          </cell>
          <cell r="W1147" t="str">
            <v>N</v>
          </cell>
          <cell r="X1147">
            <v>2</v>
          </cell>
          <cell r="Y1147">
            <v>0</v>
          </cell>
        </row>
        <row r="1148">
          <cell r="B1148" t="str">
            <v>TLH1036</v>
          </cell>
          <cell r="G1148" t="str">
            <v>Installed</v>
          </cell>
          <cell r="W1148" t="str">
            <v>N</v>
          </cell>
          <cell r="X1148">
            <v>2</v>
          </cell>
          <cell r="Y1148">
            <v>0</v>
          </cell>
        </row>
        <row r="1149">
          <cell r="B1149" t="str">
            <v>TLH1036</v>
          </cell>
          <cell r="G1149" t="str">
            <v>Installed</v>
          </cell>
          <cell r="W1149" t="str">
            <v>Y</v>
          </cell>
          <cell r="X1149">
            <v>2</v>
          </cell>
          <cell r="Y1149">
            <v>0</v>
          </cell>
        </row>
        <row r="1150">
          <cell r="B1150" t="str">
            <v>TLH1036</v>
          </cell>
          <cell r="G1150" t="str">
            <v>Installed</v>
          </cell>
          <cell r="W1150" t="str">
            <v>Y</v>
          </cell>
          <cell r="X1150">
            <v>2</v>
          </cell>
          <cell r="Y1150">
            <v>0</v>
          </cell>
        </row>
        <row r="1151">
          <cell r="B1151" t="str">
            <v>TLH1036</v>
          </cell>
          <cell r="G1151" t="str">
            <v>Installed</v>
          </cell>
          <cell r="W1151" t="str">
            <v>Y</v>
          </cell>
          <cell r="X1151">
            <v>1</v>
          </cell>
          <cell r="Y1151">
            <v>0</v>
          </cell>
        </row>
        <row r="1152">
          <cell r="B1152" t="str">
            <v>TLH1036</v>
          </cell>
          <cell r="G1152" t="str">
            <v>Installed</v>
          </cell>
          <cell r="W1152" t="str">
            <v>Y</v>
          </cell>
          <cell r="X1152">
            <v>1</v>
          </cell>
          <cell r="Y1152">
            <v>0</v>
          </cell>
        </row>
        <row r="1153">
          <cell r="B1153" t="str">
            <v>TLH1036</v>
          </cell>
          <cell r="G1153" t="str">
            <v>Removed</v>
          </cell>
          <cell r="W1153" t="str">
            <v>Y</v>
          </cell>
          <cell r="X1153">
            <v>1</v>
          </cell>
          <cell r="Y1153">
            <v>0</v>
          </cell>
        </row>
        <row r="1154">
          <cell r="B1154" t="str">
            <v>TLH1036</v>
          </cell>
          <cell r="G1154" t="str">
            <v>Removed</v>
          </cell>
          <cell r="W1154" t="str">
            <v>Y</v>
          </cell>
          <cell r="X1154">
            <v>1</v>
          </cell>
          <cell r="Y1154">
            <v>0</v>
          </cell>
        </row>
        <row r="1155">
          <cell r="B1155" t="str">
            <v>TLH1036</v>
          </cell>
          <cell r="G1155" t="str">
            <v>Removed</v>
          </cell>
          <cell r="W1155" t="str">
            <v>Y</v>
          </cell>
          <cell r="X1155">
            <v>1</v>
          </cell>
          <cell r="Y1155">
            <v>0</v>
          </cell>
        </row>
        <row r="1156">
          <cell r="B1156" t="str">
            <v>TLH1036</v>
          </cell>
          <cell r="G1156" t="str">
            <v>Installed</v>
          </cell>
          <cell r="W1156" t="str">
            <v>Y</v>
          </cell>
          <cell r="X1156">
            <v>1</v>
          </cell>
          <cell r="Y1156">
            <v>0</v>
          </cell>
        </row>
        <row r="1157">
          <cell r="B1157" t="str">
            <v>TLH1036</v>
          </cell>
          <cell r="G1157" t="str">
            <v>Installed</v>
          </cell>
          <cell r="W1157" t="str">
            <v>N</v>
          </cell>
          <cell r="X1157">
            <v>6</v>
          </cell>
          <cell r="Y1157">
            <v>0</v>
          </cell>
        </row>
        <row r="1158">
          <cell r="B1158" t="str">
            <v>TLH1036</v>
          </cell>
          <cell r="G1158" t="str">
            <v>Installed</v>
          </cell>
          <cell r="W1158" t="str">
            <v>Y</v>
          </cell>
          <cell r="X1158">
            <v>4</v>
          </cell>
          <cell r="Y1158">
            <v>0</v>
          </cell>
        </row>
        <row r="1159">
          <cell r="B1159" t="str">
            <v>TLH1036</v>
          </cell>
          <cell r="G1159" t="str">
            <v>Installed</v>
          </cell>
          <cell r="W1159" t="str">
            <v>Y</v>
          </cell>
          <cell r="X1159">
            <v>24</v>
          </cell>
          <cell r="Y1159">
            <v>0</v>
          </cell>
        </row>
        <row r="1160">
          <cell r="B1160" t="str">
            <v>TLH1036</v>
          </cell>
          <cell r="G1160" t="str">
            <v>Installed</v>
          </cell>
          <cell r="W1160" t="str">
            <v>Y</v>
          </cell>
          <cell r="X1160">
            <v>2</v>
          </cell>
          <cell r="Y1160">
            <v>0</v>
          </cell>
        </row>
        <row r="1161">
          <cell r="B1161" t="str">
            <v>TLH1036</v>
          </cell>
          <cell r="G1161" t="str">
            <v>Installed</v>
          </cell>
          <cell r="W1161" t="str">
            <v>Y</v>
          </cell>
          <cell r="X1161">
            <v>4</v>
          </cell>
          <cell r="Y1161">
            <v>0</v>
          </cell>
        </row>
        <row r="1162">
          <cell r="B1162" t="str">
            <v>TCE1037</v>
          </cell>
          <cell r="G1162" t="str">
            <v>Installed</v>
          </cell>
          <cell r="W1162" t="str">
            <v>Y</v>
          </cell>
          <cell r="X1162">
            <v>0</v>
          </cell>
          <cell r="Y1162">
            <v>29</v>
          </cell>
        </row>
        <row r="1163">
          <cell r="B1163" t="str">
            <v>TDL1038</v>
          </cell>
          <cell r="G1163" t="str">
            <v>Installed</v>
          </cell>
          <cell r="W1163" t="str">
            <v>Y</v>
          </cell>
          <cell r="X1163">
            <v>1</v>
          </cell>
          <cell r="Y1163">
            <v>0</v>
          </cell>
        </row>
        <row r="1164">
          <cell r="B1164" t="str">
            <v>TDL1038</v>
          </cell>
          <cell r="G1164" t="str">
            <v>Installed</v>
          </cell>
          <cell r="W1164" t="str">
            <v>Y</v>
          </cell>
          <cell r="X1164">
            <v>1</v>
          </cell>
          <cell r="Y1164">
            <v>0</v>
          </cell>
        </row>
        <row r="1165">
          <cell r="B1165" t="str">
            <v>TDL1038</v>
          </cell>
          <cell r="G1165" t="str">
            <v>Removed</v>
          </cell>
          <cell r="W1165" t="str">
            <v>Y</v>
          </cell>
          <cell r="X1165">
            <v>1</v>
          </cell>
          <cell r="Y1165">
            <v>0</v>
          </cell>
        </row>
        <row r="1166">
          <cell r="B1166" t="str">
            <v>TDL1038</v>
          </cell>
          <cell r="G1166" t="str">
            <v>Removed</v>
          </cell>
          <cell r="W1166" t="str">
            <v>Y</v>
          </cell>
          <cell r="X1166">
            <v>1</v>
          </cell>
          <cell r="Y1166">
            <v>0</v>
          </cell>
        </row>
        <row r="1167">
          <cell r="B1167" t="str">
            <v>TDL1038</v>
          </cell>
          <cell r="G1167" t="str">
            <v>Installed</v>
          </cell>
          <cell r="W1167" t="str">
            <v>Y</v>
          </cell>
          <cell r="X1167">
            <v>2</v>
          </cell>
          <cell r="Y1167">
            <v>0</v>
          </cell>
        </row>
        <row r="1168">
          <cell r="B1168" t="str">
            <v>TDL1038</v>
          </cell>
          <cell r="G1168" t="str">
            <v>Installed</v>
          </cell>
          <cell r="W1168" t="str">
            <v>Y</v>
          </cell>
          <cell r="X1168">
            <v>2</v>
          </cell>
          <cell r="Y1168">
            <v>0</v>
          </cell>
        </row>
        <row r="1169">
          <cell r="B1169" t="str">
            <v>TDL1038</v>
          </cell>
          <cell r="G1169" t="str">
            <v>Installed</v>
          </cell>
          <cell r="W1169" t="str">
            <v>Y</v>
          </cell>
          <cell r="X1169">
            <v>2</v>
          </cell>
          <cell r="Y1169">
            <v>0</v>
          </cell>
        </row>
        <row r="1170">
          <cell r="B1170" t="str">
            <v>TDL1038</v>
          </cell>
          <cell r="G1170" t="str">
            <v>Installed</v>
          </cell>
          <cell r="W1170" t="str">
            <v>N</v>
          </cell>
          <cell r="X1170">
            <v>2</v>
          </cell>
          <cell r="Y1170">
            <v>0</v>
          </cell>
        </row>
        <row r="1171">
          <cell r="B1171" t="str">
            <v>TDL1038</v>
          </cell>
          <cell r="G1171" t="str">
            <v>Installed</v>
          </cell>
          <cell r="W1171" t="str">
            <v>Y</v>
          </cell>
          <cell r="X1171">
            <v>1</v>
          </cell>
          <cell r="Y1171">
            <v>0</v>
          </cell>
        </row>
        <row r="1172">
          <cell r="B1172" t="str">
            <v>TDL1038</v>
          </cell>
          <cell r="G1172" t="str">
            <v>Installed</v>
          </cell>
          <cell r="W1172" t="str">
            <v>Y</v>
          </cell>
          <cell r="X1172">
            <v>1</v>
          </cell>
          <cell r="Y1172">
            <v>0</v>
          </cell>
        </row>
        <row r="1173">
          <cell r="B1173" t="str">
            <v>TDL1038</v>
          </cell>
          <cell r="G1173" t="str">
            <v>Installed</v>
          </cell>
          <cell r="W1173" t="str">
            <v>Y</v>
          </cell>
          <cell r="X1173">
            <v>2</v>
          </cell>
          <cell r="Y1173">
            <v>0</v>
          </cell>
        </row>
        <row r="1174">
          <cell r="B1174" t="str">
            <v>TDL1038</v>
          </cell>
          <cell r="G1174" t="str">
            <v>Installed</v>
          </cell>
          <cell r="W1174" t="str">
            <v>Y</v>
          </cell>
          <cell r="X1174">
            <v>0</v>
          </cell>
          <cell r="Y1174">
            <v>0</v>
          </cell>
        </row>
        <row r="1175">
          <cell r="B1175" t="str">
            <v>TDL1038</v>
          </cell>
          <cell r="G1175" t="str">
            <v>Installed</v>
          </cell>
          <cell r="W1175" t="str">
            <v>Y</v>
          </cell>
          <cell r="X1175">
            <v>0</v>
          </cell>
          <cell r="Y1175">
            <v>0</v>
          </cell>
        </row>
        <row r="1176">
          <cell r="B1176" t="str">
            <v>TDL1038</v>
          </cell>
          <cell r="G1176" t="str">
            <v>Installed</v>
          </cell>
          <cell r="W1176" t="str">
            <v>Y</v>
          </cell>
          <cell r="X1176">
            <v>0</v>
          </cell>
          <cell r="Y1176">
            <v>0</v>
          </cell>
        </row>
        <row r="1177">
          <cell r="B1177" t="str">
            <v>TDL1038</v>
          </cell>
          <cell r="G1177" t="str">
            <v>Installed</v>
          </cell>
          <cell r="W1177" t="str">
            <v>Y</v>
          </cell>
          <cell r="X1177">
            <v>0</v>
          </cell>
          <cell r="Y1177">
            <v>0</v>
          </cell>
        </row>
        <row r="1178">
          <cell r="B1178" t="str">
            <v>TDL1038</v>
          </cell>
          <cell r="G1178" t="str">
            <v>Installed</v>
          </cell>
          <cell r="W1178" t="str">
            <v>Y</v>
          </cell>
          <cell r="X1178">
            <v>0</v>
          </cell>
          <cell r="Y1178">
            <v>0</v>
          </cell>
        </row>
        <row r="1179">
          <cell r="B1179" t="str">
            <v>TDL1038</v>
          </cell>
          <cell r="G1179" t="str">
            <v>Installed</v>
          </cell>
          <cell r="W1179" t="str">
            <v>Y</v>
          </cell>
          <cell r="X1179">
            <v>0</v>
          </cell>
          <cell r="Y1179">
            <v>0</v>
          </cell>
        </row>
        <row r="1180">
          <cell r="B1180" t="str">
            <v>TDL1038</v>
          </cell>
          <cell r="G1180" t="str">
            <v>Installed</v>
          </cell>
          <cell r="W1180" t="str">
            <v>Y</v>
          </cell>
          <cell r="X1180">
            <v>0</v>
          </cell>
          <cell r="Y1180">
            <v>0</v>
          </cell>
        </row>
        <row r="1181">
          <cell r="B1181" t="str">
            <v>TDL1038</v>
          </cell>
          <cell r="G1181" t="str">
            <v>Installed</v>
          </cell>
          <cell r="W1181" t="str">
            <v>Y</v>
          </cell>
          <cell r="X1181">
            <v>2</v>
          </cell>
          <cell r="Y1181">
            <v>0</v>
          </cell>
        </row>
        <row r="1182">
          <cell r="B1182" t="str">
            <v>TDL1038</v>
          </cell>
          <cell r="G1182" t="str">
            <v>Installed</v>
          </cell>
          <cell r="W1182" t="str">
            <v>N</v>
          </cell>
          <cell r="X1182">
            <v>1</v>
          </cell>
          <cell r="Y1182">
            <v>0</v>
          </cell>
        </row>
        <row r="1183">
          <cell r="B1183" t="str">
            <v>TDL1038</v>
          </cell>
          <cell r="G1183" t="str">
            <v>Installed</v>
          </cell>
          <cell r="W1183" t="str">
            <v>Y</v>
          </cell>
          <cell r="X1183">
            <v>2</v>
          </cell>
          <cell r="Y1183">
            <v>0</v>
          </cell>
        </row>
        <row r="1184">
          <cell r="B1184" t="str">
            <v>TDL1038</v>
          </cell>
          <cell r="G1184" t="str">
            <v>Removed</v>
          </cell>
          <cell r="W1184" t="str">
            <v>Y</v>
          </cell>
          <cell r="X1184">
            <v>1</v>
          </cell>
          <cell r="Y1184">
            <v>0</v>
          </cell>
        </row>
        <row r="1185">
          <cell r="B1185" t="str">
            <v>TDL1038</v>
          </cell>
          <cell r="G1185" t="str">
            <v>Removed</v>
          </cell>
          <cell r="W1185" t="str">
            <v>Y</v>
          </cell>
          <cell r="X1185">
            <v>1</v>
          </cell>
          <cell r="Y1185">
            <v>0</v>
          </cell>
        </row>
        <row r="1186">
          <cell r="B1186" t="str">
            <v>TDL1038</v>
          </cell>
          <cell r="G1186" t="str">
            <v>Installed</v>
          </cell>
          <cell r="W1186" t="str">
            <v>N</v>
          </cell>
          <cell r="X1186">
            <v>2</v>
          </cell>
          <cell r="Y1186">
            <v>0</v>
          </cell>
        </row>
        <row r="1187">
          <cell r="B1187" t="str">
            <v>TDL1038</v>
          </cell>
          <cell r="G1187" t="str">
            <v>Installed</v>
          </cell>
          <cell r="W1187" t="str">
            <v>N</v>
          </cell>
          <cell r="X1187">
            <v>3</v>
          </cell>
          <cell r="Y1187">
            <v>0</v>
          </cell>
        </row>
        <row r="1188">
          <cell r="B1188" t="str">
            <v>TDL1038</v>
          </cell>
          <cell r="G1188" t="str">
            <v>Installed</v>
          </cell>
          <cell r="W1188" t="str">
            <v>N</v>
          </cell>
          <cell r="X1188">
            <v>1</v>
          </cell>
          <cell r="Y1188">
            <v>0</v>
          </cell>
        </row>
        <row r="1189">
          <cell r="B1189" t="str">
            <v>TDL1038</v>
          </cell>
          <cell r="G1189" t="str">
            <v>Installed</v>
          </cell>
          <cell r="W1189" t="str">
            <v>Y</v>
          </cell>
          <cell r="X1189">
            <v>1</v>
          </cell>
          <cell r="Y1189">
            <v>0</v>
          </cell>
        </row>
        <row r="1190">
          <cell r="B1190" t="str">
            <v>TDL1038</v>
          </cell>
          <cell r="G1190" t="str">
            <v>Installed</v>
          </cell>
          <cell r="W1190" t="str">
            <v>N</v>
          </cell>
          <cell r="X1190">
            <v>4</v>
          </cell>
          <cell r="Y1190">
            <v>0</v>
          </cell>
        </row>
        <row r="1191">
          <cell r="B1191" t="str">
            <v>TDL1038</v>
          </cell>
          <cell r="G1191" t="str">
            <v>Installed</v>
          </cell>
          <cell r="W1191" t="str">
            <v>Y</v>
          </cell>
          <cell r="X1191">
            <v>6</v>
          </cell>
          <cell r="Y1191">
            <v>0</v>
          </cell>
        </row>
        <row r="1192">
          <cell r="B1192" t="str">
            <v>TDL1038</v>
          </cell>
          <cell r="G1192" t="str">
            <v>Installed</v>
          </cell>
          <cell r="W1192" t="str">
            <v>N</v>
          </cell>
          <cell r="X1192">
            <v>1</v>
          </cell>
          <cell r="Y1192">
            <v>0</v>
          </cell>
        </row>
        <row r="1193">
          <cell r="B1193" t="str">
            <v>TDL1038</v>
          </cell>
          <cell r="G1193" t="str">
            <v>Installed</v>
          </cell>
          <cell r="W1193" t="str">
            <v>N</v>
          </cell>
          <cell r="X1193">
            <v>1</v>
          </cell>
          <cell r="Y1193">
            <v>0</v>
          </cell>
        </row>
        <row r="1194">
          <cell r="B1194" t="str">
            <v>TDL1038</v>
          </cell>
          <cell r="G1194" t="str">
            <v>Installed</v>
          </cell>
          <cell r="W1194" t="str">
            <v>N</v>
          </cell>
          <cell r="X1194">
            <v>1</v>
          </cell>
          <cell r="Y1194">
            <v>0</v>
          </cell>
        </row>
        <row r="1195">
          <cell r="B1195" t="str">
            <v>TDL1038</v>
          </cell>
          <cell r="G1195" t="str">
            <v>Installed</v>
          </cell>
          <cell r="W1195" t="str">
            <v>Y</v>
          </cell>
          <cell r="X1195">
            <v>1</v>
          </cell>
          <cell r="Y1195">
            <v>0</v>
          </cell>
        </row>
        <row r="1196">
          <cell r="B1196" t="str">
            <v>TDL1038</v>
          </cell>
          <cell r="G1196" t="str">
            <v>Removed</v>
          </cell>
          <cell r="W1196" t="str">
            <v>Y</v>
          </cell>
          <cell r="X1196">
            <v>4</v>
          </cell>
          <cell r="Y1196">
            <v>0</v>
          </cell>
        </row>
        <row r="1197">
          <cell r="B1197" t="str">
            <v>TDL1038</v>
          </cell>
          <cell r="G1197" t="str">
            <v>Prop Removal</v>
          </cell>
          <cell r="W1197" t="str">
            <v>Y</v>
          </cell>
          <cell r="X1197">
            <v>1</v>
          </cell>
          <cell r="Y1197">
            <v>0</v>
          </cell>
        </row>
        <row r="1198">
          <cell r="B1198" t="str">
            <v>TDL1038</v>
          </cell>
          <cell r="G1198" t="str">
            <v>Installed</v>
          </cell>
          <cell r="W1198" t="str">
            <v>Y</v>
          </cell>
          <cell r="X1198">
            <v>16</v>
          </cell>
          <cell r="Y1198">
            <v>0</v>
          </cell>
        </row>
        <row r="1199">
          <cell r="B1199" t="str">
            <v>TDL1038</v>
          </cell>
          <cell r="G1199" t="str">
            <v>Installed</v>
          </cell>
          <cell r="W1199" t="str">
            <v>Y</v>
          </cell>
          <cell r="X1199">
            <v>2</v>
          </cell>
          <cell r="Y1199">
            <v>0</v>
          </cell>
        </row>
        <row r="1200">
          <cell r="B1200" t="str">
            <v>TDL1038</v>
          </cell>
          <cell r="G1200" t="str">
            <v>Installed</v>
          </cell>
          <cell r="W1200" t="str">
            <v>Y</v>
          </cell>
          <cell r="X1200">
            <v>2</v>
          </cell>
          <cell r="Y1200">
            <v>0</v>
          </cell>
        </row>
        <row r="1201">
          <cell r="B1201" t="str">
            <v>TDL1038</v>
          </cell>
          <cell r="G1201" t="str">
            <v>Installed</v>
          </cell>
          <cell r="W1201" t="str">
            <v>N</v>
          </cell>
          <cell r="X1201">
            <v>1</v>
          </cell>
          <cell r="Y1201">
            <v>0</v>
          </cell>
        </row>
        <row r="1202">
          <cell r="B1202" t="str">
            <v>TDL1038</v>
          </cell>
          <cell r="G1202" t="str">
            <v>Installed</v>
          </cell>
          <cell r="W1202" t="str">
            <v>Y</v>
          </cell>
          <cell r="X1202">
            <v>0</v>
          </cell>
          <cell r="Y1202">
            <v>5</v>
          </cell>
        </row>
        <row r="1203">
          <cell r="B1203" t="str">
            <v>TDL1038</v>
          </cell>
          <cell r="G1203" t="str">
            <v>Installed</v>
          </cell>
          <cell r="W1203" t="str">
            <v>Y</v>
          </cell>
          <cell r="X1203">
            <v>1</v>
          </cell>
          <cell r="Y1203">
            <v>0</v>
          </cell>
        </row>
        <row r="1204">
          <cell r="B1204" t="str">
            <v>TWH2035</v>
          </cell>
          <cell r="G1204" t="str">
            <v>Installed</v>
          </cell>
          <cell r="W1204" t="str">
            <v>Y</v>
          </cell>
          <cell r="X1204">
            <v>0</v>
          </cell>
          <cell r="Y1204">
            <v>6</v>
          </cell>
        </row>
        <row r="1205">
          <cell r="B1205" t="str">
            <v>TMO1039</v>
          </cell>
          <cell r="G1205" t="str">
            <v>Installed</v>
          </cell>
          <cell r="W1205" t="str">
            <v>Y</v>
          </cell>
          <cell r="X1205">
            <v>0</v>
          </cell>
          <cell r="Y1205">
            <v>23</v>
          </cell>
        </row>
        <row r="1206">
          <cell r="B1206" t="str">
            <v>TMO1039</v>
          </cell>
          <cell r="G1206" t="str">
            <v>Installed</v>
          </cell>
          <cell r="W1206" t="str">
            <v>Y</v>
          </cell>
          <cell r="X1206">
            <v>0</v>
          </cell>
          <cell r="Y1206">
            <v>8</v>
          </cell>
        </row>
        <row r="1207">
          <cell r="B1207" t="str">
            <v>TWX1040</v>
          </cell>
          <cell r="G1207" t="str">
            <v>Removed</v>
          </cell>
          <cell r="W1207" t="str">
            <v>Y</v>
          </cell>
          <cell r="X1207">
            <v>1</v>
          </cell>
          <cell r="Y1207">
            <v>0</v>
          </cell>
        </row>
        <row r="1208">
          <cell r="B1208" t="str">
            <v>TWX1040</v>
          </cell>
          <cell r="G1208" t="str">
            <v>Installed</v>
          </cell>
          <cell r="W1208" t="str">
            <v>N</v>
          </cell>
          <cell r="X1208">
            <v>3</v>
          </cell>
          <cell r="Y1208">
            <v>0</v>
          </cell>
        </row>
        <row r="1209">
          <cell r="B1209" t="str">
            <v>TWX1040</v>
          </cell>
          <cell r="G1209" t="str">
            <v>Installed</v>
          </cell>
          <cell r="W1209" t="str">
            <v>Y</v>
          </cell>
          <cell r="X1209">
            <v>1</v>
          </cell>
          <cell r="Y1209">
            <v>0</v>
          </cell>
        </row>
        <row r="1210">
          <cell r="B1210" t="str">
            <v>TWX1040</v>
          </cell>
          <cell r="G1210" t="str">
            <v>Removed</v>
          </cell>
          <cell r="W1210" t="str">
            <v>Y</v>
          </cell>
          <cell r="X1210">
            <v>2</v>
          </cell>
          <cell r="Y1210">
            <v>0</v>
          </cell>
        </row>
        <row r="1211">
          <cell r="B1211" t="str">
            <v>TWX1040</v>
          </cell>
          <cell r="G1211" t="str">
            <v>Removed</v>
          </cell>
          <cell r="W1211" t="str">
            <v>Y</v>
          </cell>
          <cell r="X1211">
            <v>2</v>
          </cell>
          <cell r="Y1211">
            <v>0</v>
          </cell>
        </row>
        <row r="1212">
          <cell r="B1212" t="str">
            <v>TWX1040</v>
          </cell>
          <cell r="G1212" t="str">
            <v>Installed</v>
          </cell>
          <cell r="W1212" t="str">
            <v>N</v>
          </cell>
          <cell r="X1212">
            <v>3</v>
          </cell>
          <cell r="Y1212">
            <v>0</v>
          </cell>
        </row>
        <row r="1213">
          <cell r="B1213" t="str">
            <v>TWX1040</v>
          </cell>
          <cell r="G1213" t="str">
            <v>Installed</v>
          </cell>
          <cell r="W1213" t="str">
            <v>Y</v>
          </cell>
          <cell r="X1213">
            <v>2</v>
          </cell>
          <cell r="Y1213">
            <v>0</v>
          </cell>
        </row>
        <row r="1214">
          <cell r="B1214" t="str">
            <v>TWX1040</v>
          </cell>
          <cell r="G1214" t="str">
            <v>Installed</v>
          </cell>
          <cell r="W1214" t="str">
            <v>N</v>
          </cell>
          <cell r="X1214">
            <v>4</v>
          </cell>
          <cell r="Y1214">
            <v>0</v>
          </cell>
        </row>
        <row r="1215">
          <cell r="B1215" t="str">
            <v>TWX1040</v>
          </cell>
          <cell r="G1215" t="str">
            <v>Removed</v>
          </cell>
          <cell r="W1215" t="str">
            <v>Y</v>
          </cell>
          <cell r="X1215">
            <v>2</v>
          </cell>
          <cell r="Y1215">
            <v>0</v>
          </cell>
        </row>
        <row r="1216">
          <cell r="B1216" t="str">
            <v>TWX1040</v>
          </cell>
          <cell r="G1216" t="str">
            <v>Removed</v>
          </cell>
          <cell r="W1216" t="str">
            <v>Y</v>
          </cell>
          <cell r="X1216">
            <v>0</v>
          </cell>
          <cell r="Y1216">
            <v>0</v>
          </cell>
        </row>
        <row r="1217">
          <cell r="B1217" t="str">
            <v>TWX1040</v>
          </cell>
          <cell r="G1217" t="str">
            <v>Removed</v>
          </cell>
          <cell r="W1217" t="str">
            <v>Y</v>
          </cell>
          <cell r="X1217">
            <v>0</v>
          </cell>
          <cell r="Y1217">
            <v>0</v>
          </cell>
        </row>
        <row r="1218">
          <cell r="B1218" t="str">
            <v>TWX1040</v>
          </cell>
          <cell r="G1218" t="str">
            <v>Removed</v>
          </cell>
          <cell r="W1218" t="str">
            <v>Y</v>
          </cell>
          <cell r="X1218">
            <v>0</v>
          </cell>
          <cell r="Y1218">
            <v>0</v>
          </cell>
        </row>
        <row r="1219">
          <cell r="B1219" t="str">
            <v>TWX1040</v>
          </cell>
          <cell r="G1219" t="str">
            <v>Removed</v>
          </cell>
          <cell r="W1219" t="str">
            <v>Y</v>
          </cell>
          <cell r="X1219">
            <v>0</v>
          </cell>
          <cell r="Y1219">
            <v>0</v>
          </cell>
        </row>
        <row r="1220">
          <cell r="B1220" t="str">
            <v>TWX1040</v>
          </cell>
          <cell r="G1220" t="str">
            <v>Removed</v>
          </cell>
          <cell r="W1220" t="str">
            <v>Y</v>
          </cell>
          <cell r="X1220">
            <v>0</v>
          </cell>
          <cell r="Y1220">
            <v>0</v>
          </cell>
        </row>
        <row r="1221">
          <cell r="B1221" t="str">
            <v>TWX1040</v>
          </cell>
          <cell r="G1221" t="str">
            <v>Removed</v>
          </cell>
          <cell r="W1221" t="str">
            <v>Y</v>
          </cell>
          <cell r="X1221">
            <v>1</v>
          </cell>
          <cell r="Y1221">
            <v>0</v>
          </cell>
        </row>
        <row r="1222">
          <cell r="B1222" t="str">
            <v>TWX1040</v>
          </cell>
          <cell r="G1222" t="str">
            <v>Removed</v>
          </cell>
          <cell r="W1222" t="str">
            <v>Y</v>
          </cell>
          <cell r="X1222">
            <v>0</v>
          </cell>
          <cell r="Y1222">
            <v>0</v>
          </cell>
        </row>
        <row r="1223">
          <cell r="B1223" t="str">
            <v>TWX1040</v>
          </cell>
          <cell r="G1223" t="str">
            <v>Removed</v>
          </cell>
          <cell r="W1223" t="str">
            <v>Y</v>
          </cell>
          <cell r="X1223">
            <v>1</v>
          </cell>
          <cell r="Y1223">
            <v>0</v>
          </cell>
        </row>
        <row r="1224">
          <cell r="B1224" t="str">
            <v>TWX1040</v>
          </cell>
          <cell r="G1224" t="str">
            <v>Installed</v>
          </cell>
          <cell r="W1224" t="str">
            <v>Y</v>
          </cell>
          <cell r="X1224">
            <v>2</v>
          </cell>
          <cell r="Y1224">
            <v>0</v>
          </cell>
        </row>
        <row r="1225">
          <cell r="B1225" t="str">
            <v>TWX1040</v>
          </cell>
          <cell r="G1225" t="str">
            <v>Installed</v>
          </cell>
          <cell r="W1225" t="str">
            <v>Y</v>
          </cell>
          <cell r="X1225">
            <v>2</v>
          </cell>
          <cell r="Y1225">
            <v>0</v>
          </cell>
        </row>
        <row r="1226">
          <cell r="B1226" t="str">
            <v>TWX1040</v>
          </cell>
          <cell r="G1226" t="str">
            <v>Installed</v>
          </cell>
          <cell r="W1226" t="str">
            <v>Y</v>
          </cell>
          <cell r="X1226">
            <v>2</v>
          </cell>
          <cell r="Y1226">
            <v>0</v>
          </cell>
        </row>
        <row r="1227">
          <cell r="B1227" t="str">
            <v>TWX1040</v>
          </cell>
          <cell r="G1227" t="str">
            <v>Installed</v>
          </cell>
          <cell r="W1227" t="str">
            <v>Y</v>
          </cell>
          <cell r="X1227">
            <v>1</v>
          </cell>
          <cell r="Y1227">
            <v>0</v>
          </cell>
        </row>
        <row r="1228">
          <cell r="B1228" t="str">
            <v>TWX1040</v>
          </cell>
          <cell r="G1228" t="str">
            <v>Installed</v>
          </cell>
          <cell r="W1228" t="str">
            <v>Y</v>
          </cell>
          <cell r="X1228">
            <v>2</v>
          </cell>
          <cell r="Y1228">
            <v>0</v>
          </cell>
        </row>
        <row r="1229">
          <cell r="B1229" t="str">
            <v>TWX1040</v>
          </cell>
          <cell r="G1229" t="str">
            <v>Installed</v>
          </cell>
          <cell r="W1229" t="str">
            <v>Y</v>
          </cell>
          <cell r="X1229">
            <v>1</v>
          </cell>
          <cell r="Y1229">
            <v>0</v>
          </cell>
        </row>
        <row r="1230">
          <cell r="B1230" t="str">
            <v>TWX1040</v>
          </cell>
          <cell r="G1230" t="str">
            <v>Installed</v>
          </cell>
          <cell r="W1230" t="str">
            <v>Y</v>
          </cell>
          <cell r="X1230">
            <v>1</v>
          </cell>
          <cell r="Y1230">
            <v>0</v>
          </cell>
        </row>
        <row r="1231">
          <cell r="B1231" t="str">
            <v>TWX1040</v>
          </cell>
          <cell r="G1231" t="str">
            <v>Installed</v>
          </cell>
          <cell r="W1231" t="str">
            <v>Y</v>
          </cell>
          <cell r="X1231">
            <v>1</v>
          </cell>
          <cell r="Y1231">
            <v>0</v>
          </cell>
        </row>
        <row r="1232">
          <cell r="B1232" t="str">
            <v>TWX1040</v>
          </cell>
          <cell r="G1232" t="str">
            <v>Installed</v>
          </cell>
          <cell r="W1232" t="str">
            <v>Y</v>
          </cell>
          <cell r="X1232">
            <v>1</v>
          </cell>
          <cell r="Y1232">
            <v>0</v>
          </cell>
        </row>
        <row r="1233">
          <cell r="B1233" t="str">
            <v>TWX1040</v>
          </cell>
          <cell r="G1233" t="str">
            <v>Installed</v>
          </cell>
          <cell r="W1233" t="str">
            <v>Y</v>
          </cell>
          <cell r="X1233">
            <v>1</v>
          </cell>
          <cell r="Y1233">
            <v>0</v>
          </cell>
        </row>
        <row r="1234">
          <cell r="B1234" t="str">
            <v>TWX1040</v>
          </cell>
          <cell r="G1234" t="str">
            <v>Installed</v>
          </cell>
          <cell r="W1234" t="str">
            <v>Y</v>
          </cell>
          <cell r="X1234">
            <v>1</v>
          </cell>
          <cell r="Y1234">
            <v>0</v>
          </cell>
        </row>
        <row r="1235">
          <cell r="B1235" t="str">
            <v>TWX1040</v>
          </cell>
          <cell r="G1235" t="str">
            <v>Removed</v>
          </cell>
          <cell r="W1235" t="str">
            <v>Y</v>
          </cell>
          <cell r="X1235">
            <v>1</v>
          </cell>
          <cell r="Y1235">
            <v>0</v>
          </cell>
        </row>
        <row r="1236">
          <cell r="B1236" t="str">
            <v>TWX1040</v>
          </cell>
          <cell r="G1236" t="str">
            <v>Installed</v>
          </cell>
          <cell r="W1236" t="str">
            <v>Y</v>
          </cell>
          <cell r="X1236">
            <v>1</v>
          </cell>
          <cell r="Y1236">
            <v>0</v>
          </cell>
        </row>
        <row r="1237">
          <cell r="B1237" t="str">
            <v>TWX1040</v>
          </cell>
          <cell r="G1237" t="str">
            <v>Installed</v>
          </cell>
          <cell r="W1237" t="str">
            <v>N</v>
          </cell>
          <cell r="X1237">
            <v>6</v>
          </cell>
          <cell r="Y1237">
            <v>0</v>
          </cell>
        </row>
        <row r="1238">
          <cell r="B1238" t="str">
            <v>TWX1040</v>
          </cell>
          <cell r="G1238" t="str">
            <v>Installed</v>
          </cell>
          <cell r="W1238" t="str">
            <v>N</v>
          </cell>
          <cell r="X1238">
            <v>2</v>
          </cell>
          <cell r="Y1238">
            <v>0</v>
          </cell>
        </row>
        <row r="1239">
          <cell r="B1239" t="str">
            <v>TWX1040</v>
          </cell>
          <cell r="G1239" t="str">
            <v>Removed</v>
          </cell>
          <cell r="W1239" t="str">
            <v>Y</v>
          </cell>
          <cell r="X1239">
            <v>1</v>
          </cell>
          <cell r="Y1239">
            <v>0</v>
          </cell>
        </row>
        <row r="1240">
          <cell r="B1240" t="str">
            <v>TWX1040</v>
          </cell>
          <cell r="G1240" t="str">
            <v>Removed</v>
          </cell>
          <cell r="W1240" t="str">
            <v>Y</v>
          </cell>
          <cell r="X1240">
            <v>1</v>
          </cell>
          <cell r="Y1240">
            <v>0</v>
          </cell>
        </row>
        <row r="1241">
          <cell r="B1241" t="str">
            <v>TWX1040</v>
          </cell>
          <cell r="G1241" t="str">
            <v>Removed</v>
          </cell>
          <cell r="W1241" t="str">
            <v>Y</v>
          </cell>
          <cell r="X1241">
            <v>1</v>
          </cell>
          <cell r="Y1241">
            <v>0</v>
          </cell>
        </row>
        <row r="1242">
          <cell r="B1242" t="str">
            <v>TWX1040</v>
          </cell>
          <cell r="G1242" t="str">
            <v>Installed</v>
          </cell>
          <cell r="W1242" t="str">
            <v>N</v>
          </cell>
          <cell r="X1242">
            <v>1</v>
          </cell>
          <cell r="Y1242">
            <v>0</v>
          </cell>
        </row>
        <row r="1243">
          <cell r="B1243" t="str">
            <v>TWX1040</v>
          </cell>
          <cell r="G1243" t="str">
            <v>Installed</v>
          </cell>
          <cell r="W1243" t="str">
            <v>N</v>
          </cell>
          <cell r="X1243">
            <v>1</v>
          </cell>
          <cell r="Y1243">
            <v>0</v>
          </cell>
        </row>
        <row r="1244">
          <cell r="B1244" t="str">
            <v>TWX1040</v>
          </cell>
          <cell r="G1244" t="str">
            <v>Installed</v>
          </cell>
          <cell r="W1244" t="str">
            <v>Y</v>
          </cell>
          <cell r="X1244">
            <v>1</v>
          </cell>
          <cell r="Y1244">
            <v>0</v>
          </cell>
        </row>
        <row r="1245">
          <cell r="B1245" t="str">
            <v>TWX1040</v>
          </cell>
          <cell r="G1245" t="str">
            <v>Removed</v>
          </cell>
          <cell r="W1245" t="str">
            <v>Y</v>
          </cell>
          <cell r="X1245">
            <v>5</v>
          </cell>
          <cell r="Y1245">
            <v>0</v>
          </cell>
        </row>
        <row r="1246">
          <cell r="B1246" t="str">
            <v>TWX1040</v>
          </cell>
          <cell r="G1246" t="str">
            <v>Removed</v>
          </cell>
          <cell r="W1246" t="str">
            <v>Y</v>
          </cell>
          <cell r="X1246">
            <v>5</v>
          </cell>
          <cell r="Y1246">
            <v>0</v>
          </cell>
        </row>
        <row r="1247">
          <cell r="B1247" t="str">
            <v>TWX1040</v>
          </cell>
          <cell r="G1247" t="str">
            <v>Installed</v>
          </cell>
          <cell r="W1247" t="str">
            <v>Y</v>
          </cell>
          <cell r="X1247">
            <v>4</v>
          </cell>
          <cell r="Y1247">
            <v>0</v>
          </cell>
        </row>
        <row r="1248">
          <cell r="B1248" t="str">
            <v>TWX1040</v>
          </cell>
          <cell r="G1248" t="str">
            <v>Installed</v>
          </cell>
          <cell r="W1248" t="str">
            <v>Y</v>
          </cell>
          <cell r="X1248">
            <v>1</v>
          </cell>
          <cell r="Y1248">
            <v>0</v>
          </cell>
        </row>
        <row r="1249">
          <cell r="B1249" t="str">
            <v>TWX1040</v>
          </cell>
          <cell r="G1249" t="str">
            <v>Installed</v>
          </cell>
          <cell r="W1249" t="str">
            <v>Y</v>
          </cell>
          <cell r="X1249">
            <v>1</v>
          </cell>
          <cell r="Y1249">
            <v>0</v>
          </cell>
        </row>
        <row r="1250">
          <cell r="B1250" t="str">
            <v>TWX1040</v>
          </cell>
          <cell r="G1250" t="str">
            <v>Installed</v>
          </cell>
          <cell r="W1250" t="str">
            <v>N</v>
          </cell>
          <cell r="X1250">
            <v>6</v>
          </cell>
          <cell r="Y1250">
            <v>0</v>
          </cell>
        </row>
        <row r="1251">
          <cell r="B1251" t="str">
            <v>TWX1040</v>
          </cell>
          <cell r="G1251" t="str">
            <v>Installed</v>
          </cell>
          <cell r="W1251" t="str">
            <v>N</v>
          </cell>
          <cell r="X1251">
            <v>6</v>
          </cell>
          <cell r="Y1251">
            <v>0</v>
          </cell>
        </row>
        <row r="1252">
          <cell r="B1252" t="str">
            <v>TWX1040</v>
          </cell>
          <cell r="G1252" t="str">
            <v>Installed</v>
          </cell>
          <cell r="W1252" t="str">
            <v>Y</v>
          </cell>
          <cell r="X1252">
            <v>0</v>
          </cell>
          <cell r="Y1252">
            <v>3</v>
          </cell>
        </row>
        <row r="1253">
          <cell r="B1253" t="str">
            <v>TWX1040</v>
          </cell>
          <cell r="G1253" t="str">
            <v>Installed</v>
          </cell>
          <cell r="W1253" t="str">
            <v>Y</v>
          </cell>
          <cell r="X1253">
            <v>2</v>
          </cell>
          <cell r="Y1253">
            <v>0</v>
          </cell>
        </row>
        <row r="1254">
          <cell r="B1254" t="str">
            <v>TWX1040</v>
          </cell>
          <cell r="G1254" t="str">
            <v>Installed</v>
          </cell>
          <cell r="W1254" t="str">
            <v>Y</v>
          </cell>
          <cell r="X1254">
            <v>12</v>
          </cell>
          <cell r="Y1254">
            <v>0</v>
          </cell>
        </row>
        <row r="1255">
          <cell r="B1255" t="str">
            <v>TWX1040</v>
          </cell>
          <cell r="G1255" t="str">
            <v>Installed</v>
          </cell>
          <cell r="W1255" t="str">
            <v>N</v>
          </cell>
          <cell r="X1255">
            <v>0</v>
          </cell>
          <cell r="Y1255">
            <v>0</v>
          </cell>
        </row>
        <row r="1256">
          <cell r="B1256" t="str">
            <v>TWX1040</v>
          </cell>
          <cell r="G1256" t="str">
            <v>Installed</v>
          </cell>
          <cell r="W1256" t="str">
            <v>N</v>
          </cell>
          <cell r="X1256">
            <v>0</v>
          </cell>
          <cell r="Y1256">
            <v>0</v>
          </cell>
        </row>
        <row r="1257">
          <cell r="B1257" t="str">
            <v>TWX1040</v>
          </cell>
          <cell r="G1257" t="str">
            <v>Installed</v>
          </cell>
          <cell r="W1257" t="str">
            <v>N</v>
          </cell>
          <cell r="X1257">
            <v>0</v>
          </cell>
          <cell r="Y1257">
            <v>0</v>
          </cell>
        </row>
        <row r="1258">
          <cell r="B1258" t="str">
            <v>TLK3017</v>
          </cell>
          <cell r="G1258" t="str">
            <v>Installed</v>
          </cell>
          <cell r="W1258" t="str">
            <v>Y</v>
          </cell>
          <cell r="X1258">
            <v>0</v>
          </cell>
          <cell r="Y1258">
            <v>38</v>
          </cell>
        </row>
        <row r="1259">
          <cell r="B1259" t="str">
            <v>TLK3017</v>
          </cell>
          <cell r="G1259" t="str">
            <v>Installed</v>
          </cell>
          <cell r="W1259" t="str">
            <v>Y</v>
          </cell>
          <cell r="X1259">
            <v>0</v>
          </cell>
          <cell r="Y1259">
            <v>10</v>
          </cell>
        </row>
        <row r="1260">
          <cell r="B1260" t="str">
            <v>TTP1041</v>
          </cell>
          <cell r="G1260" t="str">
            <v>Removed</v>
          </cell>
          <cell r="W1260" t="str">
            <v>Y</v>
          </cell>
          <cell r="X1260">
            <v>2</v>
          </cell>
          <cell r="Y1260">
            <v>0</v>
          </cell>
        </row>
        <row r="1261">
          <cell r="B1261" t="str">
            <v>TTP1041</v>
          </cell>
          <cell r="G1261" t="str">
            <v>Removed</v>
          </cell>
          <cell r="W1261" t="str">
            <v>N</v>
          </cell>
          <cell r="X1261">
            <v>6</v>
          </cell>
          <cell r="Y1261">
            <v>0</v>
          </cell>
        </row>
        <row r="1262">
          <cell r="B1262" t="str">
            <v>TTP1041</v>
          </cell>
          <cell r="G1262" t="str">
            <v>Removed</v>
          </cell>
          <cell r="W1262" t="str">
            <v>Y</v>
          </cell>
          <cell r="X1262">
            <v>2</v>
          </cell>
          <cell r="Y1262">
            <v>0</v>
          </cell>
        </row>
        <row r="1263">
          <cell r="B1263" t="str">
            <v>TTP1041</v>
          </cell>
          <cell r="G1263" t="str">
            <v>Removed</v>
          </cell>
          <cell r="W1263" t="str">
            <v>Y</v>
          </cell>
          <cell r="X1263">
            <v>2</v>
          </cell>
          <cell r="Y1263">
            <v>0</v>
          </cell>
        </row>
        <row r="1264">
          <cell r="B1264" t="str">
            <v>TTP1041</v>
          </cell>
          <cell r="G1264" t="str">
            <v>Removed</v>
          </cell>
          <cell r="W1264" t="str">
            <v>Y</v>
          </cell>
          <cell r="X1264">
            <v>2</v>
          </cell>
          <cell r="Y1264">
            <v>0</v>
          </cell>
        </row>
        <row r="1265">
          <cell r="B1265" t="str">
            <v>TTP1041</v>
          </cell>
          <cell r="G1265" t="str">
            <v>Removed</v>
          </cell>
          <cell r="W1265" t="str">
            <v>Y</v>
          </cell>
          <cell r="X1265">
            <v>2</v>
          </cell>
          <cell r="Y1265">
            <v>0</v>
          </cell>
        </row>
        <row r="1266">
          <cell r="B1266" t="str">
            <v>TTP1041</v>
          </cell>
          <cell r="G1266" t="str">
            <v>Removed</v>
          </cell>
          <cell r="W1266" t="str">
            <v>Y</v>
          </cell>
          <cell r="X1266">
            <v>1</v>
          </cell>
          <cell r="Y1266">
            <v>0</v>
          </cell>
        </row>
        <row r="1267">
          <cell r="B1267" t="str">
            <v>TCK1042</v>
          </cell>
          <cell r="G1267" t="str">
            <v>Installed</v>
          </cell>
          <cell r="W1267" t="str">
            <v>N</v>
          </cell>
          <cell r="X1267">
            <v>1</v>
          </cell>
          <cell r="Y1267">
            <v>0</v>
          </cell>
        </row>
        <row r="1268">
          <cell r="B1268" t="str">
            <v>TCK1042</v>
          </cell>
          <cell r="G1268" t="str">
            <v>Installed</v>
          </cell>
          <cell r="W1268" t="str">
            <v>Y</v>
          </cell>
          <cell r="X1268">
            <v>1</v>
          </cell>
          <cell r="Y1268">
            <v>0</v>
          </cell>
        </row>
        <row r="1269">
          <cell r="B1269" t="str">
            <v>TCK1042</v>
          </cell>
          <cell r="G1269" t="str">
            <v>Installed</v>
          </cell>
          <cell r="W1269" t="str">
            <v>N</v>
          </cell>
          <cell r="X1269">
            <v>2</v>
          </cell>
          <cell r="Y1269">
            <v>0</v>
          </cell>
        </row>
        <row r="1270">
          <cell r="B1270" t="str">
            <v>TCK1042</v>
          </cell>
          <cell r="G1270" t="str">
            <v>Installed</v>
          </cell>
          <cell r="W1270" t="str">
            <v>Y</v>
          </cell>
          <cell r="X1270">
            <v>2</v>
          </cell>
          <cell r="Y1270">
            <v>0</v>
          </cell>
        </row>
        <row r="1271">
          <cell r="B1271" t="str">
            <v>TCK1042</v>
          </cell>
          <cell r="G1271" t="str">
            <v>Removed</v>
          </cell>
          <cell r="W1271" t="str">
            <v>Y</v>
          </cell>
          <cell r="X1271">
            <v>1</v>
          </cell>
          <cell r="Y1271">
            <v>0</v>
          </cell>
        </row>
        <row r="1272">
          <cell r="B1272" t="str">
            <v>TCK1042</v>
          </cell>
          <cell r="G1272" t="str">
            <v>Removed</v>
          </cell>
          <cell r="W1272" t="str">
            <v>Y</v>
          </cell>
          <cell r="X1272">
            <v>2</v>
          </cell>
          <cell r="Y1272">
            <v>0</v>
          </cell>
        </row>
        <row r="1273">
          <cell r="B1273" t="str">
            <v>TCK1042</v>
          </cell>
          <cell r="G1273" t="str">
            <v>Installed</v>
          </cell>
          <cell r="W1273" t="str">
            <v>Y</v>
          </cell>
          <cell r="X1273">
            <v>1</v>
          </cell>
          <cell r="Y1273">
            <v>0</v>
          </cell>
        </row>
        <row r="1274">
          <cell r="B1274" t="str">
            <v>TCK1042</v>
          </cell>
          <cell r="G1274" t="str">
            <v>Installed</v>
          </cell>
          <cell r="W1274" t="str">
            <v>Y</v>
          </cell>
          <cell r="X1274">
            <v>1</v>
          </cell>
          <cell r="Y1274">
            <v>0</v>
          </cell>
        </row>
        <row r="1275">
          <cell r="B1275" t="str">
            <v>TCK1042</v>
          </cell>
          <cell r="G1275" t="str">
            <v>Installed</v>
          </cell>
          <cell r="W1275" t="str">
            <v>Y</v>
          </cell>
          <cell r="X1275">
            <v>1</v>
          </cell>
          <cell r="Y1275">
            <v>0</v>
          </cell>
        </row>
        <row r="1276">
          <cell r="B1276" t="str">
            <v>TCK1042</v>
          </cell>
          <cell r="G1276" t="str">
            <v>Removed</v>
          </cell>
          <cell r="W1276" t="str">
            <v>Y</v>
          </cell>
          <cell r="X1276">
            <v>1</v>
          </cell>
          <cell r="Y1276">
            <v>0</v>
          </cell>
        </row>
        <row r="1277">
          <cell r="B1277" t="str">
            <v>TCK1042</v>
          </cell>
          <cell r="G1277" t="str">
            <v>Installed</v>
          </cell>
          <cell r="W1277" t="str">
            <v>Y</v>
          </cell>
          <cell r="X1277">
            <v>1</v>
          </cell>
          <cell r="Y1277">
            <v>0</v>
          </cell>
        </row>
        <row r="1278">
          <cell r="B1278" t="str">
            <v>TCK1042</v>
          </cell>
          <cell r="G1278" t="str">
            <v>Removed</v>
          </cell>
          <cell r="W1278" t="str">
            <v>Y</v>
          </cell>
          <cell r="X1278">
            <v>1</v>
          </cell>
          <cell r="Y1278">
            <v>0</v>
          </cell>
        </row>
        <row r="1279">
          <cell r="B1279" t="str">
            <v>TCK1042</v>
          </cell>
          <cell r="G1279" t="str">
            <v>Installed</v>
          </cell>
          <cell r="W1279" t="str">
            <v>Y</v>
          </cell>
          <cell r="X1279">
            <v>1</v>
          </cell>
          <cell r="Y1279">
            <v>0</v>
          </cell>
        </row>
        <row r="1280">
          <cell r="B1280" t="str">
            <v>TCK1042</v>
          </cell>
          <cell r="G1280" t="str">
            <v>Installed</v>
          </cell>
          <cell r="W1280" t="str">
            <v>Y</v>
          </cell>
          <cell r="X1280">
            <v>2</v>
          </cell>
          <cell r="Y1280">
            <v>0</v>
          </cell>
        </row>
        <row r="1281">
          <cell r="B1281" t="str">
            <v>TCK1042</v>
          </cell>
          <cell r="G1281" t="str">
            <v>Installed</v>
          </cell>
          <cell r="W1281" t="str">
            <v>N</v>
          </cell>
          <cell r="X1281">
            <v>1</v>
          </cell>
          <cell r="Y1281">
            <v>0</v>
          </cell>
        </row>
        <row r="1282">
          <cell r="B1282" t="str">
            <v>TCK1042</v>
          </cell>
          <cell r="G1282" t="str">
            <v>Installed</v>
          </cell>
          <cell r="W1282" t="str">
            <v>Y</v>
          </cell>
          <cell r="X1282">
            <v>1</v>
          </cell>
          <cell r="Y1282">
            <v>0</v>
          </cell>
        </row>
        <row r="1283">
          <cell r="B1283" t="str">
            <v>TCK1042</v>
          </cell>
          <cell r="G1283" t="str">
            <v>Installed</v>
          </cell>
          <cell r="W1283" t="str">
            <v>Y</v>
          </cell>
          <cell r="X1283">
            <v>1</v>
          </cell>
          <cell r="Y1283">
            <v>0</v>
          </cell>
        </row>
        <row r="1284">
          <cell r="B1284" t="str">
            <v>TCK1042</v>
          </cell>
          <cell r="G1284" t="str">
            <v>Installed</v>
          </cell>
          <cell r="W1284" t="str">
            <v>N</v>
          </cell>
          <cell r="X1284">
            <v>3</v>
          </cell>
          <cell r="Y1284">
            <v>0</v>
          </cell>
        </row>
        <row r="1285">
          <cell r="B1285" t="str">
            <v>TCK1042</v>
          </cell>
          <cell r="G1285" t="str">
            <v>Installed</v>
          </cell>
          <cell r="W1285" t="str">
            <v>N</v>
          </cell>
          <cell r="X1285">
            <v>15</v>
          </cell>
          <cell r="Y1285">
            <v>0</v>
          </cell>
        </row>
        <row r="1286">
          <cell r="B1286" t="str">
            <v>TCK1042</v>
          </cell>
          <cell r="G1286" t="str">
            <v>Installed</v>
          </cell>
          <cell r="W1286" t="str">
            <v>N</v>
          </cell>
          <cell r="X1286">
            <v>1</v>
          </cell>
          <cell r="Y1286">
            <v>0</v>
          </cell>
        </row>
        <row r="1287">
          <cell r="B1287" t="str">
            <v>TCK1042</v>
          </cell>
          <cell r="G1287" t="str">
            <v>Installed</v>
          </cell>
          <cell r="W1287" t="str">
            <v>Y</v>
          </cell>
          <cell r="X1287">
            <v>6</v>
          </cell>
          <cell r="Y1287">
            <v>0</v>
          </cell>
        </row>
        <row r="1288">
          <cell r="B1288" t="str">
            <v>TCK1042</v>
          </cell>
          <cell r="G1288" t="str">
            <v>Installed</v>
          </cell>
          <cell r="W1288" t="str">
            <v>Y</v>
          </cell>
          <cell r="X1288">
            <v>8</v>
          </cell>
          <cell r="Y1288">
            <v>0</v>
          </cell>
        </row>
        <row r="1289">
          <cell r="B1289" t="str">
            <v>TCK1042</v>
          </cell>
          <cell r="G1289" t="str">
            <v>Installed</v>
          </cell>
          <cell r="W1289" t="str">
            <v>Y</v>
          </cell>
          <cell r="X1289">
            <v>1</v>
          </cell>
          <cell r="Y1289">
            <v>0</v>
          </cell>
        </row>
        <row r="1290">
          <cell r="B1290" t="str">
            <v>TCK1042</v>
          </cell>
          <cell r="G1290" t="str">
            <v>Installed</v>
          </cell>
          <cell r="W1290" t="str">
            <v>Y</v>
          </cell>
          <cell r="X1290">
            <v>2</v>
          </cell>
          <cell r="Y1290">
            <v>0</v>
          </cell>
        </row>
        <row r="1291">
          <cell r="B1291" t="str">
            <v>TCK1042</v>
          </cell>
          <cell r="G1291" t="str">
            <v>Installed</v>
          </cell>
          <cell r="W1291" t="str">
            <v>N</v>
          </cell>
          <cell r="X1291">
            <v>1</v>
          </cell>
          <cell r="Y1291">
            <v>0</v>
          </cell>
        </row>
        <row r="1292">
          <cell r="B1292" t="str">
            <v>TCK1042</v>
          </cell>
          <cell r="G1292" t="str">
            <v>Installed</v>
          </cell>
          <cell r="W1292" t="str">
            <v>Y</v>
          </cell>
          <cell r="X1292">
            <v>5</v>
          </cell>
          <cell r="Y1292">
            <v>0</v>
          </cell>
        </row>
        <row r="1293">
          <cell r="B1293" t="str">
            <v>TCK1042</v>
          </cell>
          <cell r="G1293" t="str">
            <v>Installed</v>
          </cell>
          <cell r="W1293" t="str">
            <v>N</v>
          </cell>
          <cell r="X1293">
            <v>1</v>
          </cell>
          <cell r="Y1293">
            <v>0</v>
          </cell>
        </row>
        <row r="1294">
          <cell r="B1294" t="str">
            <v>TCK1042</v>
          </cell>
          <cell r="G1294" t="str">
            <v>Installed</v>
          </cell>
          <cell r="W1294" t="str">
            <v>N</v>
          </cell>
          <cell r="X1294">
            <v>3</v>
          </cell>
          <cell r="Y1294">
            <v>0</v>
          </cell>
        </row>
        <row r="1295">
          <cell r="B1295" t="str">
            <v>TCK1042</v>
          </cell>
          <cell r="G1295" t="str">
            <v>Installed</v>
          </cell>
          <cell r="W1295" t="str">
            <v>N</v>
          </cell>
          <cell r="X1295">
            <v>3</v>
          </cell>
          <cell r="Y1295">
            <v>0</v>
          </cell>
        </row>
        <row r="1296">
          <cell r="B1296" t="str">
            <v>TCK1042</v>
          </cell>
          <cell r="G1296" t="str">
            <v>Installed</v>
          </cell>
          <cell r="W1296" t="str">
            <v>N</v>
          </cell>
          <cell r="X1296">
            <v>4</v>
          </cell>
          <cell r="Y1296">
            <v>0</v>
          </cell>
        </row>
        <row r="1297">
          <cell r="B1297" t="str">
            <v>TCK1042</v>
          </cell>
          <cell r="G1297" t="str">
            <v>Installed</v>
          </cell>
          <cell r="W1297" t="str">
            <v>N</v>
          </cell>
          <cell r="X1297">
            <v>4</v>
          </cell>
          <cell r="Y1297">
            <v>0</v>
          </cell>
        </row>
        <row r="1298">
          <cell r="B1298" t="str">
            <v>TCK1042</v>
          </cell>
          <cell r="G1298" t="str">
            <v>Installed</v>
          </cell>
          <cell r="W1298" t="str">
            <v>N</v>
          </cell>
          <cell r="X1298">
            <v>2</v>
          </cell>
          <cell r="Y1298">
            <v>0</v>
          </cell>
        </row>
        <row r="1299">
          <cell r="B1299" t="str">
            <v>TCK1042</v>
          </cell>
          <cell r="G1299" t="str">
            <v>Installed</v>
          </cell>
          <cell r="W1299" t="str">
            <v>Y</v>
          </cell>
          <cell r="X1299">
            <v>12</v>
          </cell>
          <cell r="Y1299">
            <v>0</v>
          </cell>
        </row>
        <row r="1300">
          <cell r="B1300" t="str">
            <v>TDU2013</v>
          </cell>
          <cell r="G1300" t="str">
            <v>Installed</v>
          </cell>
          <cell r="W1300" t="str">
            <v>Y</v>
          </cell>
          <cell r="X1300">
            <v>30</v>
          </cell>
          <cell r="Y1300">
            <v>0</v>
          </cell>
        </row>
        <row r="1301">
          <cell r="B1301" t="str">
            <v>TMO1023</v>
          </cell>
          <cell r="G1301" t="str">
            <v>Installed</v>
          </cell>
          <cell r="W1301" t="str">
            <v>Y</v>
          </cell>
          <cell r="X1301">
            <v>21</v>
          </cell>
          <cell r="Y1301">
            <v>0</v>
          </cell>
        </row>
        <row r="1302">
          <cell r="B1302" t="str">
            <v>TLK1003</v>
          </cell>
          <cell r="G1302" t="str">
            <v>Installed</v>
          </cell>
          <cell r="W1302" t="str">
            <v>Y</v>
          </cell>
          <cell r="X1302">
            <v>21</v>
          </cell>
          <cell r="Y1302">
            <v>0</v>
          </cell>
        </row>
        <row r="1303">
          <cell r="B1303" t="str">
            <v>TTP1032</v>
          </cell>
          <cell r="G1303" t="str">
            <v>Installed</v>
          </cell>
          <cell r="W1303" t="str">
            <v>Y</v>
          </cell>
          <cell r="X1303">
            <v>8</v>
          </cell>
          <cell r="Y1303">
            <v>0</v>
          </cell>
        </row>
        <row r="1304">
          <cell r="B1304" t="str">
            <v>TCK1042</v>
          </cell>
          <cell r="G1304" t="str">
            <v>Installed</v>
          </cell>
          <cell r="W1304" t="str">
            <v>Y</v>
          </cell>
          <cell r="X1304">
            <v>0</v>
          </cell>
          <cell r="Y1304">
            <v>1</v>
          </cell>
        </row>
        <row r="1305">
          <cell r="B1305" t="str">
            <v>TWW1002</v>
          </cell>
          <cell r="G1305" t="str">
            <v>Installed</v>
          </cell>
          <cell r="W1305" t="str">
            <v>Y</v>
          </cell>
          <cell r="X1305">
            <v>12</v>
          </cell>
          <cell r="Y1305">
            <v>0</v>
          </cell>
        </row>
        <row r="1306">
          <cell r="B1306" t="str">
            <v>TSO1007</v>
          </cell>
          <cell r="G1306" t="str">
            <v>Installed</v>
          </cell>
          <cell r="W1306" t="str">
            <v>Y</v>
          </cell>
          <cell r="X1306">
            <v>24</v>
          </cell>
          <cell r="Y1306">
            <v>0</v>
          </cell>
        </row>
        <row r="1307">
          <cell r="B1307" t="str">
            <v>TKE1019</v>
          </cell>
          <cell r="G1307" t="str">
            <v>Installed</v>
          </cell>
          <cell r="W1307" t="str">
            <v>Y</v>
          </cell>
          <cell r="X1307">
            <v>21</v>
          </cell>
          <cell r="Y1307">
            <v>0</v>
          </cell>
        </row>
        <row r="1308">
          <cell r="B1308" t="str">
            <v>TGY1030</v>
          </cell>
          <cell r="G1308" t="str">
            <v>Installed</v>
          </cell>
          <cell r="W1308" t="str">
            <v>Y</v>
          </cell>
          <cell r="X1308">
            <v>0</v>
          </cell>
          <cell r="Y1308">
            <v>7</v>
          </cell>
        </row>
        <row r="1309">
          <cell r="B1309" t="str">
            <v>TLH1036</v>
          </cell>
          <cell r="G1309" t="str">
            <v>Installed</v>
          </cell>
          <cell r="W1309" t="str">
            <v>Y</v>
          </cell>
          <cell r="X1309">
            <v>16</v>
          </cell>
          <cell r="Y1309">
            <v>0</v>
          </cell>
        </row>
        <row r="1310">
          <cell r="B1310" t="str">
            <v>TDL1034</v>
          </cell>
          <cell r="G1310" t="str">
            <v>Installed</v>
          </cell>
          <cell r="W1310" t="str">
            <v>Y</v>
          </cell>
          <cell r="X1310">
            <v>21</v>
          </cell>
          <cell r="Y1310">
            <v>0</v>
          </cell>
        </row>
        <row r="1311">
          <cell r="B1311" t="str">
            <v>TKY1035</v>
          </cell>
          <cell r="G1311" t="str">
            <v>Installed</v>
          </cell>
          <cell r="W1311" t="str">
            <v>N</v>
          </cell>
          <cell r="X1311">
            <v>1</v>
          </cell>
          <cell r="Y1311">
            <v>0</v>
          </cell>
        </row>
      </sheetData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Control"/>
      <sheetName val="Bonds"/>
      <sheetName val="Inputs"/>
      <sheetName val="Outputs--&gt;"/>
      <sheetName val="Profile"/>
      <sheetName val="Comps"/>
      <sheetName val="Side-by-Side"/>
      <sheetName val="Merger model"/>
      <sheetName val="Share graph"/>
      <sheetName val="KCOM Div."/>
      <sheetName val="Graphs"/>
      <sheetName val="Analyst"/>
    </sheetNames>
    <sheetDataSet>
      <sheetData sheetId="0"/>
      <sheetData sheetId="1">
        <row r="2">
          <cell r="G2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agine - pro rata"/>
      <sheetName val="Imagine - Licences"/>
      <sheetName val="Dish Bundle"/>
      <sheetName val="Inventory 14.08.19"/>
    </sheetNames>
    <sheetDataSet>
      <sheetData sheetId="0" refreshError="1"/>
      <sheetData sheetId="1" refreshError="1"/>
      <sheetData sheetId="2"/>
      <sheetData sheetId="3">
        <row r="2">
          <cell r="B2" t="str">
            <v>TWW1002</v>
          </cell>
          <cell r="T2" t="str">
            <v>-</v>
          </cell>
        </row>
        <row r="3">
          <cell r="B3" t="str">
            <v>TWW1002</v>
          </cell>
          <cell r="T3" t="str">
            <v>-</v>
          </cell>
        </row>
        <row r="4">
          <cell r="B4" t="str">
            <v>TWW1002</v>
          </cell>
          <cell r="T4" t="str">
            <v>-</v>
          </cell>
        </row>
        <row r="5">
          <cell r="B5" t="str">
            <v>TWW1002</v>
          </cell>
          <cell r="T5" t="str">
            <v>-</v>
          </cell>
        </row>
        <row r="6">
          <cell r="B6" t="str">
            <v>TWW1002</v>
          </cell>
          <cell r="T6" t="str">
            <v>-</v>
          </cell>
        </row>
        <row r="7">
          <cell r="B7" t="str">
            <v>TWW1002</v>
          </cell>
          <cell r="T7" t="str">
            <v>-</v>
          </cell>
        </row>
        <row r="8">
          <cell r="B8" t="str">
            <v>TWW1002</v>
          </cell>
          <cell r="T8" t="str">
            <v>-</v>
          </cell>
        </row>
        <row r="9">
          <cell r="B9" t="str">
            <v>TWW1002</v>
          </cell>
          <cell r="T9" t="str">
            <v>-</v>
          </cell>
        </row>
        <row r="10">
          <cell r="B10" t="str">
            <v>TWW1002</v>
          </cell>
          <cell r="T10" t="str">
            <v>-</v>
          </cell>
        </row>
        <row r="11">
          <cell r="B11" t="str">
            <v>TWW1002</v>
          </cell>
          <cell r="T11" t="str">
            <v>-</v>
          </cell>
        </row>
        <row r="12">
          <cell r="B12" t="str">
            <v>TWW1002</v>
          </cell>
          <cell r="T12" t="str">
            <v>-</v>
          </cell>
        </row>
        <row r="13">
          <cell r="B13" t="str">
            <v>TWW1002</v>
          </cell>
          <cell r="T13" t="str">
            <v>-</v>
          </cell>
        </row>
        <row r="14">
          <cell r="B14" t="str">
            <v>TLK1003</v>
          </cell>
          <cell r="T14" t="str">
            <v>-</v>
          </cell>
        </row>
        <row r="15">
          <cell r="B15" t="str">
            <v>TLK1003</v>
          </cell>
          <cell r="T15" t="str">
            <v>-</v>
          </cell>
        </row>
        <row r="16">
          <cell r="B16" t="str">
            <v>TLK1003</v>
          </cell>
          <cell r="T16" t="str">
            <v>-</v>
          </cell>
        </row>
        <row r="17">
          <cell r="B17" t="str">
            <v>TDU2013</v>
          </cell>
          <cell r="T17" t="str">
            <v>-</v>
          </cell>
        </row>
        <row r="18">
          <cell r="B18" t="str">
            <v>TDU2013</v>
          </cell>
          <cell r="T18" t="str">
            <v>-</v>
          </cell>
        </row>
        <row r="19">
          <cell r="B19" t="str">
            <v>TDU2013</v>
          </cell>
          <cell r="T19" t="str">
            <v>-</v>
          </cell>
        </row>
        <row r="20">
          <cell r="B20" t="str">
            <v>TDU2013</v>
          </cell>
          <cell r="T20" t="str">
            <v>-</v>
          </cell>
        </row>
        <row r="21">
          <cell r="B21" t="str">
            <v>TDU2013</v>
          </cell>
          <cell r="T21" t="str">
            <v>-</v>
          </cell>
        </row>
        <row r="22">
          <cell r="B22" t="str">
            <v>TDU2013</v>
          </cell>
          <cell r="T22" t="str">
            <v>-</v>
          </cell>
        </row>
        <row r="23">
          <cell r="B23" t="str">
            <v>TDU2013</v>
          </cell>
          <cell r="T23" t="str">
            <v>-</v>
          </cell>
        </row>
        <row r="24">
          <cell r="B24" t="str">
            <v>TDU2013</v>
          </cell>
          <cell r="T24" t="str">
            <v>-</v>
          </cell>
        </row>
        <row r="25">
          <cell r="B25" t="str">
            <v>TDU2013</v>
          </cell>
          <cell r="T25" t="str">
            <v>-</v>
          </cell>
        </row>
        <row r="26">
          <cell r="B26" t="str">
            <v>TDU2013</v>
          </cell>
          <cell r="T26" t="str">
            <v>-</v>
          </cell>
        </row>
        <row r="27">
          <cell r="B27" t="str">
            <v>TDU2013</v>
          </cell>
          <cell r="T27" t="str">
            <v>-</v>
          </cell>
        </row>
        <row r="28">
          <cell r="B28" t="str">
            <v>TKE1019</v>
          </cell>
          <cell r="T28" t="str">
            <v>Vouch</v>
          </cell>
        </row>
        <row r="29">
          <cell r="B29" t="str">
            <v>TKE1019</v>
          </cell>
          <cell r="T29" t="str">
            <v>-</v>
          </cell>
        </row>
        <row r="30">
          <cell r="B30" t="str">
            <v>TKE1019</v>
          </cell>
          <cell r="T30" t="str">
            <v>-</v>
          </cell>
        </row>
        <row r="31">
          <cell r="B31" t="str">
            <v>TKE1019</v>
          </cell>
          <cell r="T31" t="str">
            <v>-</v>
          </cell>
        </row>
        <row r="32">
          <cell r="B32" t="str">
            <v>TKE1019</v>
          </cell>
          <cell r="T32" t="str">
            <v>-</v>
          </cell>
        </row>
        <row r="33">
          <cell r="B33" t="str">
            <v>TKE1019</v>
          </cell>
          <cell r="T33" t="str">
            <v>-</v>
          </cell>
        </row>
        <row r="34">
          <cell r="B34" t="str">
            <v>TKE1019</v>
          </cell>
          <cell r="T34" t="str">
            <v>-</v>
          </cell>
        </row>
        <row r="35">
          <cell r="B35" t="str">
            <v>TKE1019</v>
          </cell>
          <cell r="T35" t="str">
            <v>-</v>
          </cell>
        </row>
        <row r="36">
          <cell r="B36" t="str">
            <v>TKE1019</v>
          </cell>
          <cell r="T36" t="str">
            <v>-</v>
          </cell>
        </row>
        <row r="37">
          <cell r="B37" t="str">
            <v>TKE1019</v>
          </cell>
          <cell r="T37" t="str">
            <v>-</v>
          </cell>
        </row>
        <row r="38">
          <cell r="B38" t="str">
            <v>TKE1019</v>
          </cell>
          <cell r="T38" t="str">
            <v>Vouch</v>
          </cell>
        </row>
        <row r="39">
          <cell r="B39" t="str">
            <v>TKE1019</v>
          </cell>
          <cell r="T39" t="str">
            <v>-</v>
          </cell>
        </row>
        <row r="40">
          <cell r="B40" t="str">
            <v>TKE1019</v>
          </cell>
          <cell r="T40" t="str">
            <v>-</v>
          </cell>
        </row>
        <row r="41">
          <cell r="B41" t="str">
            <v>TWX2018</v>
          </cell>
          <cell r="T41" t="str">
            <v>-</v>
          </cell>
        </row>
        <row r="42">
          <cell r="B42" t="str">
            <v>TWX2018</v>
          </cell>
          <cell r="T42" t="str">
            <v>-</v>
          </cell>
        </row>
        <row r="43">
          <cell r="B43" t="str">
            <v>TWX2018</v>
          </cell>
          <cell r="T43" t="str">
            <v>-</v>
          </cell>
        </row>
        <row r="44">
          <cell r="B44" t="str">
            <v>TWX2018</v>
          </cell>
          <cell r="T44" t="str">
            <v>-</v>
          </cell>
        </row>
        <row r="45">
          <cell r="B45" t="str">
            <v>TWX2018</v>
          </cell>
          <cell r="T45" t="str">
            <v>-</v>
          </cell>
        </row>
        <row r="46">
          <cell r="B46" t="str">
            <v>TWX2018</v>
          </cell>
          <cell r="T46" t="str">
            <v>-</v>
          </cell>
        </row>
        <row r="47">
          <cell r="B47" t="str">
            <v>TCK2019</v>
          </cell>
          <cell r="T47" t="str">
            <v>-</v>
          </cell>
        </row>
        <row r="48">
          <cell r="B48" t="str">
            <v>TCK2019</v>
          </cell>
          <cell r="T48" t="str">
            <v>-</v>
          </cell>
        </row>
        <row r="49">
          <cell r="B49" t="str">
            <v>TCK2019</v>
          </cell>
          <cell r="T49" t="str">
            <v>-</v>
          </cell>
        </row>
        <row r="50">
          <cell r="B50" t="str">
            <v>TCK2019</v>
          </cell>
          <cell r="T50" t="str">
            <v>-</v>
          </cell>
        </row>
        <row r="51">
          <cell r="B51" t="str">
            <v>TCK2019</v>
          </cell>
          <cell r="T51" t="str">
            <v>-</v>
          </cell>
        </row>
        <row r="52">
          <cell r="B52" t="str">
            <v>TCK2019</v>
          </cell>
          <cell r="T52" t="str">
            <v>-</v>
          </cell>
        </row>
        <row r="53">
          <cell r="B53" t="str">
            <v>TTP1032</v>
          </cell>
          <cell r="T53" t="str">
            <v>Vouch</v>
          </cell>
        </row>
        <row r="54">
          <cell r="B54" t="str">
            <v>TTP1032</v>
          </cell>
          <cell r="T54" t="str">
            <v>-</v>
          </cell>
        </row>
        <row r="55">
          <cell r="B55" t="str">
            <v>TTP1032</v>
          </cell>
          <cell r="T55" t="str">
            <v>-</v>
          </cell>
        </row>
        <row r="56">
          <cell r="B56" t="str">
            <v>TTP1032</v>
          </cell>
          <cell r="T56" t="str">
            <v>-</v>
          </cell>
        </row>
        <row r="57">
          <cell r="B57" t="str">
            <v>TDL3014</v>
          </cell>
          <cell r="T57" t="str">
            <v>-</v>
          </cell>
        </row>
        <row r="58">
          <cell r="B58" t="str">
            <v>TDL3014</v>
          </cell>
          <cell r="T58" t="str">
            <v>-</v>
          </cell>
        </row>
        <row r="59">
          <cell r="B59" t="str">
            <v>TDL3014</v>
          </cell>
          <cell r="T59" t="str">
            <v>-</v>
          </cell>
        </row>
        <row r="60">
          <cell r="B60" t="str">
            <v>TDL3014</v>
          </cell>
          <cell r="T60" t="str">
            <v>-</v>
          </cell>
        </row>
        <row r="61">
          <cell r="B61" t="str">
            <v>TDL3014</v>
          </cell>
          <cell r="T61" t="str">
            <v>-</v>
          </cell>
        </row>
        <row r="62">
          <cell r="B62" t="str">
            <v>TDL3014</v>
          </cell>
          <cell r="T62" t="str">
            <v>-</v>
          </cell>
        </row>
        <row r="63">
          <cell r="B63" t="str">
            <v>TCK2032</v>
          </cell>
          <cell r="T63" t="str">
            <v>-</v>
          </cell>
        </row>
        <row r="64">
          <cell r="B64" t="str">
            <v>TCK2032</v>
          </cell>
          <cell r="T64" t="str">
            <v>-</v>
          </cell>
        </row>
        <row r="65">
          <cell r="B65" t="str">
            <v>TCK2032</v>
          </cell>
          <cell r="T65" t="str">
            <v>-</v>
          </cell>
        </row>
        <row r="66">
          <cell r="B66" t="str">
            <v>TCK2032</v>
          </cell>
          <cell r="T66" t="str">
            <v>-</v>
          </cell>
        </row>
        <row r="67">
          <cell r="B67" t="str">
            <v>TCK2032</v>
          </cell>
          <cell r="T67" t="str">
            <v>-</v>
          </cell>
        </row>
        <row r="68">
          <cell r="B68" t="str">
            <v>TCK2032</v>
          </cell>
          <cell r="T68" t="str">
            <v>-</v>
          </cell>
        </row>
        <row r="69">
          <cell r="B69" t="str">
            <v>TSO2034</v>
          </cell>
          <cell r="T69" t="str">
            <v>-</v>
          </cell>
        </row>
        <row r="70">
          <cell r="B70" t="str">
            <v>TSO2034</v>
          </cell>
          <cell r="T70" t="str">
            <v>-</v>
          </cell>
        </row>
        <row r="71">
          <cell r="B71" t="str">
            <v>TSO2034</v>
          </cell>
          <cell r="T71" t="str">
            <v>-</v>
          </cell>
        </row>
        <row r="72">
          <cell r="B72" t="str">
            <v>TSO2034</v>
          </cell>
          <cell r="T72" t="str">
            <v>-</v>
          </cell>
        </row>
        <row r="73">
          <cell r="B73" t="str">
            <v>TSO2034</v>
          </cell>
          <cell r="T73" t="str">
            <v>-</v>
          </cell>
        </row>
        <row r="74">
          <cell r="B74" t="str">
            <v>TSO2034</v>
          </cell>
          <cell r="T74" t="str">
            <v>-</v>
          </cell>
        </row>
        <row r="75">
          <cell r="B75" t="str">
            <v>TTP3019</v>
          </cell>
          <cell r="T75" t="str">
            <v>-</v>
          </cell>
        </row>
        <row r="76">
          <cell r="B76" t="str">
            <v>TTP3019</v>
          </cell>
          <cell r="T76" t="str">
            <v>-</v>
          </cell>
        </row>
        <row r="77">
          <cell r="B77" t="str">
            <v>TTP3019</v>
          </cell>
          <cell r="T77" t="str">
            <v>-</v>
          </cell>
        </row>
        <row r="78">
          <cell r="B78" t="str">
            <v>TTP3019</v>
          </cell>
          <cell r="T78" t="str">
            <v>-</v>
          </cell>
        </row>
        <row r="79">
          <cell r="B79" t="str">
            <v>TTP3019</v>
          </cell>
          <cell r="T79" t="str">
            <v>-</v>
          </cell>
        </row>
        <row r="80">
          <cell r="B80" t="str">
            <v>TTP3019</v>
          </cell>
          <cell r="T80" t="str">
            <v>-</v>
          </cell>
        </row>
        <row r="81">
          <cell r="B81" t="str">
            <v>TGY3021</v>
          </cell>
          <cell r="T81" t="str">
            <v>-</v>
          </cell>
        </row>
        <row r="82">
          <cell r="B82" t="str">
            <v>TGY3021</v>
          </cell>
          <cell r="T82" t="str">
            <v>-</v>
          </cell>
        </row>
        <row r="83">
          <cell r="B83" t="str">
            <v>TGY3021</v>
          </cell>
          <cell r="T83" t="str">
            <v>-</v>
          </cell>
        </row>
        <row r="84">
          <cell r="B84" t="str">
            <v>TGY3021</v>
          </cell>
          <cell r="T84" t="str">
            <v>-</v>
          </cell>
        </row>
        <row r="85">
          <cell r="B85" t="str">
            <v>TGY3021</v>
          </cell>
          <cell r="T85" t="str">
            <v>-</v>
          </cell>
        </row>
        <row r="86">
          <cell r="B86" t="str">
            <v>TGY3021</v>
          </cell>
          <cell r="T86" t="str">
            <v>-</v>
          </cell>
        </row>
        <row r="87">
          <cell r="B87" t="str">
            <v>TWX2037</v>
          </cell>
          <cell r="T87" t="str">
            <v>-</v>
          </cell>
        </row>
        <row r="88">
          <cell r="B88" t="str">
            <v>TWX2037</v>
          </cell>
          <cell r="T88" t="str">
            <v>-</v>
          </cell>
        </row>
        <row r="89">
          <cell r="B89" t="str">
            <v>TWX2037</v>
          </cell>
          <cell r="T89" t="str">
            <v>-</v>
          </cell>
        </row>
        <row r="90">
          <cell r="B90" t="str">
            <v>TWX2037</v>
          </cell>
          <cell r="T90" t="str">
            <v>-</v>
          </cell>
        </row>
        <row r="91">
          <cell r="B91" t="str">
            <v>TWX2037</v>
          </cell>
          <cell r="T91" t="str">
            <v>-</v>
          </cell>
        </row>
        <row r="92">
          <cell r="B92" t="str">
            <v>TWX2037</v>
          </cell>
          <cell r="T92" t="str">
            <v>-</v>
          </cell>
        </row>
        <row r="93">
          <cell r="B93" t="str">
            <v>TWX2037</v>
          </cell>
          <cell r="T93" t="str">
            <v>-</v>
          </cell>
        </row>
        <row r="94">
          <cell r="B94" t="str">
            <v>TWX2037</v>
          </cell>
          <cell r="T94" t="str">
            <v>-</v>
          </cell>
        </row>
        <row r="95">
          <cell r="B95" t="str">
            <v>TWX2037</v>
          </cell>
          <cell r="T95" t="str">
            <v>-</v>
          </cell>
        </row>
        <row r="96">
          <cell r="B96" t="str">
            <v>TWX2037</v>
          </cell>
          <cell r="T96" t="str">
            <v>-</v>
          </cell>
        </row>
        <row r="97">
          <cell r="B97" t="str">
            <v>TWX2037</v>
          </cell>
          <cell r="T97" t="str">
            <v>-</v>
          </cell>
        </row>
        <row r="98">
          <cell r="B98" t="str">
            <v>TWX2037</v>
          </cell>
          <cell r="T98" t="str">
            <v>-</v>
          </cell>
        </row>
        <row r="99">
          <cell r="B99" t="str">
            <v>TWX2037</v>
          </cell>
          <cell r="T99" t="str">
            <v>-</v>
          </cell>
        </row>
        <row r="100">
          <cell r="B100" t="str">
            <v>TWX2037</v>
          </cell>
          <cell r="T100" t="str">
            <v>-</v>
          </cell>
        </row>
        <row r="101">
          <cell r="B101" t="str">
            <v>TWX2037</v>
          </cell>
          <cell r="T101" t="str">
            <v>-</v>
          </cell>
        </row>
        <row r="102">
          <cell r="B102" t="str">
            <v>TWX2037</v>
          </cell>
          <cell r="T102" t="str">
            <v>-</v>
          </cell>
        </row>
        <row r="103">
          <cell r="B103" t="str">
            <v>TKE1019</v>
          </cell>
          <cell r="T103" t="str">
            <v>-</v>
          </cell>
        </row>
        <row r="104">
          <cell r="B104" t="str">
            <v>TGY3021</v>
          </cell>
          <cell r="T104" t="str">
            <v>-</v>
          </cell>
        </row>
        <row r="105">
          <cell r="B105" t="str">
            <v>TGY3021</v>
          </cell>
          <cell r="T105" t="str">
            <v>-</v>
          </cell>
        </row>
        <row r="106">
          <cell r="B106" t="str">
            <v>TTP1032</v>
          </cell>
          <cell r="T106" t="str">
            <v>-</v>
          </cell>
        </row>
        <row r="107">
          <cell r="B107" t="str">
            <v>TDU2013</v>
          </cell>
          <cell r="T107" t="str">
            <v>-</v>
          </cell>
        </row>
        <row r="108">
          <cell r="B108" t="str">
            <v>TTP1032</v>
          </cell>
          <cell r="T108" t="str">
            <v>Vouch</v>
          </cell>
        </row>
        <row r="109">
          <cell r="B109" t="str">
            <v>TCK3002</v>
          </cell>
          <cell r="T109" t="str">
            <v>-</v>
          </cell>
        </row>
        <row r="110">
          <cell r="B110" t="str">
            <v>TCK3002</v>
          </cell>
          <cell r="T110" t="str">
            <v>-</v>
          </cell>
        </row>
        <row r="111">
          <cell r="B111" t="str">
            <v>TCK3002</v>
          </cell>
          <cell r="T111" t="str">
            <v>-</v>
          </cell>
        </row>
        <row r="112">
          <cell r="B112" t="str">
            <v>TCK3002</v>
          </cell>
          <cell r="T112" t="str">
            <v>-</v>
          </cell>
        </row>
        <row r="113">
          <cell r="B113" t="str">
            <v>TCK3002</v>
          </cell>
          <cell r="T113" t="str">
            <v>-</v>
          </cell>
        </row>
        <row r="114">
          <cell r="B114" t="str">
            <v>TKE1019</v>
          </cell>
          <cell r="T114" t="str">
            <v>-</v>
          </cell>
        </row>
        <row r="115">
          <cell r="B115" t="str">
            <v>TLK1003</v>
          </cell>
          <cell r="T115" t="str">
            <v>-</v>
          </cell>
        </row>
        <row r="116">
          <cell r="B116" t="str">
            <v>TLK1003</v>
          </cell>
          <cell r="T116" t="str">
            <v>-</v>
          </cell>
        </row>
        <row r="117">
          <cell r="B117" t="str">
            <v>TLK1003</v>
          </cell>
          <cell r="T117" t="str">
            <v>-</v>
          </cell>
        </row>
        <row r="118">
          <cell r="B118" t="str">
            <v>TKY2031</v>
          </cell>
          <cell r="T118" t="str">
            <v>-</v>
          </cell>
        </row>
        <row r="119">
          <cell r="B119" t="str">
            <v>TKY2031</v>
          </cell>
          <cell r="T119" t="str">
            <v>-</v>
          </cell>
        </row>
        <row r="120">
          <cell r="B120" t="str">
            <v>TKY2031</v>
          </cell>
          <cell r="T120" t="str">
            <v>-</v>
          </cell>
        </row>
        <row r="121">
          <cell r="B121" t="str">
            <v>TKY2031</v>
          </cell>
          <cell r="T121" t="str">
            <v>-</v>
          </cell>
        </row>
        <row r="122">
          <cell r="B122" t="str">
            <v>TWX1040</v>
          </cell>
          <cell r="T122" t="str">
            <v>-</v>
          </cell>
        </row>
        <row r="123">
          <cell r="B123" t="str">
            <v>TWX1040</v>
          </cell>
          <cell r="T123" t="str">
            <v>-</v>
          </cell>
        </row>
        <row r="124">
          <cell r="B124" t="str">
            <v>TWX1040</v>
          </cell>
          <cell r="T124" t="str">
            <v>-</v>
          </cell>
        </row>
        <row r="125">
          <cell r="B125" t="str">
            <v>TWX1040</v>
          </cell>
          <cell r="T125" t="str">
            <v>-</v>
          </cell>
        </row>
        <row r="126">
          <cell r="B126" t="str">
            <v>TKY2031</v>
          </cell>
          <cell r="T126" t="str">
            <v>-</v>
          </cell>
        </row>
        <row r="127">
          <cell r="B127" t="str">
            <v>TWX1040</v>
          </cell>
          <cell r="T127" t="str">
            <v>-</v>
          </cell>
        </row>
        <row r="128">
          <cell r="B128" t="str">
            <v>TWX2037</v>
          </cell>
          <cell r="T128" t="str">
            <v>-</v>
          </cell>
        </row>
        <row r="129">
          <cell r="B129" t="str">
            <v>TWX2037</v>
          </cell>
          <cell r="T129" t="str">
            <v>-</v>
          </cell>
        </row>
        <row r="130">
          <cell r="B130" t="str">
            <v>TCK2032</v>
          </cell>
          <cell r="T130" t="str">
            <v>-</v>
          </cell>
        </row>
        <row r="131">
          <cell r="B131" t="str">
            <v>TLK1003</v>
          </cell>
          <cell r="T131" t="str">
            <v>-</v>
          </cell>
        </row>
        <row r="132">
          <cell r="B132" t="str">
            <v>TCK1042</v>
          </cell>
          <cell r="T132" t="str">
            <v>-</v>
          </cell>
        </row>
        <row r="133">
          <cell r="B133" t="str">
            <v>TCK1042</v>
          </cell>
          <cell r="T133" t="str">
            <v>-</v>
          </cell>
        </row>
        <row r="134">
          <cell r="B134" t="str">
            <v>TCK1042</v>
          </cell>
          <cell r="T134" t="str">
            <v>-</v>
          </cell>
        </row>
        <row r="135">
          <cell r="B135" t="str">
            <v>TCK1042</v>
          </cell>
          <cell r="T135" t="str">
            <v>-</v>
          </cell>
        </row>
        <row r="136">
          <cell r="B136" t="str">
            <v>TCK1042</v>
          </cell>
          <cell r="T136" t="str">
            <v>-</v>
          </cell>
        </row>
        <row r="137">
          <cell r="B137" t="str">
            <v>TDL2006</v>
          </cell>
          <cell r="T137" t="str">
            <v>-</v>
          </cell>
        </row>
        <row r="138">
          <cell r="B138" t="str">
            <v>TDL2006</v>
          </cell>
          <cell r="T138" t="str">
            <v>-</v>
          </cell>
        </row>
        <row r="139">
          <cell r="B139" t="str">
            <v>TDL2006</v>
          </cell>
          <cell r="T139" t="str">
            <v>-</v>
          </cell>
        </row>
        <row r="140">
          <cell r="B140" t="str">
            <v>TDL2006</v>
          </cell>
          <cell r="T140" t="str">
            <v>-</v>
          </cell>
        </row>
        <row r="141">
          <cell r="B141" t="str">
            <v>TKE1009</v>
          </cell>
          <cell r="T141" t="str">
            <v>-</v>
          </cell>
        </row>
        <row r="142">
          <cell r="B142" t="str">
            <v>TKE1009</v>
          </cell>
          <cell r="T142" t="str">
            <v>-</v>
          </cell>
        </row>
        <row r="143">
          <cell r="B143" t="str">
            <v>TKE1009</v>
          </cell>
          <cell r="T143" t="str">
            <v>-</v>
          </cell>
        </row>
        <row r="144">
          <cell r="B144" t="str">
            <v>TMO2010</v>
          </cell>
          <cell r="T144" t="str">
            <v>-</v>
          </cell>
        </row>
        <row r="145">
          <cell r="B145" t="str">
            <v>TMO2010</v>
          </cell>
          <cell r="T145" t="str">
            <v>-</v>
          </cell>
        </row>
        <row r="146">
          <cell r="B146" t="str">
            <v>TMO2010</v>
          </cell>
          <cell r="T146" t="str">
            <v>-</v>
          </cell>
        </row>
        <row r="147">
          <cell r="B147" t="str">
            <v>TMO1001</v>
          </cell>
          <cell r="T147" t="str">
            <v>-</v>
          </cell>
        </row>
        <row r="148">
          <cell r="B148" t="str">
            <v>TMO1001</v>
          </cell>
          <cell r="T148" t="str">
            <v>-</v>
          </cell>
        </row>
        <row r="149">
          <cell r="B149" t="str">
            <v>TMO1001</v>
          </cell>
          <cell r="T149" t="str">
            <v>-</v>
          </cell>
        </row>
        <row r="150">
          <cell r="B150" t="str">
            <v>TMO1001</v>
          </cell>
          <cell r="T150" t="str">
            <v>-</v>
          </cell>
        </row>
        <row r="151">
          <cell r="B151" t="str">
            <v>TMO2010</v>
          </cell>
          <cell r="T151" t="str">
            <v>-</v>
          </cell>
        </row>
        <row r="152">
          <cell r="B152" t="str">
            <v>TKE1009</v>
          </cell>
          <cell r="T152" t="str">
            <v>-</v>
          </cell>
        </row>
        <row r="153">
          <cell r="B153" t="str">
            <v>TCE1006</v>
          </cell>
          <cell r="T153" t="str">
            <v>-</v>
          </cell>
        </row>
        <row r="154">
          <cell r="B154" t="str">
            <v>TCE1006</v>
          </cell>
          <cell r="T154" t="str">
            <v>-</v>
          </cell>
        </row>
        <row r="155">
          <cell r="B155" t="str">
            <v>TCE1006</v>
          </cell>
          <cell r="T155" t="str">
            <v>-</v>
          </cell>
        </row>
        <row r="156">
          <cell r="B156" t="str">
            <v>TCE1006</v>
          </cell>
          <cell r="T156" t="str">
            <v>-</v>
          </cell>
        </row>
        <row r="157">
          <cell r="B157" t="str">
            <v>TCE1006</v>
          </cell>
          <cell r="T157" t="str">
            <v>-</v>
          </cell>
        </row>
        <row r="158">
          <cell r="B158" t="str">
            <v>TKE1009</v>
          </cell>
          <cell r="T158" t="str">
            <v>-</v>
          </cell>
        </row>
        <row r="159">
          <cell r="B159" t="str">
            <v>TMO2010</v>
          </cell>
          <cell r="T159" t="str">
            <v>-</v>
          </cell>
        </row>
        <row r="160">
          <cell r="B160" t="str">
            <v>TLS1010</v>
          </cell>
          <cell r="T160" t="str">
            <v>-</v>
          </cell>
        </row>
        <row r="161">
          <cell r="B161" t="str">
            <v>TLS1010</v>
          </cell>
          <cell r="T161" t="str">
            <v>-</v>
          </cell>
        </row>
        <row r="162">
          <cell r="B162" t="str">
            <v>TLS1010</v>
          </cell>
          <cell r="T162" t="str">
            <v>-</v>
          </cell>
        </row>
        <row r="163">
          <cell r="B163" t="str">
            <v>TLS1010</v>
          </cell>
          <cell r="T163" t="str">
            <v>-</v>
          </cell>
        </row>
        <row r="164">
          <cell r="B164" t="str">
            <v>TLS1010</v>
          </cell>
          <cell r="T164" t="str">
            <v>-</v>
          </cell>
        </row>
        <row r="165">
          <cell r="B165" t="str">
            <v>TTP1032</v>
          </cell>
          <cell r="T165" t="str">
            <v>-</v>
          </cell>
        </row>
        <row r="166">
          <cell r="B166" t="str">
            <v>TTP1032</v>
          </cell>
          <cell r="T166" t="str">
            <v>-</v>
          </cell>
        </row>
        <row r="167">
          <cell r="B167" t="str">
            <v>TTP1032</v>
          </cell>
          <cell r="T167" t="str">
            <v>-</v>
          </cell>
        </row>
        <row r="168">
          <cell r="B168" t="str">
            <v>TTP1032</v>
          </cell>
          <cell r="T168" t="str">
            <v>-</v>
          </cell>
        </row>
        <row r="169">
          <cell r="B169" t="str">
            <v>TTP1032</v>
          </cell>
          <cell r="T169" t="str">
            <v>-</v>
          </cell>
        </row>
        <row r="170">
          <cell r="B170" t="str">
            <v>TLK3017</v>
          </cell>
          <cell r="T170" t="str">
            <v>-</v>
          </cell>
        </row>
        <row r="171">
          <cell r="B171" t="str">
            <v>TLK3017</v>
          </cell>
          <cell r="T171" t="str">
            <v>-</v>
          </cell>
        </row>
        <row r="172">
          <cell r="B172" t="str">
            <v>TLK3017</v>
          </cell>
          <cell r="T172" t="str">
            <v>-</v>
          </cell>
        </row>
        <row r="173">
          <cell r="B173" t="str">
            <v>TLK3017</v>
          </cell>
          <cell r="T173" t="str">
            <v>-</v>
          </cell>
        </row>
        <row r="174">
          <cell r="B174" t="str">
            <v>TLK3017</v>
          </cell>
          <cell r="T174" t="str">
            <v>-</v>
          </cell>
        </row>
        <row r="175">
          <cell r="B175" t="str">
            <v>TWX1040</v>
          </cell>
          <cell r="T175" t="str">
            <v>-</v>
          </cell>
        </row>
        <row r="176">
          <cell r="B176" t="str">
            <v>TWX1040</v>
          </cell>
          <cell r="T176" t="str">
            <v>-</v>
          </cell>
        </row>
        <row r="177">
          <cell r="B177" t="str">
            <v>TWX2037</v>
          </cell>
          <cell r="T177" t="str">
            <v>-</v>
          </cell>
        </row>
        <row r="178">
          <cell r="B178" t="str">
            <v>TWX2037</v>
          </cell>
          <cell r="T178" t="str">
            <v>-</v>
          </cell>
        </row>
        <row r="179">
          <cell r="B179" t="str">
            <v>TSO2034</v>
          </cell>
          <cell r="T179" t="str">
            <v>-</v>
          </cell>
        </row>
        <row r="180">
          <cell r="B180" t="str">
            <v>TSO2034</v>
          </cell>
          <cell r="T180" t="str">
            <v>-</v>
          </cell>
        </row>
        <row r="181">
          <cell r="B181" t="str">
            <v>TSO2034</v>
          </cell>
          <cell r="T181" t="str">
            <v>-</v>
          </cell>
        </row>
        <row r="182">
          <cell r="B182" t="str">
            <v>TSO2034</v>
          </cell>
          <cell r="T182" t="str">
            <v>-</v>
          </cell>
        </row>
        <row r="183">
          <cell r="B183" t="str">
            <v>TMO1023</v>
          </cell>
          <cell r="T183" t="str">
            <v>-</v>
          </cell>
        </row>
        <row r="184">
          <cell r="B184" t="str">
            <v>TMO1023</v>
          </cell>
          <cell r="T184" t="str">
            <v>-</v>
          </cell>
        </row>
        <row r="185">
          <cell r="B185" t="str">
            <v>TMO1023</v>
          </cell>
          <cell r="T185" t="str">
            <v>-</v>
          </cell>
        </row>
        <row r="186">
          <cell r="B186" t="str">
            <v>TMO1023</v>
          </cell>
          <cell r="T186" t="str">
            <v>-</v>
          </cell>
        </row>
        <row r="187">
          <cell r="B187" t="str">
            <v>TMO1023</v>
          </cell>
          <cell r="T187" t="str">
            <v>-</v>
          </cell>
        </row>
        <row r="188">
          <cell r="B188" t="str">
            <v>TMO2002</v>
          </cell>
          <cell r="T188" t="str">
            <v>-</v>
          </cell>
        </row>
        <row r="189">
          <cell r="B189" t="str">
            <v>TMO2002</v>
          </cell>
          <cell r="T189" t="str">
            <v>-</v>
          </cell>
        </row>
        <row r="190">
          <cell r="B190" t="str">
            <v>TMO2002</v>
          </cell>
          <cell r="T190" t="str">
            <v>-</v>
          </cell>
        </row>
        <row r="191">
          <cell r="B191" t="str">
            <v>TMO2002</v>
          </cell>
          <cell r="T191" t="str">
            <v>-</v>
          </cell>
        </row>
        <row r="192">
          <cell r="B192" t="str">
            <v>TMO2002</v>
          </cell>
          <cell r="T192" t="str">
            <v>-</v>
          </cell>
        </row>
        <row r="193">
          <cell r="B193" t="str">
            <v>TMO2010</v>
          </cell>
          <cell r="T193" t="str">
            <v>-</v>
          </cell>
        </row>
        <row r="194">
          <cell r="B194" t="str">
            <v>TKE1019</v>
          </cell>
          <cell r="T194" t="str">
            <v>-</v>
          </cell>
        </row>
        <row r="195">
          <cell r="B195" t="str">
            <v>TKE1019</v>
          </cell>
          <cell r="T195" t="str">
            <v>-</v>
          </cell>
        </row>
        <row r="196">
          <cell r="B196" t="str">
            <v>TKE1019</v>
          </cell>
          <cell r="T196" t="str">
            <v>-</v>
          </cell>
        </row>
        <row r="197">
          <cell r="B197" t="str">
            <v>TKE1019</v>
          </cell>
          <cell r="T197" t="str">
            <v>-</v>
          </cell>
        </row>
        <row r="198">
          <cell r="B198" t="str">
            <v>TKE1019</v>
          </cell>
          <cell r="T198" t="str">
            <v>-</v>
          </cell>
        </row>
        <row r="199">
          <cell r="B199" t="str">
            <v>TGY1046</v>
          </cell>
          <cell r="T199" t="str">
            <v>-</v>
          </cell>
        </row>
        <row r="200">
          <cell r="B200" t="str">
            <v>TGY1046</v>
          </cell>
          <cell r="T200" t="str">
            <v>-</v>
          </cell>
        </row>
        <row r="201">
          <cell r="B201" t="str">
            <v>TGY1046</v>
          </cell>
          <cell r="T201" t="str">
            <v>-</v>
          </cell>
        </row>
        <row r="202">
          <cell r="B202" t="str">
            <v>TGY1046</v>
          </cell>
          <cell r="T202" t="str">
            <v>-</v>
          </cell>
        </row>
        <row r="203">
          <cell r="B203" t="str">
            <v>TGY1046</v>
          </cell>
          <cell r="T203" t="str">
            <v>-</v>
          </cell>
        </row>
        <row r="204">
          <cell r="B204" t="str">
            <v>TKY1028</v>
          </cell>
          <cell r="T204" t="str">
            <v>-</v>
          </cell>
        </row>
        <row r="205">
          <cell r="B205" t="str">
            <v>TKY1028</v>
          </cell>
          <cell r="T205" t="str">
            <v>-</v>
          </cell>
        </row>
        <row r="206">
          <cell r="B206" t="str">
            <v>TKY1028</v>
          </cell>
          <cell r="T206" t="str">
            <v>-</v>
          </cell>
        </row>
        <row r="207">
          <cell r="B207" t="str">
            <v>TKY1028</v>
          </cell>
          <cell r="T207" t="str">
            <v>-</v>
          </cell>
        </row>
        <row r="208">
          <cell r="B208" t="str">
            <v>TCK3002</v>
          </cell>
          <cell r="T208" t="str">
            <v>-</v>
          </cell>
        </row>
        <row r="209">
          <cell r="B209" t="str">
            <v>TCK3002</v>
          </cell>
          <cell r="T209" t="str">
            <v>-</v>
          </cell>
        </row>
        <row r="210">
          <cell r="B210" t="str">
            <v>TKY2031</v>
          </cell>
          <cell r="T210" t="str">
            <v>-</v>
          </cell>
        </row>
        <row r="211">
          <cell r="B211" t="str">
            <v>TCK3002</v>
          </cell>
          <cell r="T211" t="str">
            <v>-</v>
          </cell>
        </row>
        <row r="212">
          <cell r="B212" t="str">
            <v>TCK2032</v>
          </cell>
          <cell r="T212" t="str">
            <v>-</v>
          </cell>
        </row>
        <row r="213">
          <cell r="B213" t="str">
            <v>TCE1006</v>
          </cell>
          <cell r="T213" t="str">
            <v>-</v>
          </cell>
        </row>
        <row r="214">
          <cell r="B214" t="str">
            <v>TLS1010</v>
          </cell>
          <cell r="T214" t="str">
            <v>-</v>
          </cell>
        </row>
        <row r="215">
          <cell r="B215" t="str">
            <v>TLK1003</v>
          </cell>
          <cell r="T215" t="str">
            <v>-</v>
          </cell>
        </row>
        <row r="216">
          <cell r="B216" t="str">
            <v>TCK2032</v>
          </cell>
          <cell r="T216" t="str">
            <v>-</v>
          </cell>
        </row>
        <row r="217">
          <cell r="B217" t="str">
            <v>TCE1006</v>
          </cell>
          <cell r="T217" t="str">
            <v>-</v>
          </cell>
        </row>
        <row r="218">
          <cell r="B218" t="str">
            <v>TMO2002</v>
          </cell>
          <cell r="T218" t="str">
            <v>-</v>
          </cell>
        </row>
        <row r="219">
          <cell r="B219" t="str">
            <v>TWX2037</v>
          </cell>
          <cell r="T219" t="str">
            <v>-</v>
          </cell>
        </row>
        <row r="220">
          <cell r="B220" t="str">
            <v>TLK3017</v>
          </cell>
          <cell r="T220" t="str">
            <v>-</v>
          </cell>
        </row>
        <row r="221">
          <cell r="B221" t="str">
            <v>TKY1028</v>
          </cell>
          <cell r="T221" t="str">
            <v>-</v>
          </cell>
        </row>
        <row r="222">
          <cell r="B222" t="str">
            <v>TCK1042</v>
          </cell>
          <cell r="T222" t="str">
            <v>-</v>
          </cell>
        </row>
        <row r="223">
          <cell r="B223" t="str">
            <v>TMO2010</v>
          </cell>
          <cell r="T223" t="str">
            <v>-</v>
          </cell>
        </row>
        <row r="224">
          <cell r="B224" t="str">
            <v>TMO2010</v>
          </cell>
          <cell r="T224" t="str">
            <v>-</v>
          </cell>
        </row>
        <row r="225">
          <cell r="B225" t="str">
            <v>TLK1003</v>
          </cell>
          <cell r="T225" t="str">
            <v>-</v>
          </cell>
        </row>
        <row r="226">
          <cell r="B226" t="str">
            <v>TLK1003</v>
          </cell>
          <cell r="T226" t="str">
            <v>-</v>
          </cell>
        </row>
        <row r="227">
          <cell r="B227" t="str">
            <v>TGY3021</v>
          </cell>
          <cell r="T227" t="str">
            <v>-</v>
          </cell>
        </row>
        <row r="228">
          <cell r="B228" t="str">
            <v>TGY3021</v>
          </cell>
          <cell r="T228" t="str">
            <v>-</v>
          </cell>
        </row>
        <row r="229">
          <cell r="B229" t="str">
            <v>TGY3021</v>
          </cell>
          <cell r="T229" t="str">
            <v>-</v>
          </cell>
        </row>
        <row r="230">
          <cell r="B230" t="str">
            <v>TGY3021</v>
          </cell>
          <cell r="T230" t="str">
            <v>-</v>
          </cell>
        </row>
        <row r="231">
          <cell r="B231" t="str">
            <v>TGY3021</v>
          </cell>
          <cell r="T231" t="str">
            <v>-</v>
          </cell>
        </row>
        <row r="232">
          <cell r="B232" t="str">
            <v>TGY3021</v>
          </cell>
          <cell r="T232" t="str">
            <v>-</v>
          </cell>
        </row>
        <row r="233">
          <cell r="B233" t="str">
            <v>TWX1018</v>
          </cell>
          <cell r="T233" t="str">
            <v>-</v>
          </cell>
        </row>
        <row r="234">
          <cell r="B234" t="str">
            <v>TWX1018</v>
          </cell>
          <cell r="T234" t="str">
            <v>-</v>
          </cell>
        </row>
        <row r="235">
          <cell r="B235" t="str">
            <v>TWX1018</v>
          </cell>
          <cell r="T235" t="str">
            <v>-</v>
          </cell>
        </row>
        <row r="236">
          <cell r="B236" t="str">
            <v>TWX1018</v>
          </cell>
          <cell r="T236" t="str">
            <v>-</v>
          </cell>
        </row>
        <row r="237">
          <cell r="B237" t="str">
            <v>TWX1018</v>
          </cell>
          <cell r="T237" t="str">
            <v>-</v>
          </cell>
        </row>
        <row r="238">
          <cell r="B238" t="str">
            <v>TWX1018</v>
          </cell>
          <cell r="T238" t="str">
            <v>-</v>
          </cell>
        </row>
        <row r="239">
          <cell r="B239" t="str">
            <v>TTP1021</v>
          </cell>
          <cell r="T239" t="str">
            <v>-</v>
          </cell>
        </row>
        <row r="240">
          <cell r="B240" t="str">
            <v>TTP1021</v>
          </cell>
          <cell r="T240" t="str">
            <v>-</v>
          </cell>
        </row>
        <row r="241">
          <cell r="B241" t="str">
            <v>TTP1021</v>
          </cell>
          <cell r="T241" t="str">
            <v>-</v>
          </cell>
        </row>
        <row r="242">
          <cell r="B242" t="str">
            <v>TTP1021</v>
          </cell>
          <cell r="T242" t="str">
            <v>-</v>
          </cell>
        </row>
        <row r="243">
          <cell r="B243" t="str">
            <v>TTP1021</v>
          </cell>
          <cell r="T243" t="str">
            <v>-</v>
          </cell>
        </row>
        <row r="244">
          <cell r="B244" t="str">
            <v>TKK1004</v>
          </cell>
          <cell r="T244" t="str">
            <v>-</v>
          </cell>
        </row>
        <row r="245">
          <cell r="B245" t="str">
            <v>TKK1004</v>
          </cell>
          <cell r="T245" t="str">
            <v>-</v>
          </cell>
        </row>
        <row r="246">
          <cell r="B246" t="str">
            <v>TKK1004</v>
          </cell>
          <cell r="T246" t="str">
            <v>-</v>
          </cell>
        </row>
        <row r="247">
          <cell r="B247" t="str">
            <v>TKK1004</v>
          </cell>
          <cell r="T247" t="str">
            <v>-</v>
          </cell>
        </row>
        <row r="248">
          <cell r="B248" t="str">
            <v>TSO1007</v>
          </cell>
          <cell r="T248" t="str">
            <v>-</v>
          </cell>
        </row>
        <row r="249">
          <cell r="B249" t="str">
            <v>TSO1007</v>
          </cell>
          <cell r="T249" t="str">
            <v>-</v>
          </cell>
        </row>
        <row r="250">
          <cell r="B250" t="str">
            <v>TSO1007</v>
          </cell>
          <cell r="T250" t="str">
            <v>-</v>
          </cell>
        </row>
        <row r="251">
          <cell r="B251" t="str">
            <v>TSO1007</v>
          </cell>
          <cell r="T251" t="str">
            <v>-</v>
          </cell>
        </row>
        <row r="252">
          <cell r="B252" t="str">
            <v>TTP3003</v>
          </cell>
          <cell r="T252" t="str">
            <v>-</v>
          </cell>
        </row>
        <row r="253">
          <cell r="B253" t="str">
            <v>TTP3003</v>
          </cell>
          <cell r="T253" t="str">
            <v>-</v>
          </cell>
        </row>
        <row r="254">
          <cell r="B254" t="str">
            <v>TTP3003</v>
          </cell>
          <cell r="T254" t="str">
            <v>-</v>
          </cell>
        </row>
        <row r="255">
          <cell r="B255" t="str">
            <v>TTP3003</v>
          </cell>
          <cell r="T255" t="str">
            <v>-</v>
          </cell>
        </row>
        <row r="256">
          <cell r="B256" t="str">
            <v>TSO2009</v>
          </cell>
          <cell r="T256" t="str">
            <v>-</v>
          </cell>
        </row>
        <row r="257">
          <cell r="B257" t="str">
            <v>TSO2009</v>
          </cell>
          <cell r="T257" t="str">
            <v>-</v>
          </cell>
        </row>
        <row r="258">
          <cell r="B258" t="str">
            <v>TMO1001</v>
          </cell>
          <cell r="T258" t="str">
            <v>-</v>
          </cell>
        </row>
        <row r="259">
          <cell r="B259" t="str">
            <v>TWX1040</v>
          </cell>
          <cell r="T259" t="str">
            <v>-</v>
          </cell>
        </row>
        <row r="260">
          <cell r="B260" t="str">
            <v>TSO2034</v>
          </cell>
          <cell r="T260" t="str">
            <v>-</v>
          </cell>
        </row>
        <row r="261">
          <cell r="B261" t="str">
            <v>TKY1031</v>
          </cell>
          <cell r="T261" t="str">
            <v>-</v>
          </cell>
        </row>
        <row r="262">
          <cell r="B262" t="str">
            <v>TKY1031</v>
          </cell>
          <cell r="T262" t="str">
            <v>-</v>
          </cell>
        </row>
        <row r="263">
          <cell r="B263" t="str">
            <v>TKY1031</v>
          </cell>
          <cell r="T263" t="str">
            <v>-</v>
          </cell>
        </row>
        <row r="264">
          <cell r="B264" t="str">
            <v>TKY1031</v>
          </cell>
          <cell r="T264" t="str">
            <v>-</v>
          </cell>
        </row>
        <row r="265">
          <cell r="B265" t="str">
            <v>TSO2009</v>
          </cell>
          <cell r="T265" t="str">
            <v>-</v>
          </cell>
        </row>
        <row r="266">
          <cell r="B266" t="str">
            <v>TSO2009</v>
          </cell>
          <cell r="T266" t="str">
            <v>-</v>
          </cell>
        </row>
        <row r="267">
          <cell r="B267" t="str">
            <v>TTP3003</v>
          </cell>
          <cell r="T267" t="str">
            <v>-</v>
          </cell>
        </row>
        <row r="268">
          <cell r="B268" t="str">
            <v>TGY3021</v>
          </cell>
          <cell r="T268" t="str">
            <v>-</v>
          </cell>
        </row>
        <row r="269">
          <cell r="B269" t="str">
            <v>TKY2031</v>
          </cell>
          <cell r="T269" t="str">
            <v>-</v>
          </cell>
        </row>
        <row r="270">
          <cell r="B270" t="str">
            <v>TCK2019</v>
          </cell>
          <cell r="T270" t="str">
            <v>-</v>
          </cell>
        </row>
        <row r="271">
          <cell r="B271" t="str">
            <v>TCK2019</v>
          </cell>
          <cell r="T271" t="str">
            <v>-</v>
          </cell>
        </row>
        <row r="272">
          <cell r="B272" t="str">
            <v>TCK2019</v>
          </cell>
          <cell r="T272" t="str">
            <v>-</v>
          </cell>
        </row>
        <row r="273">
          <cell r="B273" t="str">
            <v>TSO2034</v>
          </cell>
          <cell r="T273" t="str">
            <v>-</v>
          </cell>
        </row>
        <row r="274">
          <cell r="B274" t="str">
            <v>TSO2034</v>
          </cell>
          <cell r="T274" t="str">
            <v>-</v>
          </cell>
        </row>
        <row r="275">
          <cell r="B275" t="str">
            <v>TCE2028</v>
          </cell>
          <cell r="T275" t="str">
            <v>-</v>
          </cell>
        </row>
        <row r="276">
          <cell r="B276" t="str">
            <v>TCE2028</v>
          </cell>
          <cell r="T276" t="str">
            <v>-</v>
          </cell>
        </row>
        <row r="277">
          <cell r="B277" t="str">
            <v>TCE2028</v>
          </cell>
          <cell r="T277" t="str">
            <v>-</v>
          </cell>
        </row>
        <row r="278">
          <cell r="B278" t="str">
            <v>TCE2028</v>
          </cell>
          <cell r="T278" t="str">
            <v>-</v>
          </cell>
        </row>
        <row r="279">
          <cell r="B279" t="str">
            <v>TCK2019</v>
          </cell>
          <cell r="T279" t="str">
            <v>-</v>
          </cell>
        </row>
        <row r="280">
          <cell r="B280" t="str">
            <v>TGY3021</v>
          </cell>
          <cell r="T280" t="str">
            <v>-</v>
          </cell>
        </row>
        <row r="281">
          <cell r="B281" t="str">
            <v>TKK1004</v>
          </cell>
          <cell r="T281" t="str">
            <v>-</v>
          </cell>
        </row>
        <row r="282">
          <cell r="B282" t="str">
            <v>TKK1004</v>
          </cell>
          <cell r="T282" t="str">
            <v>-</v>
          </cell>
        </row>
        <row r="283">
          <cell r="B283" t="str">
            <v>TKK1004</v>
          </cell>
          <cell r="T283" t="str">
            <v>-</v>
          </cell>
        </row>
        <row r="284">
          <cell r="B284" t="str">
            <v>TWX1040</v>
          </cell>
          <cell r="T284" t="str">
            <v>-</v>
          </cell>
        </row>
        <row r="285">
          <cell r="B285" t="str">
            <v>TGY2027</v>
          </cell>
          <cell r="T285" t="str">
            <v>-</v>
          </cell>
        </row>
        <row r="286">
          <cell r="B286" t="str">
            <v>TGY2027</v>
          </cell>
          <cell r="T286" t="str">
            <v>-</v>
          </cell>
        </row>
        <row r="287">
          <cell r="B287" t="str">
            <v>TGY2027</v>
          </cell>
          <cell r="T287" t="str">
            <v>-</v>
          </cell>
        </row>
        <row r="288">
          <cell r="B288" t="str">
            <v>TGY2027</v>
          </cell>
          <cell r="T288" t="str">
            <v>-</v>
          </cell>
        </row>
        <row r="289">
          <cell r="B289" t="str">
            <v>TCE1037</v>
          </cell>
          <cell r="T289" t="str">
            <v>-</v>
          </cell>
        </row>
        <row r="290">
          <cell r="B290" t="str">
            <v>TCE1037</v>
          </cell>
          <cell r="T290" t="str">
            <v>-</v>
          </cell>
        </row>
        <row r="291">
          <cell r="B291" t="str">
            <v>TCE1037</v>
          </cell>
          <cell r="T291" t="str">
            <v>-</v>
          </cell>
        </row>
        <row r="292">
          <cell r="B292" t="str">
            <v>TDL3014</v>
          </cell>
          <cell r="T292" t="str">
            <v>-</v>
          </cell>
        </row>
        <row r="293">
          <cell r="B293" t="str">
            <v>TDL3014</v>
          </cell>
          <cell r="T293" t="str">
            <v>-</v>
          </cell>
        </row>
        <row r="294">
          <cell r="B294" t="str">
            <v>TDL3014</v>
          </cell>
          <cell r="T294" t="str">
            <v>-</v>
          </cell>
        </row>
        <row r="295">
          <cell r="B295" t="str">
            <v>TCE1037</v>
          </cell>
          <cell r="T295" t="str">
            <v>-</v>
          </cell>
        </row>
        <row r="296">
          <cell r="B296" t="str">
            <v>TDL3014</v>
          </cell>
          <cell r="T296" t="str">
            <v>-</v>
          </cell>
        </row>
        <row r="297">
          <cell r="B297" t="str">
            <v>TMO2010</v>
          </cell>
          <cell r="T297" t="str">
            <v>-</v>
          </cell>
        </row>
        <row r="298">
          <cell r="B298" t="str">
            <v>TMO2010</v>
          </cell>
          <cell r="T298" t="str">
            <v>-</v>
          </cell>
        </row>
        <row r="299">
          <cell r="B299" t="str">
            <v>TWW1002</v>
          </cell>
          <cell r="T299" t="str">
            <v>-</v>
          </cell>
        </row>
        <row r="300">
          <cell r="B300" t="str">
            <v>TWW1002</v>
          </cell>
          <cell r="T300" t="str">
            <v>-</v>
          </cell>
        </row>
        <row r="301">
          <cell r="B301" t="str">
            <v>TWW1002</v>
          </cell>
          <cell r="T301" t="str">
            <v>-</v>
          </cell>
        </row>
        <row r="302">
          <cell r="B302" t="str">
            <v>TWW1002</v>
          </cell>
          <cell r="T302" t="str">
            <v>-</v>
          </cell>
        </row>
        <row r="303">
          <cell r="B303" t="str">
            <v>TSO2034</v>
          </cell>
          <cell r="T303" t="str">
            <v>-</v>
          </cell>
        </row>
        <row r="304">
          <cell r="B304" t="str">
            <v>TCK2032</v>
          </cell>
          <cell r="T304" t="str">
            <v>-</v>
          </cell>
        </row>
        <row r="305">
          <cell r="B305" t="str">
            <v>TCK2032</v>
          </cell>
          <cell r="T305" t="str">
            <v>-</v>
          </cell>
        </row>
        <row r="306">
          <cell r="B306" t="str">
            <v>TCK2032</v>
          </cell>
          <cell r="T306" t="str">
            <v>-</v>
          </cell>
        </row>
        <row r="307">
          <cell r="B307" t="str">
            <v>TCK2032</v>
          </cell>
          <cell r="T307" t="str">
            <v>-</v>
          </cell>
        </row>
        <row r="308">
          <cell r="B308" t="str">
            <v>TCK2032</v>
          </cell>
          <cell r="T308" t="str">
            <v>-</v>
          </cell>
        </row>
        <row r="309">
          <cell r="B309" t="str">
            <v>TGY5008</v>
          </cell>
          <cell r="T309" t="str">
            <v>-</v>
          </cell>
        </row>
        <row r="310">
          <cell r="B310" t="str">
            <v>TGY5008</v>
          </cell>
          <cell r="T310" t="str">
            <v>-</v>
          </cell>
        </row>
        <row r="311">
          <cell r="B311" t="str">
            <v>TGY5008</v>
          </cell>
          <cell r="T311" t="str">
            <v>-</v>
          </cell>
        </row>
        <row r="312">
          <cell r="B312" t="str">
            <v>TGY5008</v>
          </cell>
          <cell r="T312" t="str">
            <v>-</v>
          </cell>
        </row>
        <row r="313">
          <cell r="B313" t="str">
            <v>TGY5008</v>
          </cell>
          <cell r="T313" t="str">
            <v>-</v>
          </cell>
        </row>
        <row r="314">
          <cell r="B314" t="str">
            <v>TMN2008</v>
          </cell>
          <cell r="T314" t="str">
            <v>-</v>
          </cell>
        </row>
        <row r="315">
          <cell r="B315" t="str">
            <v>TMN2008</v>
          </cell>
          <cell r="T315" t="str">
            <v>-</v>
          </cell>
        </row>
        <row r="316">
          <cell r="B316" t="str">
            <v>TMN2008</v>
          </cell>
          <cell r="T316" t="str">
            <v>-</v>
          </cell>
        </row>
        <row r="317">
          <cell r="B317" t="str">
            <v>TMN2008</v>
          </cell>
          <cell r="T317" t="str">
            <v>-</v>
          </cell>
        </row>
        <row r="318">
          <cell r="B318" t="str">
            <v>TGY2027</v>
          </cell>
          <cell r="T318" t="str">
            <v>-</v>
          </cell>
        </row>
        <row r="319">
          <cell r="B319" t="str">
            <v>TWW3008</v>
          </cell>
          <cell r="T319" t="str">
            <v>-</v>
          </cell>
        </row>
        <row r="320">
          <cell r="B320" t="str">
            <v>TWW3008</v>
          </cell>
          <cell r="T320" t="str">
            <v>-</v>
          </cell>
        </row>
        <row r="321">
          <cell r="B321" t="str">
            <v>TWW3008</v>
          </cell>
          <cell r="T321" t="str">
            <v>-</v>
          </cell>
        </row>
        <row r="322">
          <cell r="B322" t="str">
            <v>TWW3008</v>
          </cell>
          <cell r="T322" t="str">
            <v>-</v>
          </cell>
        </row>
        <row r="323">
          <cell r="B323" t="str">
            <v>TWW3008</v>
          </cell>
          <cell r="T323" t="str">
            <v>-</v>
          </cell>
        </row>
        <row r="324">
          <cell r="B324" t="str">
            <v>TDL2006</v>
          </cell>
          <cell r="T324" t="str">
            <v>-</v>
          </cell>
        </row>
        <row r="325">
          <cell r="B325" t="str">
            <v>TDL2006</v>
          </cell>
          <cell r="T325" t="str">
            <v>-</v>
          </cell>
        </row>
        <row r="326">
          <cell r="B326" t="str">
            <v>TDL2006</v>
          </cell>
          <cell r="T326" t="str">
            <v>-</v>
          </cell>
        </row>
        <row r="327">
          <cell r="B327" t="str">
            <v>TCK3002</v>
          </cell>
          <cell r="T327" t="str">
            <v>-</v>
          </cell>
        </row>
        <row r="328">
          <cell r="B328" t="str">
            <v>TCK3002</v>
          </cell>
          <cell r="T328" t="str">
            <v>-</v>
          </cell>
        </row>
        <row r="329">
          <cell r="B329" t="str">
            <v>TCK3002</v>
          </cell>
          <cell r="T329" t="str">
            <v>-</v>
          </cell>
        </row>
        <row r="330">
          <cell r="B330" t="str">
            <v>TDL3014</v>
          </cell>
          <cell r="T330" t="str">
            <v>-</v>
          </cell>
        </row>
        <row r="331">
          <cell r="B331" t="str">
            <v>TGY2027</v>
          </cell>
          <cell r="T331" t="str">
            <v>-</v>
          </cell>
        </row>
        <row r="332">
          <cell r="B332" t="str">
            <v>TWX1040</v>
          </cell>
          <cell r="T332" t="str">
            <v>Dish Bundle</v>
          </cell>
        </row>
        <row r="333">
          <cell r="B333" t="str">
            <v>TLS1010</v>
          </cell>
          <cell r="T333" t="str">
            <v>-</v>
          </cell>
        </row>
        <row r="334">
          <cell r="B334" t="str">
            <v>TLS1010</v>
          </cell>
          <cell r="T334" t="str">
            <v>-</v>
          </cell>
        </row>
        <row r="335">
          <cell r="B335" t="str">
            <v>TLS1010</v>
          </cell>
          <cell r="T335" t="str">
            <v>-</v>
          </cell>
        </row>
        <row r="336">
          <cell r="B336" t="str">
            <v>TMO2010</v>
          </cell>
          <cell r="T336" t="str">
            <v>Dish Bundle</v>
          </cell>
        </row>
        <row r="337">
          <cell r="B337" t="str">
            <v>TMO2010</v>
          </cell>
          <cell r="T337" t="str">
            <v>Dish Bundle</v>
          </cell>
        </row>
        <row r="338">
          <cell r="B338" t="str">
            <v>TMO2010</v>
          </cell>
          <cell r="T338" t="str">
            <v>Dish Bundle</v>
          </cell>
        </row>
        <row r="339">
          <cell r="B339" t="str">
            <v>TMO2010</v>
          </cell>
          <cell r="T339" t="str">
            <v>-</v>
          </cell>
        </row>
        <row r="340">
          <cell r="B340" t="str">
            <v>TMH1020</v>
          </cell>
          <cell r="T340" t="str">
            <v>-</v>
          </cell>
        </row>
        <row r="341">
          <cell r="B341" t="str">
            <v>TMH1020</v>
          </cell>
          <cell r="T341" t="str">
            <v>-</v>
          </cell>
        </row>
        <row r="342">
          <cell r="B342" t="str">
            <v>TMH1020</v>
          </cell>
          <cell r="T342" t="str">
            <v>-</v>
          </cell>
        </row>
        <row r="343">
          <cell r="B343" t="str">
            <v>TMH1020</v>
          </cell>
          <cell r="T343" t="str">
            <v>-</v>
          </cell>
        </row>
        <row r="344">
          <cell r="B344" t="str">
            <v>TMH1020</v>
          </cell>
          <cell r="T344" t="str">
            <v>-</v>
          </cell>
        </row>
        <row r="345">
          <cell r="B345" t="str">
            <v>TDL1038</v>
          </cell>
          <cell r="T345" t="str">
            <v>-</v>
          </cell>
        </row>
        <row r="346">
          <cell r="B346" t="str">
            <v>TDL1038</v>
          </cell>
          <cell r="T346" t="str">
            <v>-</v>
          </cell>
        </row>
        <row r="347">
          <cell r="B347" t="str">
            <v>TDL1038</v>
          </cell>
          <cell r="T347" t="str">
            <v>-</v>
          </cell>
        </row>
        <row r="348">
          <cell r="B348" t="str">
            <v>TDL1038</v>
          </cell>
          <cell r="T348" t="str">
            <v>-</v>
          </cell>
        </row>
        <row r="349">
          <cell r="B349" t="str">
            <v>TDL1038</v>
          </cell>
          <cell r="T349" t="str">
            <v>-</v>
          </cell>
        </row>
        <row r="350">
          <cell r="B350" t="str">
            <v>TTP3019</v>
          </cell>
          <cell r="T350" t="str">
            <v>-</v>
          </cell>
        </row>
        <row r="351">
          <cell r="B351" t="str">
            <v>TTP3019</v>
          </cell>
          <cell r="T351" t="str">
            <v>-</v>
          </cell>
        </row>
        <row r="352">
          <cell r="B352" t="str">
            <v>TTP3019</v>
          </cell>
          <cell r="T352" t="str">
            <v>-</v>
          </cell>
        </row>
        <row r="353">
          <cell r="B353" t="str">
            <v>TTP3019</v>
          </cell>
          <cell r="T353" t="str">
            <v>-</v>
          </cell>
        </row>
        <row r="354">
          <cell r="B354" t="str">
            <v>TWW1002</v>
          </cell>
          <cell r="T354" t="str">
            <v>Dish Bundle</v>
          </cell>
        </row>
        <row r="355">
          <cell r="B355" t="str">
            <v>TKY1028</v>
          </cell>
          <cell r="T355" t="str">
            <v>-</v>
          </cell>
        </row>
        <row r="356">
          <cell r="B356" t="str">
            <v>TKY1028</v>
          </cell>
          <cell r="T356" t="str">
            <v>-</v>
          </cell>
        </row>
        <row r="357">
          <cell r="B357" t="str">
            <v>TKY1028</v>
          </cell>
          <cell r="T357" t="str">
            <v>-</v>
          </cell>
        </row>
        <row r="358">
          <cell r="B358" t="str">
            <v>TTP1032</v>
          </cell>
          <cell r="T358" t="str">
            <v>-</v>
          </cell>
        </row>
        <row r="359">
          <cell r="B359" t="str">
            <v>TTP1032</v>
          </cell>
          <cell r="T359" t="str">
            <v>-</v>
          </cell>
        </row>
        <row r="360">
          <cell r="B360" t="str">
            <v>TTP1032</v>
          </cell>
          <cell r="T360" t="str">
            <v>-</v>
          </cell>
        </row>
        <row r="361">
          <cell r="B361" t="str">
            <v>TKE1009</v>
          </cell>
          <cell r="T361" t="str">
            <v>-</v>
          </cell>
        </row>
        <row r="362">
          <cell r="B362" t="str">
            <v>TKE1009</v>
          </cell>
          <cell r="T362" t="str">
            <v>-</v>
          </cell>
        </row>
        <row r="363">
          <cell r="B363" t="str">
            <v>TKE1009</v>
          </cell>
          <cell r="T363" t="str">
            <v>-</v>
          </cell>
        </row>
        <row r="364">
          <cell r="B364" t="str">
            <v>TMO2002</v>
          </cell>
          <cell r="T364" t="str">
            <v>-</v>
          </cell>
        </row>
        <row r="365">
          <cell r="B365" t="str">
            <v>TMO2002</v>
          </cell>
          <cell r="T365" t="str">
            <v>-</v>
          </cell>
        </row>
        <row r="366">
          <cell r="B366" t="str">
            <v>TMO2002</v>
          </cell>
          <cell r="T366" t="str">
            <v>-</v>
          </cell>
        </row>
        <row r="367">
          <cell r="B367" t="str">
            <v>TMO1023</v>
          </cell>
          <cell r="T367" t="str">
            <v>-</v>
          </cell>
        </row>
        <row r="368">
          <cell r="B368" t="str">
            <v>TMO1023</v>
          </cell>
          <cell r="T368" t="str">
            <v>-</v>
          </cell>
        </row>
        <row r="369">
          <cell r="B369" t="str">
            <v>TMO1023</v>
          </cell>
          <cell r="T369" t="str">
            <v>-</v>
          </cell>
        </row>
        <row r="370">
          <cell r="B370" t="str">
            <v>TCK1042</v>
          </cell>
          <cell r="T370" t="str">
            <v>-</v>
          </cell>
        </row>
        <row r="371">
          <cell r="B371" t="str">
            <v>TCK1042</v>
          </cell>
          <cell r="T371" t="str">
            <v>-</v>
          </cell>
        </row>
        <row r="372">
          <cell r="B372" t="str">
            <v>TCK1042</v>
          </cell>
          <cell r="T372" t="str">
            <v>-</v>
          </cell>
        </row>
        <row r="373">
          <cell r="B373" t="str">
            <v>TMO1001</v>
          </cell>
          <cell r="T373" t="str">
            <v>-</v>
          </cell>
        </row>
        <row r="374">
          <cell r="B374" t="str">
            <v>TMO1001</v>
          </cell>
          <cell r="T374" t="str">
            <v>-</v>
          </cell>
        </row>
        <row r="375">
          <cell r="B375" t="str">
            <v>TMO1001</v>
          </cell>
          <cell r="T375" t="str">
            <v>-</v>
          </cell>
        </row>
        <row r="376">
          <cell r="B376" t="str">
            <v>TLK1003</v>
          </cell>
          <cell r="T376" t="str">
            <v>-</v>
          </cell>
        </row>
        <row r="377">
          <cell r="B377" t="str">
            <v>TLK1003</v>
          </cell>
          <cell r="T377" t="str">
            <v>-</v>
          </cell>
        </row>
        <row r="378">
          <cell r="B378" t="str">
            <v>TLK1003</v>
          </cell>
          <cell r="T378" t="str">
            <v>-</v>
          </cell>
        </row>
        <row r="379">
          <cell r="B379" t="str">
            <v>TLK3017</v>
          </cell>
          <cell r="T379" t="str">
            <v>-</v>
          </cell>
        </row>
        <row r="380">
          <cell r="B380" t="str">
            <v>TLK3017</v>
          </cell>
          <cell r="T380" t="str">
            <v>-</v>
          </cell>
        </row>
        <row r="381">
          <cell r="B381" t="str">
            <v>TLK3017</v>
          </cell>
          <cell r="T381" t="str">
            <v>-</v>
          </cell>
        </row>
        <row r="382">
          <cell r="B382" t="str">
            <v>TCE1006</v>
          </cell>
          <cell r="T382" t="str">
            <v>-</v>
          </cell>
        </row>
        <row r="383">
          <cell r="B383" t="str">
            <v>TCE1006</v>
          </cell>
          <cell r="T383" t="str">
            <v>-</v>
          </cell>
        </row>
        <row r="384">
          <cell r="B384" t="str">
            <v>TCE1006</v>
          </cell>
          <cell r="T384" t="str">
            <v>-</v>
          </cell>
        </row>
        <row r="385">
          <cell r="B385" t="str">
            <v>TKY2031</v>
          </cell>
          <cell r="T385" t="str">
            <v>-</v>
          </cell>
        </row>
        <row r="386">
          <cell r="B386" t="str">
            <v>TKY2031</v>
          </cell>
          <cell r="T386" t="str">
            <v>-</v>
          </cell>
        </row>
        <row r="387">
          <cell r="B387" t="str">
            <v>TKY2031</v>
          </cell>
          <cell r="T387" t="str">
            <v>-</v>
          </cell>
        </row>
        <row r="388">
          <cell r="B388" t="str">
            <v>TWX1040</v>
          </cell>
          <cell r="T388" t="str">
            <v>-</v>
          </cell>
        </row>
        <row r="389">
          <cell r="B389" t="str">
            <v>TWX1040</v>
          </cell>
          <cell r="T389" t="str">
            <v>-</v>
          </cell>
        </row>
        <row r="390">
          <cell r="B390" t="str">
            <v>TWX1040</v>
          </cell>
          <cell r="T390" t="str">
            <v>-</v>
          </cell>
        </row>
        <row r="391">
          <cell r="B391" t="str">
            <v>TSO2034</v>
          </cell>
          <cell r="T391" t="str">
            <v>-</v>
          </cell>
        </row>
        <row r="392">
          <cell r="B392" t="str">
            <v>TSO2034</v>
          </cell>
          <cell r="T392" t="str">
            <v>-</v>
          </cell>
        </row>
        <row r="393">
          <cell r="B393" t="str">
            <v>TSO2034</v>
          </cell>
          <cell r="T393" t="str">
            <v>-</v>
          </cell>
        </row>
        <row r="394">
          <cell r="B394" t="str">
            <v>TKE1019</v>
          </cell>
          <cell r="T394" t="str">
            <v>-</v>
          </cell>
        </row>
        <row r="395">
          <cell r="B395" t="str">
            <v>TKE1019</v>
          </cell>
          <cell r="T395" t="str">
            <v>-</v>
          </cell>
        </row>
        <row r="396">
          <cell r="B396" t="str">
            <v>TKE1019</v>
          </cell>
          <cell r="T396" t="str">
            <v>-</v>
          </cell>
        </row>
        <row r="397">
          <cell r="B397" t="str">
            <v>TGY1046</v>
          </cell>
          <cell r="T397" t="str">
            <v>-</v>
          </cell>
        </row>
        <row r="398">
          <cell r="B398" t="str">
            <v>TGY1046</v>
          </cell>
          <cell r="T398" t="str">
            <v>-</v>
          </cell>
        </row>
        <row r="399">
          <cell r="B399" t="str">
            <v>TGY1046</v>
          </cell>
          <cell r="T399" t="str">
            <v>-</v>
          </cell>
        </row>
        <row r="400">
          <cell r="B400" t="str">
            <v>TMO2010</v>
          </cell>
          <cell r="T400" t="str">
            <v>-</v>
          </cell>
        </row>
        <row r="401">
          <cell r="B401" t="str">
            <v>TMO2010</v>
          </cell>
          <cell r="T401" t="str">
            <v>-</v>
          </cell>
        </row>
        <row r="402">
          <cell r="B402" t="str">
            <v>TMO2010</v>
          </cell>
          <cell r="T402" t="str">
            <v>-</v>
          </cell>
        </row>
        <row r="403">
          <cell r="B403" t="str">
            <v>TWW1002</v>
          </cell>
          <cell r="T403" t="str">
            <v>-</v>
          </cell>
        </row>
        <row r="404">
          <cell r="B404" t="str">
            <v>TWW1002</v>
          </cell>
          <cell r="T404" t="str">
            <v>-</v>
          </cell>
        </row>
        <row r="405">
          <cell r="B405" t="str">
            <v>TWW1002</v>
          </cell>
          <cell r="T405" t="str">
            <v>-</v>
          </cell>
        </row>
        <row r="406">
          <cell r="B406" t="str">
            <v>TMO1039</v>
          </cell>
          <cell r="T406" t="str">
            <v>-</v>
          </cell>
        </row>
        <row r="407">
          <cell r="B407" t="str">
            <v>TMO1039</v>
          </cell>
          <cell r="T407" t="str">
            <v>-</v>
          </cell>
        </row>
        <row r="408">
          <cell r="B408" t="str">
            <v>TMO1039</v>
          </cell>
          <cell r="T408" t="str">
            <v>-</v>
          </cell>
        </row>
        <row r="409">
          <cell r="B409" t="str">
            <v>TDL3014</v>
          </cell>
          <cell r="T409" t="str">
            <v>-</v>
          </cell>
        </row>
        <row r="410">
          <cell r="B410" t="str">
            <v>TMO1001</v>
          </cell>
          <cell r="T410" t="str">
            <v>Dish Bundle</v>
          </cell>
        </row>
        <row r="411">
          <cell r="B411" t="str">
            <v>TMO1001</v>
          </cell>
          <cell r="T411" t="str">
            <v>Dish Bundle</v>
          </cell>
        </row>
        <row r="412">
          <cell r="B412" t="str">
            <v>TCE1006</v>
          </cell>
          <cell r="T412" t="str">
            <v>-</v>
          </cell>
        </row>
        <row r="413">
          <cell r="B413" t="str">
            <v>TMN2008</v>
          </cell>
          <cell r="T413" t="str">
            <v>-</v>
          </cell>
        </row>
        <row r="414">
          <cell r="B414" t="str">
            <v>TKY2031</v>
          </cell>
          <cell r="T414" t="str">
            <v>Dish Bundle</v>
          </cell>
        </row>
        <row r="415">
          <cell r="B415" t="str">
            <v>TKY1028</v>
          </cell>
          <cell r="T415" t="str">
            <v>Dish Bundle</v>
          </cell>
        </row>
        <row r="416">
          <cell r="B416" t="str">
            <v>TKY1028</v>
          </cell>
          <cell r="T416" t="str">
            <v>Dish Bundle</v>
          </cell>
        </row>
        <row r="417">
          <cell r="B417" t="str">
            <v>TMO1039</v>
          </cell>
          <cell r="T417" t="str">
            <v>-</v>
          </cell>
        </row>
        <row r="418">
          <cell r="B418" t="str">
            <v>TDL3014</v>
          </cell>
          <cell r="T418" t="str">
            <v>Dish Bundle</v>
          </cell>
        </row>
        <row r="419">
          <cell r="B419" t="str">
            <v>TCE1006</v>
          </cell>
          <cell r="T419" t="str">
            <v>-</v>
          </cell>
        </row>
        <row r="420">
          <cell r="B420" t="str">
            <v>TKY2031</v>
          </cell>
          <cell r="T420" t="str">
            <v>-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tch"/>
      <sheetName val="Net 1"/>
    </sheetNames>
    <sheetDataSet>
      <sheetData sheetId="0" refreshError="1"/>
      <sheetData sheetId="1">
        <row r="1">
          <cell r="A1" t="str">
            <v>Nominal ID(All Nominals)</v>
          </cell>
          <cell r="B1" t="str">
            <v>MASTCO</v>
          </cell>
          <cell r="C1" t="str">
            <v>Site Name(Base - Main)</v>
          </cell>
          <cell r="D1" t="str">
            <v>MSA Site Provider(Base - Main)</v>
          </cell>
          <cell r="E1" t="str">
            <v>ADC</v>
          </cell>
          <cell r="F1" t="str">
            <v>Planning Type 2</v>
          </cell>
          <cell r="G1" t="str">
            <v>Phase</v>
          </cell>
          <cell r="H1" t="str">
            <v>Site Type Description</v>
          </cell>
        </row>
        <row r="2">
          <cell r="A2" t="str">
            <v>CE0018</v>
          </cell>
          <cell r="B2" t="str">
            <v>CE0018</v>
          </cell>
          <cell r="C2" t="str">
            <v>A Eircom Ben Dash</v>
          </cell>
          <cell r="D2" t="str">
            <v>Eircom</v>
          </cell>
          <cell r="E2" t="str">
            <v>3F</v>
          </cell>
          <cell r="F2" t="str">
            <v>LN</v>
          </cell>
          <cell r="G2" t="str">
            <v>Phase 3</v>
          </cell>
          <cell r="H2" t="str">
            <v>Tower</v>
          </cell>
        </row>
        <row r="3">
          <cell r="A3" t="str">
            <v>CK0004</v>
          </cell>
          <cell r="B3" t="e">
            <v>#N/A</v>
          </cell>
          <cell r="C3" t="str">
            <v>E_Eircom Quaker Hill Roof Top</v>
          </cell>
          <cell r="D3" t="str">
            <v>Eircom</v>
          </cell>
          <cell r="E3" t="str">
            <v>3F</v>
          </cell>
          <cell r="F3" t="str">
            <v>LN</v>
          </cell>
          <cell r="G3" t="str">
            <v>Phase 1</v>
          </cell>
          <cell r="H3" t="str">
            <v>Building</v>
          </cell>
        </row>
        <row r="4">
          <cell r="A4" t="str">
            <v>CK0043</v>
          </cell>
          <cell r="B4" t="str">
            <v>CK0043</v>
          </cell>
          <cell r="C4" t="str">
            <v>A Eircom Mount Agnes Road</v>
          </cell>
          <cell r="D4" t="str">
            <v>Eircom</v>
          </cell>
          <cell r="E4" t="str">
            <v>3F</v>
          </cell>
          <cell r="F4" t="str">
            <v>LN</v>
          </cell>
          <cell r="G4" t="str">
            <v>Phase 1</v>
          </cell>
          <cell r="H4" t="str">
            <v>Tower</v>
          </cell>
        </row>
        <row r="5">
          <cell r="A5" t="str">
            <v>CK0096</v>
          </cell>
          <cell r="B5" t="str">
            <v>CK0096</v>
          </cell>
          <cell r="C5" t="str">
            <v>A Eircom Kildorrery</v>
          </cell>
          <cell r="D5" t="str">
            <v>Eircom</v>
          </cell>
          <cell r="E5" t="str">
            <v>3F</v>
          </cell>
          <cell r="F5" t="str">
            <v>LN</v>
          </cell>
          <cell r="G5" t="str">
            <v>Phase 3</v>
          </cell>
          <cell r="H5" t="str">
            <v>Tower</v>
          </cell>
        </row>
        <row r="6">
          <cell r="A6" t="str">
            <v>CK0109</v>
          </cell>
          <cell r="B6" t="str">
            <v>CK0109</v>
          </cell>
          <cell r="C6" t="str">
            <v>A Eircom Bweengduff</v>
          </cell>
          <cell r="D6" t="str">
            <v>Eircom</v>
          </cell>
          <cell r="E6" t="str">
            <v>3F</v>
          </cell>
          <cell r="F6" t="str">
            <v>LN</v>
          </cell>
          <cell r="G6" t="str">
            <v>Phase 3</v>
          </cell>
          <cell r="H6" t="str">
            <v>Tower</v>
          </cell>
        </row>
        <row r="7">
          <cell r="A7" t="str">
            <v>DO0007</v>
          </cell>
          <cell r="B7" t="str">
            <v>DO0007</v>
          </cell>
          <cell r="C7" t="str">
            <v>B Eircom Letterkenny</v>
          </cell>
          <cell r="D7" t="str">
            <v>Eircom</v>
          </cell>
          <cell r="E7" t="str">
            <v>3F</v>
          </cell>
          <cell r="F7" t="str">
            <v>LN</v>
          </cell>
          <cell r="G7" t="str">
            <v>Phase 3</v>
          </cell>
          <cell r="H7" t="str">
            <v>Building</v>
          </cell>
        </row>
        <row r="8">
          <cell r="A8" t="str">
            <v>DO0021</v>
          </cell>
          <cell r="B8" t="str">
            <v>DO0021</v>
          </cell>
          <cell r="C8" t="str">
            <v>Eircom Mulmosog</v>
          </cell>
          <cell r="D8" t="str">
            <v>Eircom</v>
          </cell>
          <cell r="E8" t="str">
            <v>3F</v>
          </cell>
          <cell r="F8" t="str">
            <v>LN</v>
          </cell>
          <cell r="G8" t="str">
            <v>Phase 4</v>
          </cell>
          <cell r="H8" t="str">
            <v>Tower</v>
          </cell>
        </row>
        <row r="9">
          <cell r="A9" t="str">
            <v>DO0027</v>
          </cell>
          <cell r="B9" t="str">
            <v>DO0027</v>
          </cell>
          <cell r="C9" t="str">
            <v>Eircom Dungloe</v>
          </cell>
          <cell r="D9" t="str">
            <v>Eircom</v>
          </cell>
          <cell r="E9" t="str">
            <v>3F</v>
          </cell>
          <cell r="F9" t="str">
            <v>LN</v>
          </cell>
          <cell r="G9" t="str">
            <v>Phase 4</v>
          </cell>
          <cell r="H9" t="str">
            <v>Tower</v>
          </cell>
        </row>
        <row r="10">
          <cell r="A10" t="str">
            <v>DU0004</v>
          </cell>
          <cell r="B10" t="str">
            <v>DU0004</v>
          </cell>
          <cell r="C10" t="str">
            <v>B Eircom 2/3 Dame Street</v>
          </cell>
          <cell r="D10" t="str">
            <v>Eircom</v>
          </cell>
          <cell r="E10" t="str">
            <v>3F</v>
          </cell>
          <cell r="F10" t="str">
            <v>LN</v>
          </cell>
          <cell r="G10" t="str">
            <v>Phase 1</v>
          </cell>
          <cell r="H10" t="str">
            <v>Building</v>
          </cell>
        </row>
        <row r="11">
          <cell r="A11" t="str">
            <v>DU0199</v>
          </cell>
          <cell r="B11" t="e">
            <v>#N/A</v>
          </cell>
          <cell r="C11" t="str">
            <v>F Eircom Lucan</v>
          </cell>
          <cell r="D11" t="str">
            <v>Eircom</v>
          </cell>
          <cell r="E11" t="str">
            <v>3F</v>
          </cell>
          <cell r="F11" t="str">
            <v>LN</v>
          </cell>
          <cell r="G11" t="str">
            <v>Phase 1</v>
          </cell>
          <cell r="H11" t="str">
            <v>Building</v>
          </cell>
        </row>
        <row r="12">
          <cell r="A12" t="str">
            <v>DU0273</v>
          </cell>
          <cell r="B12" t="str">
            <v>DU0273</v>
          </cell>
          <cell r="C12" t="str">
            <v>D Eircom Tower Clonsilla</v>
          </cell>
          <cell r="D12" t="str">
            <v>Eircom</v>
          </cell>
          <cell r="E12" t="str">
            <v>3F</v>
          </cell>
          <cell r="F12" t="str">
            <v>LN</v>
          </cell>
          <cell r="G12" t="str">
            <v>Phase 1</v>
          </cell>
          <cell r="H12" t="str">
            <v>Tower</v>
          </cell>
        </row>
        <row r="13">
          <cell r="A13" t="str">
            <v>DU0304</v>
          </cell>
          <cell r="B13" t="e">
            <v>#N/A</v>
          </cell>
          <cell r="C13" t="str">
            <v>K Eircom Telephone House</v>
          </cell>
          <cell r="D13" t="str">
            <v>Eircom</v>
          </cell>
          <cell r="E13" t="str">
            <v>3F</v>
          </cell>
          <cell r="F13" t="str">
            <v>LN</v>
          </cell>
          <cell r="G13" t="str">
            <v>Phase 1</v>
          </cell>
          <cell r="H13" t="str">
            <v>Building</v>
          </cell>
        </row>
        <row r="14">
          <cell r="A14" t="str">
            <v>GA0010</v>
          </cell>
          <cell r="B14" t="e">
            <v>#N/A</v>
          </cell>
          <cell r="C14" t="str">
            <v>B Eircom Shantalla</v>
          </cell>
          <cell r="D14" t="str">
            <v>Eircom</v>
          </cell>
          <cell r="E14" t="str">
            <v>3F</v>
          </cell>
          <cell r="F14" t="str">
            <v>LN</v>
          </cell>
          <cell r="G14" t="str">
            <v>Phase 2</v>
          </cell>
          <cell r="H14" t="str">
            <v>Building</v>
          </cell>
        </row>
        <row r="15">
          <cell r="A15" t="str">
            <v>GA0032</v>
          </cell>
          <cell r="B15" t="str">
            <v>GA0032</v>
          </cell>
          <cell r="C15" t="str">
            <v>F Eircom Tuam</v>
          </cell>
          <cell r="D15" t="str">
            <v>Eircom</v>
          </cell>
          <cell r="E15" t="str">
            <v>3F</v>
          </cell>
          <cell r="F15" t="str">
            <v>LN</v>
          </cell>
          <cell r="G15" t="str">
            <v>Phase 3</v>
          </cell>
          <cell r="H15" t="str">
            <v>Building</v>
          </cell>
        </row>
        <row r="16">
          <cell r="A16" t="str">
            <v>GA0035</v>
          </cell>
          <cell r="B16" t="str">
            <v>GA0035</v>
          </cell>
          <cell r="C16" t="str">
            <v>A Eircom Clifden</v>
          </cell>
          <cell r="D16" t="str">
            <v>Eircom</v>
          </cell>
          <cell r="E16" t="str">
            <v>3F</v>
          </cell>
          <cell r="F16" t="str">
            <v>LN</v>
          </cell>
          <cell r="G16" t="str">
            <v>Phase 1</v>
          </cell>
          <cell r="H16" t="str">
            <v>Tower</v>
          </cell>
        </row>
        <row r="17">
          <cell r="A17" t="str">
            <v>KD0013</v>
          </cell>
          <cell r="B17" t="str">
            <v>KD0013</v>
          </cell>
          <cell r="C17" t="str">
            <v>Dunmurry Hill Eircom</v>
          </cell>
          <cell r="D17" t="str">
            <v>Eircom</v>
          </cell>
          <cell r="E17" t="str">
            <v>TCI/BT</v>
          </cell>
          <cell r="F17" t="str">
            <v>LN</v>
          </cell>
          <cell r="G17" t="str">
            <v>Phase 3</v>
          </cell>
          <cell r="H17" t="str">
            <v>Tower</v>
          </cell>
        </row>
        <row r="18">
          <cell r="A18" t="str">
            <v>KD0020</v>
          </cell>
          <cell r="B18" t="e">
            <v>#N/A</v>
          </cell>
          <cell r="C18" t="str">
            <v>Eircom Auto Manual Exchange - Naas</v>
          </cell>
          <cell r="D18" t="str">
            <v>Eircom</v>
          </cell>
          <cell r="E18" t="str">
            <v>TCI/BT</v>
          </cell>
          <cell r="F18" t="str">
            <v>LN</v>
          </cell>
          <cell r="G18" t="str">
            <v>Phase 3</v>
          </cell>
          <cell r="H18" t="str">
            <v>Building</v>
          </cell>
        </row>
        <row r="19">
          <cell r="A19" t="str">
            <v>KD0031</v>
          </cell>
          <cell r="B19" t="str">
            <v>KD0031</v>
          </cell>
          <cell r="C19" t="str">
            <v>Eircom Cappagh Hill</v>
          </cell>
          <cell r="D19" t="str">
            <v>Eircom</v>
          </cell>
          <cell r="E19" t="str">
            <v>TCI/BT</v>
          </cell>
          <cell r="F19" t="str">
            <v>LN</v>
          </cell>
          <cell r="G19" t="str">
            <v>Phase 3</v>
          </cell>
          <cell r="H19" t="str">
            <v>Tower</v>
          </cell>
        </row>
        <row r="20">
          <cell r="A20" t="str">
            <v>KK0012</v>
          </cell>
          <cell r="B20" t="str">
            <v>KK0012</v>
          </cell>
          <cell r="C20" t="str">
            <v>A Eircom Ballyspellan</v>
          </cell>
          <cell r="D20" t="str">
            <v>Eircom</v>
          </cell>
          <cell r="E20" t="str">
            <v>3F</v>
          </cell>
          <cell r="F20" t="str">
            <v>LN</v>
          </cell>
          <cell r="G20" t="str">
            <v>Phase 3</v>
          </cell>
          <cell r="H20" t="str">
            <v>Tower</v>
          </cell>
        </row>
        <row r="21">
          <cell r="A21" t="str">
            <v>KR0008</v>
          </cell>
          <cell r="B21" t="str">
            <v>KR0008</v>
          </cell>
          <cell r="C21" t="str">
            <v>Eircom Knockanore</v>
          </cell>
          <cell r="D21" t="str">
            <v>Eircom</v>
          </cell>
          <cell r="E21" t="str">
            <v>3F</v>
          </cell>
          <cell r="F21" t="str">
            <v>LN</v>
          </cell>
          <cell r="G21" t="str">
            <v>Phase 3</v>
          </cell>
          <cell r="H21" t="str">
            <v>Tower</v>
          </cell>
        </row>
        <row r="22">
          <cell r="A22" t="str">
            <v>KR0019</v>
          </cell>
          <cell r="B22" t="str">
            <v>KR0019</v>
          </cell>
          <cell r="C22" t="str">
            <v>A Eircom Killorglin</v>
          </cell>
          <cell r="D22" t="str">
            <v>Eircom</v>
          </cell>
          <cell r="E22" t="str">
            <v>3F</v>
          </cell>
          <cell r="F22" t="str">
            <v>LN</v>
          </cell>
          <cell r="G22" t="str">
            <v>Phase 3</v>
          </cell>
          <cell r="H22" t="str">
            <v>Tower</v>
          </cell>
        </row>
        <row r="23">
          <cell r="A23" t="str">
            <v>LO0005</v>
          </cell>
          <cell r="B23" t="e">
            <v>#N/A</v>
          </cell>
          <cell r="C23" t="str">
            <v>Eircom Drogheda BO</v>
          </cell>
          <cell r="D23" t="str">
            <v>Eircom</v>
          </cell>
          <cell r="E23" t="str">
            <v>TCI/BT</v>
          </cell>
          <cell r="F23" t="str">
            <v>LN</v>
          </cell>
          <cell r="G23" t="str">
            <v>Phase 3</v>
          </cell>
          <cell r="H23" t="str">
            <v>Building</v>
          </cell>
        </row>
        <row r="24">
          <cell r="A24" t="str">
            <v>LO0009</v>
          </cell>
          <cell r="B24" t="str">
            <v>LO0009</v>
          </cell>
          <cell r="C24" t="str">
            <v>Eircom Tower Dundalk</v>
          </cell>
          <cell r="D24" t="str">
            <v>Eircom</v>
          </cell>
          <cell r="E24" t="str">
            <v>TCI/BT</v>
          </cell>
          <cell r="F24" t="str">
            <v>LN</v>
          </cell>
          <cell r="G24" t="str">
            <v>Phase 3</v>
          </cell>
          <cell r="H24" t="str">
            <v>Tower</v>
          </cell>
        </row>
        <row r="25">
          <cell r="A25" t="str">
            <v>LX0002</v>
          </cell>
          <cell r="B25" t="str">
            <v>LX0002</v>
          </cell>
          <cell r="C25" t="str">
            <v>Eircom Cappard (Mast Share)</v>
          </cell>
          <cell r="D25" t="str">
            <v>Eircom</v>
          </cell>
          <cell r="E25" t="str">
            <v>TCI/BT</v>
          </cell>
          <cell r="F25" t="str">
            <v>LN</v>
          </cell>
          <cell r="G25" t="str">
            <v>Phase 3</v>
          </cell>
          <cell r="H25" t="str">
            <v>Tower</v>
          </cell>
        </row>
        <row r="26">
          <cell r="A26" t="str">
            <v>LX0003</v>
          </cell>
          <cell r="B26" t="str">
            <v>LX0003</v>
          </cell>
          <cell r="C26" t="str">
            <v>Eircom Knockmay - Portlaoise</v>
          </cell>
          <cell r="D26" t="str">
            <v>Eircom</v>
          </cell>
          <cell r="E26" t="str">
            <v>TCI/BT</v>
          </cell>
          <cell r="F26" t="str">
            <v>LN</v>
          </cell>
          <cell r="G26" t="str">
            <v>Phase 3</v>
          </cell>
          <cell r="H26" t="str">
            <v>Tower</v>
          </cell>
        </row>
        <row r="27">
          <cell r="A27" t="str">
            <v>MT0024</v>
          </cell>
          <cell r="B27" t="e">
            <v>#N/A</v>
          </cell>
          <cell r="C27" t="str">
            <v>Eircom Exchange - Navan</v>
          </cell>
          <cell r="D27" t="str">
            <v>Eircom</v>
          </cell>
          <cell r="E27" t="str">
            <v>TCI/BT</v>
          </cell>
          <cell r="F27" t="str">
            <v>LN</v>
          </cell>
          <cell r="G27" t="str">
            <v>Phase 3</v>
          </cell>
          <cell r="H27" t="str">
            <v>Building</v>
          </cell>
        </row>
        <row r="28">
          <cell r="A28" t="str">
            <v>MY0005</v>
          </cell>
          <cell r="B28" t="str">
            <v>MY0005</v>
          </cell>
          <cell r="C28" t="str">
            <v>C_Eircom Tower Castlebar</v>
          </cell>
          <cell r="D28" t="str">
            <v>Eircom</v>
          </cell>
          <cell r="E28" t="str">
            <v>3F</v>
          </cell>
          <cell r="F28" t="str">
            <v>LN</v>
          </cell>
          <cell r="G28" t="str">
            <v>Phase 1</v>
          </cell>
          <cell r="H28" t="str">
            <v>Tower</v>
          </cell>
        </row>
        <row r="29">
          <cell r="A29" t="str">
            <v>MY0013</v>
          </cell>
          <cell r="B29" t="str">
            <v>MY0013</v>
          </cell>
          <cell r="C29" t="str">
            <v>B Eircom Ballinrobe</v>
          </cell>
          <cell r="D29" t="str">
            <v>Eircom</v>
          </cell>
          <cell r="E29" t="str">
            <v>3F</v>
          </cell>
          <cell r="F29" t="str">
            <v>LN</v>
          </cell>
          <cell r="G29" t="str">
            <v>Phase 1</v>
          </cell>
          <cell r="H29" t="str">
            <v>Tower</v>
          </cell>
        </row>
        <row r="30">
          <cell r="A30" t="str">
            <v>MY0014</v>
          </cell>
          <cell r="B30" t="str">
            <v>MY0014</v>
          </cell>
          <cell r="C30" t="str">
            <v>A Eircom Kilbride</v>
          </cell>
          <cell r="D30" t="str">
            <v>Eircom</v>
          </cell>
          <cell r="E30" t="str">
            <v>3F</v>
          </cell>
          <cell r="F30" t="str">
            <v>LN</v>
          </cell>
          <cell r="G30" t="str">
            <v>Phase 2</v>
          </cell>
          <cell r="H30" t="str">
            <v>Tower</v>
          </cell>
        </row>
        <row r="31">
          <cell r="A31" t="str">
            <v>SI0002</v>
          </cell>
          <cell r="B31" t="str">
            <v>SI0002</v>
          </cell>
          <cell r="C31" t="str">
            <v>Eircom Rathedmond - Sligo</v>
          </cell>
          <cell r="D31" t="str">
            <v>Eircom</v>
          </cell>
          <cell r="E31" t="str">
            <v>TCI/BT</v>
          </cell>
          <cell r="F31" t="str">
            <v>LN</v>
          </cell>
          <cell r="G31" t="str">
            <v>Phase 3</v>
          </cell>
          <cell r="H31" t="str">
            <v>Tower</v>
          </cell>
        </row>
        <row r="32">
          <cell r="A32" t="str">
            <v>TP0015</v>
          </cell>
          <cell r="B32" t="str">
            <v>TP0015</v>
          </cell>
          <cell r="C32" t="str">
            <v>A Eircom Laghtseefin</v>
          </cell>
          <cell r="D32" t="str">
            <v>Eircom</v>
          </cell>
          <cell r="E32" t="str">
            <v>3F</v>
          </cell>
          <cell r="F32" t="str">
            <v>LN</v>
          </cell>
          <cell r="G32" t="str">
            <v>Phase 3</v>
          </cell>
          <cell r="H32" t="str">
            <v>Tower</v>
          </cell>
        </row>
        <row r="33">
          <cell r="A33" t="str">
            <v>WK0016</v>
          </cell>
          <cell r="B33" t="str">
            <v>WK0016</v>
          </cell>
          <cell r="C33" t="str">
            <v>Eircom Exchange - Arklow</v>
          </cell>
          <cell r="D33" t="str">
            <v>Eircom</v>
          </cell>
          <cell r="E33" t="str">
            <v>TCI/BT</v>
          </cell>
          <cell r="F33" t="str">
            <v>LN</v>
          </cell>
          <cell r="G33" t="str">
            <v>Phase 3</v>
          </cell>
          <cell r="H33" t="str">
            <v>Tower</v>
          </cell>
        </row>
        <row r="34">
          <cell r="A34" t="str">
            <v>WK0029</v>
          </cell>
          <cell r="B34" t="str">
            <v>WK0029</v>
          </cell>
          <cell r="C34" t="str">
            <v>Eircom Ballyguile</v>
          </cell>
          <cell r="D34" t="str">
            <v>Eircom</v>
          </cell>
          <cell r="E34" t="str">
            <v>TCI/BT</v>
          </cell>
          <cell r="F34" t="str">
            <v>LN</v>
          </cell>
          <cell r="G34" t="str">
            <v>Phase 3</v>
          </cell>
          <cell r="H34" t="str">
            <v>Tower</v>
          </cell>
        </row>
        <row r="35">
          <cell r="A35" t="str">
            <v>WK0030</v>
          </cell>
          <cell r="B35" t="e">
            <v>#N/A</v>
          </cell>
          <cell r="C35" t="str">
            <v>Eircom - Wicklow</v>
          </cell>
          <cell r="D35" t="str">
            <v>Eircom</v>
          </cell>
          <cell r="E35" t="str">
            <v>TCI/BT</v>
          </cell>
          <cell r="F35" t="str">
            <v>LN</v>
          </cell>
          <cell r="G35" t="str">
            <v>Phase 3</v>
          </cell>
          <cell r="H35" t="str">
            <v>Tower</v>
          </cell>
        </row>
        <row r="36">
          <cell r="A36" t="str">
            <v>WT0016</v>
          </cell>
          <cell r="B36" t="e">
            <v>#N/A</v>
          </cell>
          <cell r="C36" t="str">
            <v>A Eircom Exchange</v>
          </cell>
          <cell r="D36" t="str">
            <v>Eircom</v>
          </cell>
          <cell r="E36" t="str">
            <v>3F</v>
          </cell>
          <cell r="F36" t="str">
            <v>LN</v>
          </cell>
          <cell r="G36" t="str">
            <v>Phase 2</v>
          </cell>
          <cell r="H36" t="str">
            <v>Building</v>
          </cell>
        </row>
        <row r="37">
          <cell r="A37" t="str">
            <v>WX0001</v>
          </cell>
          <cell r="B37" t="str">
            <v>WX0001</v>
          </cell>
          <cell r="C37" t="str">
            <v>C Enniscorthy Eircom</v>
          </cell>
          <cell r="D37" t="str">
            <v>Eircom</v>
          </cell>
          <cell r="E37" t="str">
            <v>3F</v>
          </cell>
          <cell r="F37" t="str">
            <v>LN</v>
          </cell>
          <cell r="G37" t="str">
            <v>Phase 1</v>
          </cell>
          <cell r="H37" t="str">
            <v>Tower</v>
          </cell>
        </row>
        <row r="38">
          <cell r="A38" t="str">
            <v>WX0003</v>
          </cell>
          <cell r="B38" t="e">
            <v>#N/A</v>
          </cell>
          <cell r="C38" t="str">
            <v>C Eircom Gorey</v>
          </cell>
          <cell r="D38" t="str">
            <v>Eircom</v>
          </cell>
          <cell r="E38" t="str">
            <v>3F</v>
          </cell>
          <cell r="F38" t="str">
            <v>LN</v>
          </cell>
          <cell r="G38" t="str">
            <v>Phase 3</v>
          </cell>
          <cell r="H38" t="str">
            <v>Building</v>
          </cell>
        </row>
        <row r="39">
          <cell r="A39" t="str">
            <v>WX0007</v>
          </cell>
          <cell r="B39" t="str">
            <v>WX0007</v>
          </cell>
          <cell r="C39" t="str">
            <v>A Eircom Forth Mountain</v>
          </cell>
          <cell r="D39" t="str">
            <v>Eircom</v>
          </cell>
          <cell r="E39" t="str">
            <v>3F</v>
          </cell>
          <cell r="F39" t="str">
            <v>LN</v>
          </cell>
          <cell r="G39" t="str">
            <v>Phase 3</v>
          </cell>
          <cell r="H39" t="str">
            <v>Tower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C310-67B6-4481-A9C5-EF9A6D395BF8}">
  <sheetPr>
    <pageSetUpPr fitToPage="1"/>
  </sheetPr>
  <dimension ref="A2:F63"/>
  <sheetViews>
    <sheetView showGridLines="0" tabSelected="1" zoomScale="115" zoomScaleNormal="115" workbookViewId="0">
      <selection activeCell="B16" sqref="B16"/>
    </sheetView>
  </sheetViews>
  <sheetFormatPr defaultColWidth="9.140625" defaultRowHeight="14.25" x14ac:dyDescent="0.25"/>
  <cols>
    <col min="1" max="1" width="2" style="14" customWidth="1"/>
    <col min="2" max="2" width="43" style="14" customWidth="1"/>
    <col min="3" max="3" width="39.85546875" style="14" customWidth="1"/>
    <col min="4" max="4" width="14.7109375" style="14" customWidth="1"/>
    <col min="5" max="5" width="17.140625" style="14" customWidth="1"/>
    <col min="6" max="6" width="7.42578125" style="14" customWidth="1"/>
    <col min="7" max="7" width="11.140625" style="14" bestFit="1" customWidth="1"/>
    <col min="8" max="16384" width="9.140625" style="14"/>
  </cols>
  <sheetData>
    <row r="2" spans="2:5" ht="33.75" x14ac:dyDescent="0.25">
      <c r="B2" s="13" t="s">
        <v>4</v>
      </c>
    </row>
    <row r="3" spans="2:5" ht="16.5" customHeight="1" x14ac:dyDescent="0.25"/>
    <row r="4" spans="2:5" ht="16.5" customHeight="1" x14ac:dyDescent="0.25"/>
    <row r="5" spans="2:5" ht="16.5" customHeight="1" x14ac:dyDescent="0.25"/>
    <row r="6" spans="2:5" ht="16.5" customHeight="1" x14ac:dyDescent="0.25"/>
    <row r="7" spans="2:5" ht="16.5" customHeight="1" x14ac:dyDescent="0.25">
      <c r="B7" s="15" t="s">
        <v>7</v>
      </c>
    </row>
    <row r="8" spans="2:5" ht="16.5" customHeight="1" x14ac:dyDescent="0.25">
      <c r="B8" s="1" t="s">
        <v>152</v>
      </c>
      <c r="D8" s="16" t="s">
        <v>5</v>
      </c>
      <c r="E8" s="3" t="s">
        <v>153</v>
      </c>
    </row>
    <row r="9" spans="2:5" ht="16.5" customHeight="1" x14ac:dyDescent="0.25">
      <c r="B9" s="1" t="s">
        <v>21</v>
      </c>
      <c r="D9" s="16" t="s">
        <v>3</v>
      </c>
      <c r="E9" s="4">
        <v>45627</v>
      </c>
    </row>
    <row r="10" spans="2:5" ht="16.5" customHeight="1" x14ac:dyDescent="0.25">
      <c r="B10" s="1" t="s">
        <v>21</v>
      </c>
      <c r="D10" s="16" t="s">
        <v>6</v>
      </c>
      <c r="E10" s="3" t="s">
        <v>36</v>
      </c>
    </row>
    <row r="11" spans="2:5" ht="16.5" customHeight="1" x14ac:dyDescent="0.25">
      <c r="B11" s="1"/>
      <c r="D11" s="16" t="s">
        <v>30</v>
      </c>
      <c r="E11" s="3" t="s">
        <v>154</v>
      </c>
    </row>
    <row r="12" spans="2:5" ht="16.5" customHeight="1" x14ac:dyDescent="0.25">
      <c r="B12" s="1"/>
    </row>
    <row r="13" spans="2:5" ht="16.5" customHeight="1" x14ac:dyDescent="0.25"/>
    <row r="14" spans="2:5" ht="16.5" customHeight="1" x14ac:dyDescent="0.25"/>
    <row r="15" spans="2:5" ht="16.5" customHeight="1" x14ac:dyDescent="0.25"/>
    <row r="16" spans="2:5" ht="16.5" customHeight="1" thickBot="1" x14ac:dyDescent="0.3"/>
    <row r="17" spans="2:6" ht="16.5" customHeight="1" thickBot="1" x14ac:dyDescent="0.3">
      <c r="B17" s="122" t="s">
        <v>8</v>
      </c>
      <c r="C17" s="123"/>
      <c r="D17" s="17"/>
      <c r="E17" s="2" t="s">
        <v>0</v>
      </c>
      <c r="F17" s="18"/>
    </row>
    <row r="18" spans="2:6" ht="16.5" customHeight="1" x14ac:dyDescent="0.25">
      <c r="B18" s="124"/>
      <c r="C18" s="125"/>
      <c r="D18" s="9"/>
      <c r="E18" s="5"/>
    </row>
    <row r="19" spans="2:6" ht="16.5" customHeight="1" x14ac:dyDescent="0.25">
      <c r="B19" s="120"/>
      <c r="C19" s="121"/>
      <c r="D19" s="10"/>
      <c r="E19" s="6"/>
    </row>
    <row r="20" spans="2:6" ht="16.5" customHeight="1" x14ac:dyDescent="0.25">
      <c r="B20" s="120" t="s">
        <v>95</v>
      </c>
      <c r="C20" s="121"/>
      <c r="D20" s="11"/>
      <c r="E20" s="6"/>
    </row>
    <row r="21" spans="2:6" ht="16.5" customHeight="1" x14ac:dyDescent="0.25">
      <c r="B21" s="120"/>
      <c r="C21" s="121"/>
      <c r="D21" s="11"/>
      <c r="E21" s="6"/>
    </row>
    <row r="22" spans="2:6" ht="16.5" customHeight="1" x14ac:dyDescent="0.25">
      <c r="B22" s="120" t="s">
        <v>106</v>
      </c>
      <c r="C22" s="121"/>
      <c r="D22" s="11"/>
      <c r="E22" s="6">
        <f>+'UTS - Licences'!G83</f>
        <v>143902.91095314996</v>
      </c>
    </row>
    <row r="23" spans="2:6" ht="16.5" customHeight="1" x14ac:dyDescent="0.25">
      <c r="B23" s="120"/>
      <c r="C23" s="121"/>
      <c r="D23" s="11"/>
      <c r="E23" s="6"/>
    </row>
    <row r="24" spans="2:6" ht="16.5" customHeight="1" x14ac:dyDescent="0.25">
      <c r="B24" s="120" t="s">
        <v>107</v>
      </c>
      <c r="C24" s="121"/>
      <c r="D24" s="11"/>
      <c r="E24" s="6">
        <f>+'UTS - pro rata'!J17</f>
        <v>3343.6273972602735</v>
      </c>
    </row>
    <row r="25" spans="2:6" ht="16.5" customHeight="1" x14ac:dyDescent="0.25">
      <c r="B25" s="120"/>
      <c r="C25" s="121"/>
      <c r="D25" s="10"/>
      <c r="E25" s="6"/>
    </row>
    <row r="26" spans="2:6" ht="16.5" customHeight="1" x14ac:dyDescent="0.25">
      <c r="B26" s="120" t="s">
        <v>150</v>
      </c>
      <c r="C26" s="121"/>
      <c r="D26" s="11"/>
      <c r="E26" s="6">
        <f>+'UTS -Fee review'!I81</f>
        <v>571.48098582628984</v>
      </c>
    </row>
    <row r="27" spans="2:6" ht="16.5" customHeight="1" x14ac:dyDescent="0.25">
      <c r="B27" s="120"/>
      <c r="C27" s="121"/>
      <c r="D27" s="11"/>
      <c r="E27" s="6"/>
    </row>
    <row r="28" spans="2:6" ht="16.5" customHeight="1" x14ac:dyDescent="0.25">
      <c r="B28" s="120"/>
      <c r="C28" s="121"/>
      <c r="D28" s="11"/>
      <c r="E28" s="6"/>
    </row>
    <row r="29" spans="2:6" ht="16.5" customHeight="1" x14ac:dyDescent="0.25">
      <c r="B29" s="120"/>
      <c r="C29" s="121"/>
      <c r="D29" s="11"/>
      <c r="E29" s="6"/>
    </row>
    <row r="30" spans="2:6" ht="16.5" customHeight="1" x14ac:dyDescent="0.25">
      <c r="B30" s="120"/>
      <c r="C30" s="121"/>
      <c r="D30" s="11"/>
      <c r="E30" s="6"/>
    </row>
    <row r="31" spans="2:6" ht="16.5" customHeight="1" x14ac:dyDescent="0.25">
      <c r="B31" s="120" t="s">
        <v>63</v>
      </c>
      <c r="C31" s="121"/>
      <c r="D31" s="11"/>
      <c r="E31" s="6"/>
    </row>
    <row r="32" spans="2:6" ht="16.5" customHeight="1" thickBot="1" x14ac:dyDescent="0.3">
      <c r="B32" s="127"/>
      <c r="C32" s="128"/>
      <c r="D32" s="19"/>
      <c r="E32" s="7"/>
    </row>
    <row r="33" spans="2:5" ht="16.5" customHeight="1" thickTop="1" thickBot="1" x14ac:dyDescent="0.3">
      <c r="B33" s="20"/>
      <c r="C33" s="21" t="s">
        <v>1</v>
      </c>
      <c r="D33" s="22"/>
      <c r="E33" s="23">
        <f>SUM(E18:E32)</f>
        <v>147818.01933623652</v>
      </c>
    </row>
    <row r="34" spans="2:5" ht="16.5" customHeight="1" thickTop="1" thickBot="1" x14ac:dyDescent="0.3"/>
    <row r="35" spans="2:5" ht="16.5" customHeight="1" x14ac:dyDescent="0.25">
      <c r="B35" s="24"/>
      <c r="C35" s="25" t="s">
        <v>9</v>
      </c>
      <c r="D35" s="26"/>
      <c r="E35" s="27">
        <f>D35*0%</f>
        <v>0</v>
      </c>
    </row>
    <row r="36" spans="2:5" ht="16.5" customHeight="1" x14ac:dyDescent="0.25">
      <c r="B36" s="28"/>
      <c r="C36" s="29" t="s">
        <v>10</v>
      </c>
      <c r="D36" s="30"/>
      <c r="E36" s="31">
        <f>D36*13.5%</f>
        <v>0</v>
      </c>
    </row>
    <row r="37" spans="2:5" ht="16.5" customHeight="1" thickBot="1" x14ac:dyDescent="0.3">
      <c r="B37" s="32"/>
      <c r="C37" s="33" t="s">
        <v>37</v>
      </c>
      <c r="D37" s="34">
        <f>E33</f>
        <v>147818.01933623652</v>
      </c>
      <c r="E37" s="35">
        <f>D37*23%</f>
        <v>33998.144447334402</v>
      </c>
    </row>
    <row r="38" spans="2:5" ht="16.5" customHeight="1" thickBot="1" x14ac:dyDescent="0.3">
      <c r="E38" s="36"/>
    </row>
    <row r="39" spans="2:5" ht="16.5" customHeight="1" thickBot="1" x14ac:dyDescent="0.3">
      <c r="B39" s="37" t="s">
        <v>2</v>
      </c>
      <c r="C39" s="38"/>
      <c r="D39" s="38"/>
      <c r="E39" s="39">
        <f>SUM(E33:E38)</f>
        <v>181816.16378357093</v>
      </c>
    </row>
    <row r="42" spans="2:5" x14ac:dyDescent="0.25">
      <c r="B42" s="129" t="s">
        <v>11</v>
      </c>
      <c r="C42" s="129"/>
      <c r="D42" s="129"/>
      <c r="E42" s="129"/>
    </row>
    <row r="43" spans="2:5" x14ac:dyDescent="0.25">
      <c r="B43" s="126" t="s">
        <v>12</v>
      </c>
      <c r="C43" s="126"/>
      <c r="D43" s="126"/>
      <c r="E43" s="126"/>
    </row>
    <row r="44" spans="2:5" x14ac:dyDescent="0.25">
      <c r="B44" s="126" t="s">
        <v>13</v>
      </c>
      <c r="C44" s="126"/>
      <c r="D44" s="126"/>
      <c r="E44" s="126"/>
    </row>
    <row r="45" spans="2:5" x14ac:dyDescent="0.25">
      <c r="B45" s="126" t="s">
        <v>14</v>
      </c>
      <c r="C45" s="126"/>
      <c r="D45" s="126"/>
      <c r="E45" s="126"/>
    </row>
    <row r="46" spans="2:5" x14ac:dyDescent="0.25">
      <c r="B46" s="126" t="s">
        <v>15</v>
      </c>
      <c r="C46" s="126"/>
      <c r="D46" s="126"/>
      <c r="E46" s="126"/>
    </row>
    <row r="47" spans="2:5" x14ac:dyDescent="0.25">
      <c r="B47" s="40"/>
      <c r="C47" s="40"/>
      <c r="D47" s="40"/>
      <c r="E47" s="40"/>
    </row>
    <row r="48" spans="2:5" x14ac:dyDescent="0.25">
      <c r="B48" s="41" t="s">
        <v>16</v>
      </c>
      <c r="C48" s="40"/>
      <c r="D48" s="41" t="s">
        <v>18</v>
      </c>
      <c r="E48" s="40"/>
    </row>
    <row r="49" spans="1:5" x14ac:dyDescent="0.25">
      <c r="B49" s="12" t="s">
        <v>17</v>
      </c>
      <c r="C49" s="40"/>
      <c r="D49" s="131" t="s">
        <v>50</v>
      </c>
      <c r="E49" s="131"/>
    </row>
    <row r="50" spans="1:5" x14ac:dyDescent="0.25">
      <c r="B50" s="12" t="s">
        <v>31</v>
      </c>
      <c r="C50" s="40"/>
      <c r="D50" s="8"/>
      <c r="E50" s="8"/>
    </row>
    <row r="51" spans="1:5" x14ac:dyDescent="0.25">
      <c r="B51" s="12" t="s">
        <v>32</v>
      </c>
      <c r="C51" s="40"/>
      <c r="D51" s="8"/>
      <c r="E51" s="8"/>
    </row>
    <row r="52" spans="1:5" x14ac:dyDescent="0.25">
      <c r="B52" s="12" t="s">
        <v>33</v>
      </c>
      <c r="C52" s="40"/>
      <c r="D52" s="8"/>
      <c r="E52" s="8"/>
    </row>
    <row r="53" spans="1:5" x14ac:dyDescent="0.25">
      <c r="B53" s="12" t="s">
        <v>34</v>
      </c>
      <c r="C53" s="40"/>
      <c r="D53" s="8"/>
      <c r="E53" s="8"/>
    </row>
    <row r="54" spans="1:5" x14ac:dyDescent="0.25">
      <c r="B54" s="40"/>
      <c r="C54" s="40"/>
      <c r="D54" s="8"/>
      <c r="E54" s="8"/>
    </row>
    <row r="55" spans="1:5" x14ac:dyDescent="0.25">
      <c r="A55" s="40"/>
      <c r="B55" s="40" t="s">
        <v>35</v>
      </c>
      <c r="C55" s="40"/>
      <c r="D55" s="8"/>
      <c r="E55" s="8"/>
    </row>
    <row r="56" spans="1:5" x14ac:dyDescent="0.25">
      <c r="A56" s="40"/>
      <c r="B56" s="40" t="s">
        <v>28</v>
      </c>
      <c r="C56" s="40" t="s">
        <v>29</v>
      </c>
      <c r="D56" s="8"/>
      <c r="E56" s="8"/>
    </row>
    <row r="57" spans="1:5" x14ac:dyDescent="0.25">
      <c r="A57" s="40"/>
      <c r="B57" s="40"/>
      <c r="C57" s="40"/>
      <c r="D57" s="40"/>
      <c r="E57" s="40"/>
    </row>
    <row r="58" spans="1:5" x14ac:dyDescent="0.2">
      <c r="A58" s="40"/>
      <c r="B58" s="42" t="s">
        <v>19</v>
      </c>
      <c r="C58" s="130" t="s">
        <v>20</v>
      </c>
      <c r="D58" s="130"/>
      <c r="E58" s="130"/>
    </row>
    <row r="59" spans="1:5" x14ac:dyDescent="0.2">
      <c r="A59" s="40"/>
      <c r="B59" s="42" t="s">
        <v>21</v>
      </c>
      <c r="C59" s="130" t="s">
        <v>27</v>
      </c>
      <c r="D59" s="130"/>
      <c r="E59" s="130"/>
    </row>
    <row r="60" spans="1:5" x14ac:dyDescent="0.2">
      <c r="A60" s="40"/>
      <c r="B60" s="42" t="s">
        <v>22</v>
      </c>
      <c r="C60" s="130" t="s">
        <v>17</v>
      </c>
      <c r="D60" s="130"/>
      <c r="E60" s="130"/>
    </row>
    <row r="61" spans="1:5" x14ac:dyDescent="0.2">
      <c r="A61" s="40"/>
      <c r="B61" s="42" t="s">
        <v>23</v>
      </c>
      <c r="C61" s="130" t="s">
        <v>24</v>
      </c>
      <c r="D61" s="130"/>
      <c r="E61" s="130"/>
    </row>
    <row r="62" spans="1:5" x14ac:dyDescent="0.2">
      <c r="A62" s="40"/>
      <c r="B62" s="42" t="s">
        <v>25</v>
      </c>
      <c r="C62" s="130" t="s">
        <v>26</v>
      </c>
      <c r="D62" s="130"/>
      <c r="E62" s="130"/>
    </row>
    <row r="63" spans="1:5" x14ac:dyDescent="0.25">
      <c r="A63" s="40"/>
      <c r="B63" s="40"/>
      <c r="C63" s="40"/>
      <c r="D63" s="40"/>
    </row>
  </sheetData>
  <sheetProtection algorithmName="SHA-512" hashValue="7hErb4EmVpkbAZ8l+O0arFWnvDnWujl4/+eBWTLbNZq9nK8akH0sfcJQ1hH5BvUsO4UHRA8H7eycTdPjX+k0VQ==" saltValue="eaYk8M/bOJ19YTsDCylflg==" spinCount="100000" sheet="1" objects="1" scenarios="1"/>
  <mergeCells count="27">
    <mergeCell ref="C60:E60"/>
    <mergeCell ref="C61:E61"/>
    <mergeCell ref="C62:E62"/>
    <mergeCell ref="B44:E44"/>
    <mergeCell ref="B45:E45"/>
    <mergeCell ref="B46:E46"/>
    <mergeCell ref="D49:E49"/>
    <mergeCell ref="C58:E58"/>
    <mergeCell ref="C59:E59"/>
    <mergeCell ref="B43:E43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42:E42"/>
    <mergeCell ref="B22:C22"/>
    <mergeCell ref="B17:C17"/>
    <mergeCell ref="B18:C18"/>
    <mergeCell ref="B19:C19"/>
    <mergeCell ref="B20:C20"/>
    <mergeCell ref="B21:C21"/>
  </mergeCells>
  <conditionalFormatting sqref="E18:E33 D35:D37">
    <cfRule type="cellIs" dxfId="1" priority="1" stopIfTrue="1" operator="equal">
      <formula>0</formula>
    </cfRule>
  </conditionalFormatting>
  <conditionalFormatting sqref="E35:E39">
    <cfRule type="cellIs" dxfId="0" priority="2" stopIfTrue="1" operator="equal">
      <formula>0</formula>
    </cfRule>
  </conditionalFormatting>
  <pageMargins left="0.31496062992125984" right="0.23622047244094491" top="0.74803149606299213" bottom="0.74803149606299213" header="0.31496062992125984" footer="0.31496062992125984"/>
  <pageSetup paperSize="9" scale="73" orientation="portrait" r:id="rId1"/>
  <headerFooter>
    <oddFooter>&amp;L&amp;10TC112 Version 4.0&amp;R&amp;10 22 February 2021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B21C-6DE7-4C3F-8347-C9A29B13653F}">
  <dimension ref="A1:H84"/>
  <sheetViews>
    <sheetView showGridLines="0" view="pageBreakPreview" zoomScale="115" zoomScaleNormal="100" zoomScaleSheetLayoutView="115" workbookViewId="0">
      <pane xSplit="2" ySplit="1" topLeftCell="C63" activePane="bottomRight" state="frozen"/>
      <selection activeCell="B25" sqref="B25:C25"/>
      <selection pane="topRight" activeCell="B25" sqref="B25:C25"/>
      <selection pane="bottomLeft" activeCell="B25" sqref="B25:C25"/>
      <selection pane="bottomRight" activeCell="A5" sqref="A5:D81"/>
    </sheetView>
  </sheetViews>
  <sheetFormatPr defaultColWidth="9.140625" defaultRowHeight="11.25" x14ac:dyDescent="0.25"/>
  <cols>
    <col min="1" max="1" width="12.7109375" style="44" customWidth="1"/>
    <col min="2" max="2" width="12.7109375" style="44" hidden="1" customWidth="1"/>
    <col min="3" max="3" width="18.7109375" style="44" customWidth="1"/>
    <col min="4" max="4" width="11.7109375" style="44" customWidth="1"/>
    <col min="5" max="5" width="12.42578125" style="44" customWidth="1"/>
    <col min="6" max="6" width="9.85546875" style="44" customWidth="1"/>
    <col min="7" max="7" width="14.85546875" style="45" customWidth="1"/>
    <col min="8" max="16384" width="9.140625" style="44"/>
  </cols>
  <sheetData>
    <row r="1" spans="1:8" ht="12" thickBot="1" x14ac:dyDescent="0.3"/>
    <row r="2" spans="1:8" ht="16.5" thickBot="1" x14ac:dyDescent="0.3">
      <c r="A2" s="132" t="s">
        <v>108</v>
      </c>
      <c r="B2" s="133"/>
      <c r="C2" s="133"/>
      <c r="D2" s="133"/>
      <c r="E2" s="133"/>
      <c r="F2" s="133"/>
      <c r="G2" s="134"/>
    </row>
    <row r="3" spans="1:8" x14ac:dyDescent="0.25">
      <c r="A3" s="71"/>
      <c r="B3" s="71"/>
      <c r="C3" s="71"/>
      <c r="D3" s="71"/>
      <c r="E3" s="71"/>
      <c r="F3" s="72"/>
    </row>
    <row r="4" spans="1:8" ht="38.25" x14ac:dyDescent="0.25">
      <c r="A4" s="51" t="s">
        <v>39</v>
      </c>
      <c r="B4" s="85" t="s">
        <v>109</v>
      </c>
      <c r="C4" s="51" t="s">
        <v>40</v>
      </c>
      <c r="D4" s="51" t="s">
        <v>38</v>
      </c>
      <c r="E4" s="51" t="s">
        <v>41</v>
      </c>
      <c r="F4" s="53" t="s">
        <v>44</v>
      </c>
      <c r="G4" s="52" t="s">
        <v>110</v>
      </c>
    </row>
    <row r="5" spans="1:8" ht="21.75" customHeight="1" x14ac:dyDescent="0.25">
      <c r="A5" s="46" t="s">
        <v>156</v>
      </c>
      <c r="B5" s="46" t="s">
        <v>111</v>
      </c>
      <c r="C5" s="46" t="s">
        <v>155</v>
      </c>
      <c r="D5" s="47" t="s">
        <v>152</v>
      </c>
      <c r="E5" s="48">
        <v>44858</v>
      </c>
      <c r="F5" s="73">
        <v>7500</v>
      </c>
      <c r="G5" s="73">
        <f>F5/4</f>
        <v>1875</v>
      </c>
      <c r="H5" s="74"/>
    </row>
    <row r="6" spans="1:8" ht="21" customHeight="1" x14ac:dyDescent="0.25">
      <c r="A6" s="46" t="s">
        <v>156</v>
      </c>
      <c r="B6" s="46" t="s">
        <v>42</v>
      </c>
      <c r="C6" s="46" t="s">
        <v>155</v>
      </c>
      <c r="D6" s="47" t="s">
        <v>152</v>
      </c>
      <c r="E6" s="50">
        <v>44606</v>
      </c>
      <c r="F6" s="73">
        <v>10000</v>
      </c>
      <c r="G6" s="73">
        <f t="shared" ref="G6:G69" si="0">F6/4</f>
        <v>2500</v>
      </c>
      <c r="H6" s="74"/>
    </row>
    <row r="7" spans="1:8" ht="21.75" customHeight="1" x14ac:dyDescent="0.25">
      <c r="A7" s="46" t="s">
        <v>157</v>
      </c>
      <c r="B7" s="46" t="s">
        <v>52</v>
      </c>
      <c r="C7" s="46" t="s">
        <v>155</v>
      </c>
      <c r="D7" s="47" t="s">
        <v>152</v>
      </c>
      <c r="E7" s="48">
        <v>44777</v>
      </c>
      <c r="F7" s="73">
        <v>7500</v>
      </c>
      <c r="G7" s="73">
        <f t="shared" si="0"/>
        <v>1875</v>
      </c>
      <c r="H7" s="74"/>
    </row>
    <row r="8" spans="1:8" ht="21.75" customHeight="1" x14ac:dyDescent="0.25">
      <c r="A8" s="46" t="s">
        <v>158</v>
      </c>
      <c r="B8" s="46" t="s">
        <v>56</v>
      </c>
      <c r="C8" s="46" t="s">
        <v>155</v>
      </c>
      <c r="D8" s="47" t="s">
        <v>152</v>
      </c>
      <c r="E8" s="48">
        <v>44847</v>
      </c>
      <c r="F8" s="73">
        <v>7512.2179859999997</v>
      </c>
      <c r="G8" s="73">
        <f t="shared" si="0"/>
        <v>1878.0544964999999</v>
      </c>
      <c r="H8" s="74"/>
    </row>
    <row r="9" spans="1:8" ht="21.75" customHeight="1" x14ac:dyDescent="0.25">
      <c r="A9" s="46" t="s">
        <v>159</v>
      </c>
      <c r="B9" s="86" t="s">
        <v>112</v>
      </c>
      <c r="C9" s="46" t="s">
        <v>155</v>
      </c>
      <c r="D9" s="47" t="s">
        <v>152</v>
      </c>
      <c r="E9" s="48">
        <v>44847</v>
      </c>
      <c r="F9" s="73">
        <v>7512.2179859999997</v>
      </c>
      <c r="G9" s="73">
        <f t="shared" si="0"/>
        <v>1878.0544964999999</v>
      </c>
      <c r="H9" s="74"/>
    </row>
    <row r="10" spans="1:8" ht="21.75" customHeight="1" x14ac:dyDescent="0.25">
      <c r="A10" s="46" t="s">
        <v>158</v>
      </c>
      <c r="B10" s="46" t="s">
        <v>113</v>
      </c>
      <c r="C10" s="46" t="s">
        <v>155</v>
      </c>
      <c r="D10" s="47" t="s">
        <v>152</v>
      </c>
      <c r="E10" s="48">
        <v>44662</v>
      </c>
      <c r="F10" s="73">
        <v>7512.2179859999997</v>
      </c>
      <c r="G10" s="73">
        <f t="shared" si="0"/>
        <v>1878.0544964999999</v>
      </c>
      <c r="H10" s="74"/>
    </row>
    <row r="11" spans="1:8" ht="21.75" customHeight="1" x14ac:dyDescent="0.25">
      <c r="A11" s="46" t="s">
        <v>156</v>
      </c>
      <c r="B11" s="86" t="s">
        <v>114</v>
      </c>
      <c r="C11" s="46" t="s">
        <v>155</v>
      </c>
      <c r="D11" s="47" t="s">
        <v>152</v>
      </c>
      <c r="E11" s="48">
        <v>44592</v>
      </c>
      <c r="F11" s="73">
        <v>11846.189900999998</v>
      </c>
      <c r="G11" s="73">
        <f t="shared" si="0"/>
        <v>2961.5474752499995</v>
      </c>
      <c r="H11" s="74"/>
    </row>
    <row r="12" spans="1:8" ht="21.75" customHeight="1" x14ac:dyDescent="0.25">
      <c r="A12" s="46" t="s">
        <v>158</v>
      </c>
      <c r="B12" s="46" t="s">
        <v>54</v>
      </c>
      <c r="C12" s="46" t="s">
        <v>155</v>
      </c>
      <c r="D12" s="47" t="s">
        <v>152</v>
      </c>
      <c r="E12" s="48">
        <v>44641</v>
      </c>
      <c r="F12" s="73">
        <v>10112.601134999997</v>
      </c>
      <c r="G12" s="73">
        <f t="shared" si="0"/>
        <v>2528.1502837499993</v>
      </c>
      <c r="H12" s="74"/>
    </row>
    <row r="13" spans="1:8" ht="21.75" customHeight="1" x14ac:dyDescent="0.25">
      <c r="A13" s="46" t="s">
        <v>158</v>
      </c>
      <c r="B13" s="46" t="s">
        <v>115</v>
      </c>
      <c r="C13" s="46" t="s">
        <v>155</v>
      </c>
      <c r="D13" s="47" t="s">
        <v>152</v>
      </c>
      <c r="E13" s="48">
        <v>44858</v>
      </c>
      <c r="F13" s="73">
        <v>7512.2179859999997</v>
      </c>
      <c r="G13" s="73">
        <f t="shared" si="0"/>
        <v>1878.0544964999999</v>
      </c>
      <c r="H13" s="74"/>
    </row>
    <row r="14" spans="1:8" ht="21.75" customHeight="1" x14ac:dyDescent="0.25">
      <c r="A14" s="46" t="s">
        <v>160</v>
      </c>
      <c r="B14" s="46" t="s">
        <v>116</v>
      </c>
      <c r="C14" s="46" t="s">
        <v>155</v>
      </c>
      <c r="D14" s="47" t="s">
        <v>152</v>
      </c>
      <c r="E14" s="48">
        <v>44725</v>
      </c>
      <c r="F14" s="73">
        <v>7512.2179859999997</v>
      </c>
      <c r="G14" s="73">
        <f t="shared" si="0"/>
        <v>1878.0544964999999</v>
      </c>
      <c r="H14" s="74"/>
    </row>
    <row r="15" spans="1:8" ht="21.75" customHeight="1" x14ac:dyDescent="0.25">
      <c r="A15" s="46" t="s">
        <v>158</v>
      </c>
      <c r="B15" s="46" t="s">
        <v>57</v>
      </c>
      <c r="C15" s="46" t="s">
        <v>155</v>
      </c>
      <c r="D15" s="47" t="s">
        <v>152</v>
      </c>
      <c r="E15" s="48">
        <v>44795</v>
      </c>
      <c r="F15" s="73">
        <v>8263.4397845999974</v>
      </c>
      <c r="G15" s="73">
        <f t="shared" si="0"/>
        <v>2065.8599461499994</v>
      </c>
      <c r="H15" s="74"/>
    </row>
    <row r="16" spans="1:8" ht="21.75" customHeight="1" x14ac:dyDescent="0.25">
      <c r="A16" s="46" t="s">
        <v>156</v>
      </c>
      <c r="B16" s="46" t="s">
        <v>58</v>
      </c>
      <c r="C16" s="46" t="s">
        <v>155</v>
      </c>
      <c r="D16" s="47" t="s">
        <v>152</v>
      </c>
      <c r="E16" s="48">
        <v>44858</v>
      </c>
      <c r="F16" s="73">
        <v>8640</v>
      </c>
      <c r="G16" s="73">
        <f t="shared" si="0"/>
        <v>2160</v>
      </c>
      <c r="H16" s="74"/>
    </row>
    <row r="17" spans="1:8" ht="21.75" customHeight="1" x14ac:dyDescent="0.25">
      <c r="A17" s="46" t="s">
        <v>161</v>
      </c>
      <c r="B17" s="46" t="s">
        <v>53</v>
      </c>
      <c r="C17" s="46" t="s">
        <v>155</v>
      </c>
      <c r="D17" s="47" t="s">
        <v>152</v>
      </c>
      <c r="E17" s="48">
        <v>44739</v>
      </c>
      <c r="F17" s="73">
        <v>7512.2179859999997</v>
      </c>
      <c r="G17" s="73">
        <f t="shared" si="0"/>
        <v>1878.0544964999999</v>
      </c>
      <c r="H17" s="74"/>
    </row>
    <row r="18" spans="1:8" ht="21.75" customHeight="1" x14ac:dyDescent="0.25">
      <c r="A18" s="46" t="s">
        <v>158</v>
      </c>
      <c r="B18" s="46" t="s">
        <v>59</v>
      </c>
      <c r="C18" s="46" t="s">
        <v>155</v>
      </c>
      <c r="D18" s="47" t="s">
        <v>152</v>
      </c>
      <c r="E18" s="48">
        <v>44845</v>
      </c>
      <c r="F18" s="73">
        <v>8956.8752909999985</v>
      </c>
      <c r="G18" s="73">
        <f t="shared" si="0"/>
        <v>2239.2188227499996</v>
      </c>
    </row>
    <row r="19" spans="1:8" ht="21.75" customHeight="1" x14ac:dyDescent="0.25">
      <c r="A19" s="46" t="s">
        <v>158</v>
      </c>
      <c r="B19" s="46" t="s">
        <v>43</v>
      </c>
      <c r="C19" s="46" t="s">
        <v>155</v>
      </c>
      <c r="D19" s="47" t="s">
        <v>152</v>
      </c>
      <c r="E19" s="48">
        <v>44606</v>
      </c>
      <c r="F19" s="73">
        <v>7512.2179859999997</v>
      </c>
      <c r="G19" s="73">
        <f t="shared" si="0"/>
        <v>1878.0544964999999</v>
      </c>
    </row>
    <row r="20" spans="1:8" ht="21.75" customHeight="1" x14ac:dyDescent="0.25">
      <c r="A20" s="46" t="s">
        <v>156</v>
      </c>
      <c r="B20" s="46" t="s">
        <v>60</v>
      </c>
      <c r="C20" s="46" t="s">
        <v>155</v>
      </c>
      <c r="D20" s="47" t="s">
        <v>152</v>
      </c>
      <c r="E20" s="48">
        <v>44858</v>
      </c>
      <c r="F20" s="73">
        <v>7512.2179859999997</v>
      </c>
      <c r="G20" s="73">
        <f t="shared" si="0"/>
        <v>1878.0544964999999</v>
      </c>
    </row>
    <row r="21" spans="1:8" ht="21.75" customHeight="1" x14ac:dyDescent="0.25">
      <c r="A21" s="46" t="s">
        <v>159</v>
      </c>
      <c r="B21" s="46" t="s">
        <v>61</v>
      </c>
      <c r="C21" s="46" t="s">
        <v>155</v>
      </c>
      <c r="D21" s="47" t="s">
        <v>152</v>
      </c>
      <c r="E21" s="48">
        <v>44845</v>
      </c>
      <c r="F21" s="73">
        <v>7512.2179859999997</v>
      </c>
      <c r="G21" s="73">
        <f t="shared" si="0"/>
        <v>1878.0544964999999</v>
      </c>
    </row>
    <row r="22" spans="1:8" ht="21.75" customHeight="1" x14ac:dyDescent="0.25">
      <c r="A22" s="46" t="s">
        <v>156</v>
      </c>
      <c r="B22" s="59" t="s">
        <v>51</v>
      </c>
      <c r="C22" s="46" t="s">
        <v>155</v>
      </c>
      <c r="D22" s="47" t="s">
        <v>152</v>
      </c>
      <c r="E22" s="50">
        <v>44777</v>
      </c>
      <c r="F22" s="73">
        <v>7512.2179859999997</v>
      </c>
      <c r="G22" s="73">
        <f t="shared" si="0"/>
        <v>1878.0544964999999</v>
      </c>
    </row>
    <row r="23" spans="1:8" ht="21.75" customHeight="1" x14ac:dyDescent="0.25">
      <c r="A23" s="46" t="s">
        <v>156</v>
      </c>
      <c r="B23" s="59" t="s">
        <v>55</v>
      </c>
      <c r="C23" s="46" t="s">
        <v>155</v>
      </c>
      <c r="D23" s="47" t="s">
        <v>152</v>
      </c>
      <c r="E23" s="50">
        <v>44635</v>
      </c>
      <c r="F23" s="73">
        <v>8640</v>
      </c>
      <c r="G23" s="73">
        <f t="shared" si="0"/>
        <v>2160</v>
      </c>
    </row>
    <row r="24" spans="1:8" ht="21.75" customHeight="1" x14ac:dyDescent="0.25">
      <c r="A24" s="46" t="s">
        <v>157</v>
      </c>
      <c r="B24" s="59" t="s">
        <v>64</v>
      </c>
      <c r="C24" s="46" t="s">
        <v>155</v>
      </c>
      <c r="D24" s="47" t="s">
        <v>152</v>
      </c>
      <c r="E24" s="50">
        <v>44616</v>
      </c>
      <c r="F24" s="73">
        <v>18500</v>
      </c>
      <c r="G24" s="73">
        <f t="shared" si="0"/>
        <v>4625</v>
      </c>
    </row>
    <row r="25" spans="1:8" ht="21.75" customHeight="1" thickBot="1" x14ac:dyDescent="0.3">
      <c r="A25" s="46" t="s">
        <v>158</v>
      </c>
      <c r="B25" s="54" t="s">
        <v>117</v>
      </c>
      <c r="C25" s="46" t="s">
        <v>155</v>
      </c>
      <c r="D25" s="47" t="s">
        <v>152</v>
      </c>
      <c r="E25" s="55">
        <v>44732</v>
      </c>
      <c r="F25" s="75">
        <v>8956.8752909999985</v>
      </c>
      <c r="G25" s="75">
        <f t="shared" si="0"/>
        <v>2239.2188227499996</v>
      </c>
    </row>
    <row r="26" spans="1:8" ht="21.75" customHeight="1" x14ac:dyDescent="0.25">
      <c r="A26" s="46" t="s">
        <v>159</v>
      </c>
      <c r="B26" s="46" t="s">
        <v>62</v>
      </c>
      <c r="C26" s="46" t="s">
        <v>155</v>
      </c>
      <c r="D26" s="47" t="s">
        <v>152</v>
      </c>
      <c r="E26" s="48">
        <v>44883</v>
      </c>
      <c r="F26" s="76">
        <v>9479.7036489999973</v>
      </c>
      <c r="G26" s="73">
        <f t="shared" si="0"/>
        <v>2369.9259122499993</v>
      </c>
    </row>
    <row r="27" spans="1:8" ht="21.75" customHeight="1" x14ac:dyDescent="0.25">
      <c r="A27" s="46" t="s">
        <v>158</v>
      </c>
      <c r="B27" s="46" t="s">
        <v>65</v>
      </c>
      <c r="C27" s="46" t="s">
        <v>155</v>
      </c>
      <c r="D27" s="47" t="s">
        <v>152</v>
      </c>
      <c r="E27" s="48">
        <v>44890</v>
      </c>
      <c r="F27" s="76">
        <v>6879.3204999999989</v>
      </c>
      <c r="G27" s="73">
        <f>F27/4</f>
        <v>1719.8301249999997</v>
      </c>
      <c r="H27" s="74"/>
    </row>
    <row r="28" spans="1:8" ht="21.75" customHeight="1" x14ac:dyDescent="0.25">
      <c r="A28" s="46" t="s">
        <v>156</v>
      </c>
      <c r="B28" s="46" t="s">
        <v>118</v>
      </c>
      <c r="C28" s="46" t="s">
        <v>155</v>
      </c>
      <c r="D28" s="47" t="s">
        <v>152</v>
      </c>
      <c r="E28" s="48">
        <v>44907</v>
      </c>
      <c r="F28" s="76">
        <v>6879.3204999999989</v>
      </c>
      <c r="G28" s="73">
        <f t="shared" si="0"/>
        <v>1719.8301249999997</v>
      </c>
      <c r="H28" s="74"/>
    </row>
    <row r="29" spans="1:8" ht="21.75" customHeight="1" x14ac:dyDescent="0.25">
      <c r="A29" s="46" t="s">
        <v>158</v>
      </c>
      <c r="B29" s="46" t="s">
        <v>119</v>
      </c>
      <c r="C29" s="46" t="s">
        <v>155</v>
      </c>
      <c r="D29" s="47" t="s">
        <v>152</v>
      </c>
      <c r="E29" s="48">
        <v>44907</v>
      </c>
      <c r="F29" s="76">
        <v>6879.3204999999989</v>
      </c>
      <c r="G29" s="73">
        <f t="shared" si="0"/>
        <v>1719.8301249999997</v>
      </c>
      <c r="H29" s="74"/>
    </row>
    <row r="30" spans="1:8" ht="21.75" customHeight="1" x14ac:dyDescent="0.25">
      <c r="A30" s="46" t="s">
        <v>158</v>
      </c>
      <c r="B30" s="46" t="s">
        <v>66</v>
      </c>
      <c r="C30" s="46" t="s">
        <v>155</v>
      </c>
      <c r="D30" s="47" t="s">
        <v>152</v>
      </c>
      <c r="E30" s="48">
        <v>44915</v>
      </c>
      <c r="F30" s="76">
        <v>6879.3204999999989</v>
      </c>
      <c r="G30" s="73">
        <f t="shared" si="0"/>
        <v>1719.8301249999997</v>
      </c>
      <c r="H30" s="74"/>
    </row>
    <row r="31" spans="1:8" ht="21.75" customHeight="1" x14ac:dyDescent="0.25">
      <c r="A31" s="46" t="s">
        <v>160</v>
      </c>
      <c r="B31" s="46" t="s">
        <v>68</v>
      </c>
      <c r="C31" s="46" t="s">
        <v>155</v>
      </c>
      <c r="D31" s="47" t="s">
        <v>152</v>
      </c>
      <c r="E31" s="48">
        <v>44984</v>
      </c>
      <c r="F31" s="76">
        <v>1700</v>
      </c>
      <c r="G31" s="73">
        <f t="shared" si="0"/>
        <v>425</v>
      </c>
      <c r="H31" s="74"/>
    </row>
    <row r="32" spans="1:8" ht="21.75" customHeight="1" x14ac:dyDescent="0.25">
      <c r="A32" s="46" t="s">
        <v>158</v>
      </c>
      <c r="B32" s="46" t="s">
        <v>69</v>
      </c>
      <c r="C32" s="46" t="s">
        <v>155</v>
      </c>
      <c r="D32" s="47" t="s">
        <v>152</v>
      </c>
      <c r="E32" s="48">
        <v>44984</v>
      </c>
      <c r="F32" s="76">
        <v>10924.942999999999</v>
      </c>
      <c r="G32" s="73">
        <f t="shared" si="0"/>
        <v>2731.2357499999998</v>
      </c>
      <c r="H32" s="74"/>
    </row>
    <row r="33" spans="1:8" ht="21.75" customHeight="1" x14ac:dyDescent="0.25">
      <c r="A33" s="46" t="s">
        <v>156</v>
      </c>
      <c r="B33" s="46" t="s">
        <v>70</v>
      </c>
      <c r="C33" s="46" t="s">
        <v>155</v>
      </c>
      <c r="D33" s="47" t="s">
        <v>152</v>
      </c>
      <c r="E33" s="48">
        <v>45050</v>
      </c>
      <c r="F33" s="76">
        <v>9479.7036489999973</v>
      </c>
      <c r="G33" s="73">
        <f t="shared" si="0"/>
        <v>2369.9259122499993</v>
      </c>
      <c r="H33" s="74"/>
    </row>
    <row r="34" spans="1:8" ht="21.75" customHeight="1" x14ac:dyDescent="0.25">
      <c r="A34" s="46" t="s">
        <v>161</v>
      </c>
      <c r="B34" s="46" t="s">
        <v>71</v>
      </c>
      <c r="C34" s="46" t="s">
        <v>155</v>
      </c>
      <c r="D34" s="47" t="s">
        <v>152</v>
      </c>
      <c r="E34" s="48">
        <v>45050</v>
      </c>
      <c r="F34" s="76">
        <v>6879.3204999999989</v>
      </c>
      <c r="G34" s="73">
        <f>F34/4</f>
        <v>1719.8301249999997</v>
      </c>
      <c r="H34" s="74"/>
    </row>
    <row r="35" spans="1:8" ht="21.75" customHeight="1" x14ac:dyDescent="0.25">
      <c r="A35" s="46" t="s">
        <v>158</v>
      </c>
      <c r="B35" s="46" t="s">
        <v>72</v>
      </c>
      <c r="C35" s="46" t="s">
        <v>155</v>
      </c>
      <c r="D35" s="47" t="s">
        <v>152</v>
      </c>
      <c r="E35" s="48">
        <v>45061</v>
      </c>
      <c r="F35" s="76">
        <v>6879.3204999999989</v>
      </c>
      <c r="G35" s="73">
        <f>F35/4</f>
        <v>1719.8301249999997</v>
      </c>
      <c r="H35" s="74"/>
    </row>
    <row r="36" spans="1:8" ht="21.75" customHeight="1" x14ac:dyDescent="0.25">
      <c r="A36" s="46" t="s">
        <v>158</v>
      </c>
      <c r="B36" s="46" t="s">
        <v>73</v>
      </c>
      <c r="C36" s="46" t="s">
        <v>155</v>
      </c>
      <c r="D36" s="47" t="s">
        <v>152</v>
      </c>
      <c r="E36" s="48">
        <v>45064</v>
      </c>
      <c r="F36" s="76">
        <v>6879.3204999999989</v>
      </c>
      <c r="G36" s="73">
        <f>F36/4</f>
        <v>1719.8301249999997</v>
      </c>
      <c r="H36" s="74"/>
    </row>
    <row r="37" spans="1:8" ht="21.75" customHeight="1" x14ac:dyDescent="0.25">
      <c r="A37" s="46" t="s">
        <v>156</v>
      </c>
      <c r="B37" s="46" t="s">
        <v>74</v>
      </c>
      <c r="C37" s="46" t="s">
        <v>155</v>
      </c>
      <c r="D37" s="47" t="s">
        <v>152</v>
      </c>
      <c r="E37" s="48">
        <v>45068</v>
      </c>
      <c r="F37" s="76">
        <v>6879.3204999999989</v>
      </c>
      <c r="G37" s="73">
        <f t="shared" si="0"/>
        <v>1719.8301249999997</v>
      </c>
      <c r="H37" s="74"/>
    </row>
    <row r="38" spans="1:8" ht="21.75" customHeight="1" x14ac:dyDescent="0.25">
      <c r="A38" s="46" t="s">
        <v>159</v>
      </c>
      <c r="B38" s="46" t="s">
        <v>75</v>
      </c>
      <c r="C38" s="46" t="s">
        <v>155</v>
      </c>
      <c r="D38" s="47" t="s">
        <v>152</v>
      </c>
      <c r="E38" s="48">
        <v>45033</v>
      </c>
      <c r="F38" s="76">
        <v>6578</v>
      </c>
      <c r="G38" s="76">
        <f t="shared" si="0"/>
        <v>1644.5</v>
      </c>
      <c r="H38" s="74"/>
    </row>
    <row r="39" spans="1:8" ht="21.75" customHeight="1" x14ac:dyDescent="0.25">
      <c r="A39" s="46" t="s">
        <v>156</v>
      </c>
      <c r="B39" s="86" t="s">
        <v>120</v>
      </c>
      <c r="C39" s="46" t="s">
        <v>155</v>
      </c>
      <c r="D39" s="47" t="s">
        <v>152</v>
      </c>
      <c r="E39" s="48">
        <v>45089</v>
      </c>
      <c r="F39" s="76">
        <v>12955.983453999997</v>
      </c>
      <c r="G39" s="76">
        <f t="shared" si="0"/>
        <v>3238.9958634999994</v>
      </c>
      <c r="H39" s="74"/>
    </row>
    <row r="40" spans="1:8" ht="21.75" customHeight="1" x14ac:dyDescent="0.25">
      <c r="A40" s="46" t="s">
        <v>156</v>
      </c>
      <c r="B40" s="46" t="s">
        <v>76</v>
      </c>
      <c r="C40" s="46" t="s">
        <v>155</v>
      </c>
      <c r="D40" s="47" t="s">
        <v>152</v>
      </c>
      <c r="E40" s="48">
        <v>45096</v>
      </c>
      <c r="F40" s="76">
        <v>9479.7036489999973</v>
      </c>
      <c r="G40" s="76">
        <f t="shared" si="0"/>
        <v>2369.9259122499993</v>
      </c>
      <c r="H40" s="74"/>
    </row>
    <row r="41" spans="1:8" ht="21.75" customHeight="1" x14ac:dyDescent="0.25">
      <c r="A41" s="46" t="s">
        <v>157</v>
      </c>
      <c r="B41" s="46" t="s">
        <v>77</v>
      </c>
      <c r="C41" s="46" t="s">
        <v>155</v>
      </c>
      <c r="D41" s="47" t="s">
        <v>152</v>
      </c>
      <c r="E41" s="48">
        <v>45106</v>
      </c>
      <c r="F41" s="76">
        <v>10008.572999999999</v>
      </c>
      <c r="G41" s="76">
        <f t="shared" si="0"/>
        <v>2502.1432499999996</v>
      </c>
      <c r="H41" s="74"/>
    </row>
    <row r="42" spans="1:8" ht="21.75" customHeight="1" x14ac:dyDescent="0.25">
      <c r="A42" s="46" t="s">
        <v>158</v>
      </c>
      <c r="B42" s="46" t="s">
        <v>121</v>
      </c>
      <c r="C42" s="46" t="s">
        <v>155</v>
      </c>
      <c r="D42" s="47" t="s">
        <v>152</v>
      </c>
      <c r="E42" s="48">
        <v>45125</v>
      </c>
      <c r="F42" s="76">
        <v>6578</v>
      </c>
      <c r="G42" s="76">
        <f t="shared" si="0"/>
        <v>1644.5</v>
      </c>
      <c r="H42" s="74"/>
    </row>
    <row r="43" spans="1:8" ht="21.75" customHeight="1" x14ac:dyDescent="0.25">
      <c r="A43" s="46" t="s">
        <v>159</v>
      </c>
      <c r="B43" s="46" t="s">
        <v>78</v>
      </c>
      <c r="C43" s="46" t="s">
        <v>155</v>
      </c>
      <c r="D43" s="47" t="s">
        <v>152</v>
      </c>
      <c r="E43" s="48">
        <v>45138</v>
      </c>
      <c r="F43" s="76">
        <v>6500</v>
      </c>
      <c r="G43" s="76">
        <f t="shared" si="0"/>
        <v>1625</v>
      </c>
      <c r="H43" s="74"/>
    </row>
    <row r="44" spans="1:8" ht="21.75" customHeight="1" x14ac:dyDescent="0.25">
      <c r="A44" s="46" t="s">
        <v>158</v>
      </c>
      <c r="B44" s="46" t="s">
        <v>122</v>
      </c>
      <c r="C44" s="46" t="s">
        <v>155</v>
      </c>
      <c r="D44" s="47" t="s">
        <v>152</v>
      </c>
      <c r="E44" s="48">
        <v>45133</v>
      </c>
      <c r="F44" s="76">
        <v>6500</v>
      </c>
      <c r="G44" s="73">
        <f t="shared" si="0"/>
        <v>1625</v>
      </c>
      <c r="H44" s="74"/>
    </row>
    <row r="45" spans="1:8" ht="21.75" customHeight="1" x14ac:dyDescent="0.25">
      <c r="A45" s="46" t="s">
        <v>156</v>
      </c>
      <c r="B45" s="46" t="s">
        <v>79</v>
      </c>
      <c r="C45" s="46" t="s">
        <v>155</v>
      </c>
      <c r="D45" s="47" t="s">
        <v>152</v>
      </c>
      <c r="E45" s="48">
        <v>45147</v>
      </c>
      <c r="F45" s="76">
        <v>6500</v>
      </c>
      <c r="G45" s="73">
        <f t="shared" si="0"/>
        <v>1625</v>
      </c>
      <c r="H45" s="74"/>
    </row>
    <row r="46" spans="1:8" ht="21.75" customHeight="1" x14ac:dyDescent="0.25">
      <c r="A46" s="46" t="s">
        <v>158</v>
      </c>
      <c r="B46" s="46" t="s">
        <v>81</v>
      </c>
      <c r="C46" s="46" t="s">
        <v>155</v>
      </c>
      <c r="D46" s="47" t="s">
        <v>152</v>
      </c>
      <c r="E46" s="48">
        <v>45117</v>
      </c>
      <c r="F46" s="76">
        <v>6500</v>
      </c>
      <c r="G46" s="76">
        <f t="shared" si="0"/>
        <v>1625</v>
      </c>
      <c r="H46" s="74"/>
    </row>
    <row r="47" spans="1:8" ht="21.75" customHeight="1" x14ac:dyDescent="0.25">
      <c r="A47" s="46" t="s">
        <v>158</v>
      </c>
      <c r="B47" s="86" t="s">
        <v>123</v>
      </c>
      <c r="C47" s="46" t="s">
        <v>155</v>
      </c>
      <c r="D47" s="47" t="s">
        <v>152</v>
      </c>
      <c r="E47" s="48">
        <v>45161</v>
      </c>
      <c r="F47" s="76">
        <v>7600</v>
      </c>
      <c r="G47" s="76">
        <f t="shared" si="0"/>
        <v>1900</v>
      </c>
      <c r="H47" s="74"/>
    </row>
    <row r="48" spans="1:8" ht="21.75" customHeight="1" x14ac:dyDescent="0.25">
      <c r="A48" s="46" t="s">
        <v>160</v>
      </c>
      <c r="B48" s="46" t="s">
        <v>82</v>
      </c>
      <c r="C48" s="46" t="s">
        <v>155</v>
      </c>
      <c r="D48" s="47" t="s">
        <v>152</v>
      </c>
      <c r="E48" s="48">
        <v>45166</v>
      </c>
      <c r="F48" s="76">
        <v>6879.3204999999989</v>
      </c>
      <c r="G48" s="76">
        <f t="shared" si="0"/>
        <v>1719.8301249999997</v>
      </c>
      <c r="H48" s="74"/>
    </row>
    <row r="49" spans="1:8" ht="21.75" customHeight="1" x14ac:dyDescent="0.25">
      <c r="A49" s="46" t="s">
        <v>158</v>
      </c>
      <c r="B49" s="46" t="s">
        <v>124</v>
      </c>
      <c r="C49" s="46" t="s">
        <v>155</v>
      </c>
      <c r="D49" s="47" t="s">
        <v>152</v>
      </c>
      <c r="E49" s="48">
        <v>45166</v>
      </c>
      <c r="F49" s="76">
        <v>6879.3204999999989</v>
      </c>
      <c r="G49" s="76">
        <f t="shared" si="0"/>
        <v>1719.8301249999997</v>
      </c>
      <c r="H49" s="74"/>
    </row>
    <row r="50" spans="1:8" ht="21.75" customHeight="1" x14ac:dyDescent="0.25">
      <c r="A50" s="46" t="s">
        <v>156</v>
      </c>
      <c r="B50" s="46" t="s">
        <v>83</v>
      </c>
      <c r="C50" s="46" t="s">
        <v>155</v>
      </c>
      <c r="D50" s="47" t="s">
        <v>152</v>
      </c>
      <c r="E50" s="48">
        <v>45166</v>
      </c>
      <c r="F50" s="76">
        <v>6879.3204999999989</v>
      </c>
      <c r="G50" s="76">
        <f t="shared" si="0"/>
        <v>1719.8301249999997</v>
      </c>
      <c r="H50" s="74"/>
    </row>
    <row r="51" spans="1:8" ht="21.75" customHeight="1" x14ac:dyDescent="0.25">
      <c r="A51" s="46" t="s">
        <v>161</v>
      </c>
      <c r="B51" s="46" t="s">
        <v>84</v>
      </c>
      <c r="C51" s="46" t="s">
        <v>155</v>
      </c>
      <c r="D51" s="47" t="s">
        <v>152</v>
      </c>
      <c r="E51" s="48">
        <v>45190</v>
      </c>
      <c r="F51" s="76">
        <v>6879.3204999999989</v>
      </c>
      <c r="G51" s="76">
        <f t="shared" si="0"/>
        <v>1719.8301249999997</v>
      </c>
      <c r="H51" s="74"/>
    </row>
    <row r="52" spans="1:8" ht="21.75" customHeight="1" x14ac:dyDescent="0.25">
      <c r="A52" s="46" t="s">
        <v>158</v>
      </c>
      <c r="B52" s="46" t="s">
        <v>125</v>
      </c>
      <c r="C52" s="46" t="s">
        <v>155</v>
      </c>
      <c r="D52" s="47" t="s">
        <v>152</v>
      </c>
      <c r="E52" s="48">
        <v>45174</v>
      </c>
      <c r="F52" s="76">
        <v>9479.7036489999973</v>
      </c>
      <c r="G52" s="76">
        <f t="shared" si="0"/>
        <v>2369.9259122499993</v>
      </c>
      <c r="H52" s="74"/>
    </row>
    <row r="53" spans="1:8" ht="21.75" customHeight="1" x14ac:dyDescent="0.25">
      <c r="A53" s="46" t="s">
        <v>158</v>
      </c>
      <c r="B53" s="46" t="s">
        <v>85</v>
      </c>
      <c r="C53" s="46" t="s">
        <v>155</v>
      </c>
      <c r="D53" s="47" t="s">
        <v>152</v>
      </c>
      <c r="E53" s="48">
        <v>45218</v>
      </c>
      <c r="F53" s="76">
        <v>6879.3204999999989</v>
      </c>
      <c r="G53" s="76">
        <f t="shared" si="0"/>
        <v>1719.8301249999997</v>
      </c>
      <c r="H53" s="74"/>
    </row>
    <row r="54" spans="1:8" ht="21.75" customHeight="1" thickBot="1" x14ac:dyDescent="0.3">
      <c r="A54" s="46" t="s">
        <v>156</v>
      </c>
      <c r="B54" s="54" t="s">
        <v>86</v>
      </c>
      <c r="C54" s="46" t="s">
        <v>155</v>
      </c>
      <c r="D54" s="47" t="s">
        <v>152</v>
      </c>
      <c r="E54" s="55">
        <v>45232</v>
      </c>
      <c r="F54" s="75">
        <v>11213.448499999999</v>
      </c>
      <c r="G54" s="75">
        <f t="shared" si="0"/>
        <v>2803.3621249999997</v>
      </c>
      <c r="H54" s="74"/>
    </row>
    <row r="55" spans="1:8" ht="21.75" customHeight="1" x14ac:dyDescent="0.25">
      <c r="A55" s="46" t="s">
        <v>159</v>
      </c>
      <c r="B55" s="86" t="s">
        <v>126</v>
      </c>
      <c r="C55" s="46" t="s">
        <v>155</v>
      </c>
      <c r="D55" s="47" t="s">
        <v>152</v>
      </c>
      <c r="E55" s="56">
        <v>45072</v>
      </c>
      <c r="F55" s="77">
        <v>1058.357</v>
      </c>
      <c r="G55" s="77">
        <f t="shared" si="0"/>
        <v>264.58924999999999</v>
      </c>
      <c r="H55" s="74"/>
    </row>
    <row r="56" spans="1:8" ht="21.75" customHeight="1" thickBot="1" x14ac:dyDescent="0.3">
      <c r="A56" s="46" t="s">
        <v>156</v>
      </c>
      <c r="B56" s="57" t="s">
        <v>80</v>
      </c>
      <c r="C56" s="46" t="s">
        <v>155</v>
      </c>
      <c r="D56" s="47" t="s">
        <v>152</v>
      </c>
      <c r="E56" s="58">
        <v>45223</v>
      </c>
      <c r="F56" s="78">
        <v>529.17849999999999</v>
      </c>
      <c r="G56" s="78">
        <f t="shared" si="0"/>
        <v>132.294625</v>
      </c>
      <c r="H56" s="74"/>
    </row>
    <row r="57" spans="1:8" ht="21.75" customHeight="1" x14ac:dyDescent="0.25">
      <c r="A57" s="46" t="s">
        <v>156</v>
      </c>
      <c r="B57" s="46" t="s">
        <v>87</v>
      </c>
      <c r="C57" s="46" t="s">
        <v>155</v>
      </c>
      <c r="D57" s="47" t="s">
        <v>152</v>
      </c>
      <c r="E57" s="48">
        <v>45240</v>
      </c>
      <c r="F57" s="76">
        <v>9145.5739999999987</v>
      </c>
      <c r="G57" s="76">
        <f t="shared" si="0"/>
        <v>2286.3934999999997</v>
      </c>
      <c r="H57" s="74"/>
    </row>
    <row r="58" spans="1:8" ht="21.75" customHeight="1" x14ac:dyDescent="0.25">
      <c r="A58" s="46" t="s">
        <v>157</v>
      </c>
      <c r="B58" s="46" t="s">
        <v>88</v>
      </c>
      <c r="C58" s="46" t="s">
        <v>155</v>
      </c>
      <c r="D58" s="47" t="s">
        <v>152</v>
      </c>
      <c r="E58" s="48">
        <v>45250</v>
      </c>
      <c r="F58" s="76">
        <v>6545.4999999999991</v>
      </c>
      <c r="G58" s="76">
        <f t="shared" si="0"/>
        <v>1636.3749999999998</v>
      </c>
      <c r="H58" s="74"/>
    </row>
    <row r="59" spans="1:8" ht="21.75" customHeight="1" x14ac:dyDescent="0.25">
      <c r="A59" s="46" t="s">
        <v>158</v>
      </c>
      <c r="B59" s="46" t="s">
        <v>127</v>
      </c>
      <c r="C59" s="46" t="s">
        <v>155</v>
      </c>
      <c r="D59" s="47" t="s">
        <v>152</v>
      </c>
      <c r="E59" s="48">
        <v>45250</v>
      </c>
      <c r="F59" s="76">
        <v>6545.4999999999991</v>
      </c>
      <c r="G59" s="76">
        <f t="shared" si="0"/>
        <v>1636.3749999999998</v>
      </c>
      <c r="H59" s="74"/>
    </row>
    <row r="60" spans="1:8" ht="21.75" customHeight="1" x14ac:dyDescent="0.25">
      <c r="A60" s="46" t="s">
        <v>159</v>
      </c>
      <c r="B60" s="46" t="s">
        <v>89</v>
      </c>
      <c r="C60" s="46" t="s">
        <v>155</v>
      </c>
      <c r="D60" s="47" t="s">
        <v>152</v>
      </c>
      <c r="E60" s="48">
        <v>45278</v>
      </c>
      <c r="F60" s="76">
        <v>6545.4999999999991</v>
      </c>
      <c r="G60" s="76">
        <f t="shared" si="0"/>
        <v>1636.3749999999998</v>
      </c>
      <c r="H60" s="74"/>
    </row>
    <row r="61" spans="1:8" ht="21.75" customHeight="1" x14ac:dyDescent="0.25">
      <c r="A61" s="46" t="s">
        <v>158</v>
      </c>
      <c r="B61" s="46" t="s">
        <v>90</v>
      </c>
      <c r="C61" s="46" t="s">
        <v>155</v>
      </c>
      <c r="D61" s="47" t="s">
        <v>152</v>
      </c>
      <c r="E61" s="48">
        <v>45278</v>
      </c>
      <c r="F61" s="76">
        <v>7296.7219999999988</v>
      </c>
      <c r="G61" s="76">
        <f t="shared" si="0"/>
        <v>1824.1804999999997</v>
      </c>
      <c r="H61" s="74"/>
    </row>
    <row r="62" spans="1:8" ht="21.75" customHeight="1" x14ac:dyDescent="0.25">
      <c r="A62" s="46" t="s">
        <v>156</v>
      </c>
      <c r="B62" s="46" t="s">
        <v>91</v>
      </c>
      <c r="C62" s="46" t="s">
        <v>155</v>
      </c>
      <c r="D62" s="47" t="s">
        <v>152</v>
      </c>
      <c r="E62" s="48">
        <v>45299</v>
      </c>
      <c r="F62" s="76">
        <v>6545.4999999999991</v>
      </c>
      <c r="G62" s="76">
        <f t="shared" si="0"/>
        <v>1636.3749999999998</v>
      </c>
      <c r="H62" s="74"/>
    </row>
    <row r="63" spans="1:8" ht="21.75" customHeight="1" x14ac:dyDescent="0.25">
      <c r="A63" s="46" t="s">
        <v>158</v>
      </c>
      <c r="B63" s="46" t="s">
        <v>93</v>
      </c>
      <c r="C63" s="46" t="s">
        <v>155</v>
      </c>
      <c r="D63" s="47" t="s">
        <v>152</v>
      </c>
      <c r="E63" s="48">
        <v>45334</v>
      </c>
      <c r="F63" s="76">
        <v>9145.5739999999987</v>
      </c>
      <c r="G63" s="76">
        <f t="shared" si="0"/>
        <v>2286.3934999999997</v>
      </c>
      <c r="H63" s="74"/>
    </row>
    <row r="64" spans="1:8" ht="21.75" customHeight="1" x14ac:dyDescent="0.25">
      <c r="A64" s="46" t="s">
        <v>158</v>
      </c>
      <c r="B64" s="46" t="s">
        <v>94</v>
      </c>
      <c r="C64" s="46" t="s">
        <v>155</v>
      </c>
      <c r="D64" s="47" t="s">
        <v>152</v>
      </c>
      <c r="E64" s="48">
        <v>45342</v>
      </c>
      <c r="F64" s="76">
        <v>6545.4999999999991</v>
      </c>
      <c r="G64" s="76">
        <f t="shared" si="0"/>
        <v>1636.3749999999998</v>
      </c>
      <c r="H64" s="74"/>
    </row>
    <row r="65" spans="1:8" ht="21.75" customHeight="1" x14ac:dyDescent="0.25">
      <c r="A65" s="46" t="s">
        <v>160</v>
      </c>
      <c r="B65" s="46" t="s">
        <v>96</v>
      </c>
      <c r="C65" s="46" t="s">
        <v>155</v>
      </c>
      <c r="D65" s="47" t="s">
        <v>152</v>
      </c>
      <c r="E65" s="48">
        <v>45390</v>
      </c>
      <c r="F65" s="76">
        <v>15743</v>
      </c>
      <c r="G65" s="76">
        <f t="shared" si="0"/>
        <v>3935.75</v>
      </c>
      <c r="H65" s="74"/>
    </row>
    <row r="66" spans="1:8" ht="21.75" customHeight="1" x14ac:dyDescent="0.25">
      <c r="A66" s="46" t="s">
        <v>158</v>
      </c>
      <c r="B66" s="46" t="s">
        <v>97</v>
      </c>
      <c r="C66" s="46" t="s">
        <v>155</v>
      </c>
      <c r="D66" s="47" t="s">
        <v>152</v>
      </c>
      <c r="E66" s="48">
        <v>45392</v>
      </c>
      <c r="F66" s="76">
        <v>15400</v>
      </c>
      <c r="G66" s="76">
        <f t="shared" si="0"/>
        <v>3850</v>
      </c>
      <c r="H66" s="74"/>
    </row>
    <row r="67" spans="1:8" ht="21.75" customHeight="1" x14ac:dyDescent="0.25">
      <c r="A67" s="46" t="s">
        <v>156</v>
      </c>
      <c r="B67" s="46" t="s">
        <v>99</v>
      </c>
      <c r="C67" s="46" t="s">
        <v>155</v>
      </c>
      <c r="D67" s="47" t="s">
        <v>152</v>
      </c>
      <c r="E67" s="48">
        <v>45427</v>
      </c>
      <c r="F67" s="76">
        <v>5000</v>
      </c>
      <c r="G67" s="76">
        <f t="shared" si="0"/>
        <v>1250</v>
      </c>
      <c r="H67" s="74"/>
    </row>
    <row r="68" spans="1:8" ht="21.75" customHeight="1" x14ac:dyDescent="0.25">
      <c r="A68" s="46" t="s">
        <v>161</v>
      </c>
      <c r="B68" s="46" t="s">
        <v>100</v>
      </c>
      <c r="C68" s="46" t="s">
        <v>155</v>
      </c>
      <c r="D68" s="47" t="s">
        <v>152</v>
      </c>
      <c r="E68" s="48">
        <v>45448</v>
      </c>
      <c r="F68" s="76">
        <v>9145.5739999999987</v>
      </c>
      <c r="G68" s="76">
        <f t="shared" si="0"/>
        <v>2286.3934999999997</v>
      </c>
      <c r="H68" s="74"/>
    </row>
    <row r="69" spans="1:8" ht="21.75" customHeight="1" x14ac:dyDescent="0.25">
      <c r="A69" s="46" t="s">
        <v>158</v>
      </c>
      <c r="B69" s="46" t="s">
        <v>102</v>
      </c>
      <c r="C69" s="46" t="s">
        <v>155</v>
      </c>
      <c r="D69" s="47" t="s">
        <v>152</v>
      </c>
      <c r="E69" s="48">
        <v>45490</v>
      </c>
      <c r="F69" s="76">
        <v>6850</v>
      </c>
      <c r="G69" s="76">
        <f t="shared" si="0"/>
        <v>1712.5</v>
      </c>
      <c r="H69" s="74"/>
    </row>
    <row r="70" spans="1:8" ht="21.75" customHeight="1" x14ac:dyDescent="0.25">
      <c r="A70" s="46" t="s">
        <v>158</v>
      </c>
      <c r="B70" s="46" t="s">
        <v>103</v>
      </c>
      <c r="C70" s="46" t="s">
        <v>155</v>
      </c>
      <c r="D70" s="47" t="s">
        <v>152</v>
      </c>
      <c r="E70" s="48">
        <v>45506</v>
      </c>
      <c r="F70" s="76">
        <v>6545.4999999999991</v>
      </c>
      <c r="G70" s="76">
        <f t="shared" ref="G70:G81" si="1">F70/4</f>
        <v>1636.3749999999998</v>
      </c>
      <c r="H70" s="74"/>
    </row>
    <row r="71" spans="1:8" ht="21.75" customHeight="1" x14ac:dyDescent="0.25">
      <c r="A71" s="46" t="s">
        <v>156</v>
      </c>
      <c r="B71" s="46" t="s">
        <v>104</v>
      </c>
      <c r="C71" s="46" t="s">
        <v>155</v>
      </c>
      <c r="D71" s="47" t="s">
        <v>152</v>
      </c>
      <c r="E71" s="48">
        <v>45523</v>
      </c>
      <c r="F71" s="76">
        <v>9145.5739999999987</v>
      </c>
      <c r="G71" s="76">
        <f t="shared" si="1"/>
        <v>2286.3934999999997</v>
      </c>
      <c r="H71" s="74"/>
    </row>
    <row r="72" spans="1:8" ht="18.75" customHeight="1" x14ac:dyDescent="0.25">
      <c r="A72" s="46" t="s">
        <v>159</v>
      </c>
      <c r="B72" s="46" t="s">
        <v>105</v>
      </c>
      <c r="C72" s="46" t="s">
        <v>155</v>
      </c>
      <c r="D72" s="47" t="s">
        <v>152</v>
      </c>
      <c r="E72" s="48">
        <v>45523</v>
      </c>
      <c r="F72" s="76">
        <v>6545.4999999999991</v>
      </c>
      <c r="G72" s="76">
        <f t="shared" si="1"/>
        <v>1636.3749999999998</v>
      </c>
      <c r="H72" s="74"/>
    </row>
    <row r="73" spans="1:8" ht="18.75" customHeight="1" x14ac:dyDescent="0.25">
      <c r="A73" s="46" t="s">
        <v>162</v>
      </c>
      <c r="B73" s="46" t="s">
        <v>128</v>
      </c>
      <c r="C73" s="46" t="s">
        <v>155</v>
      </c>
      <c r="D73" s="47" t="s">
        <v>152</v>
      </c>
      <c r="E73" s="48">
        <v>45553</v>
      </c>
      <c r="F73" s="76">
        <v>6545.4999999999991</v>
      </c>
      <c r="G73" s="76">
        <f t="shared" si="1"/>
        <v>1636.3749999999998</v>
      </c>
      <c r="H73" s="74"/>
    </row>
    <row r="74" spans="1:8" ht="18.75" customHeight="1" x14ac:dyDescent="0.25">
      <c r="A74" s="46" t="s">
        <v>158</v>
      </c>
      <c r="B74" s="46" t="s">
        <v>129</v>
      </c>
      <c r="C74" s="46" t="s">
        <v>155</v>
      </c>
      <c r="D74" s="47" t="s">
        <v>152</v>
      </c>
      <c r="E74" s="48">
        <v>45558</v>
      </c>
      <c r="F74" s="76">
        <v>6545.4999999999991</v>
      </c>
      <c r="G74" s="76">
        <f>F74/4</f>
        <v>1636.3749999999998</v>
      </c>
      <c r="H74" s="74"/>
    </row>
    <row r="75" spans="1:8" ht="18.75" customHeight="1" thickBot="1" x14ac:dyDescent="0.3">
      <c r="A75" s="46" t="s">
        <v>158</v>
      </c>
      <c r="B75" s="54" t="s">
        <v>130</v>
      </c>
      <c r="C75" s="46" t="s">
        <v>155</v>
      </c>
      <c r="D75" s="47" t="s">
        <v>152</v>
      </c>
      <c r="E75" s="55">
        <v>45596</v>
      </c>
      <c r="F75" s="76">
        <v>6850</v>
      </c>
      <c r="G75" s="75">
        <f>F75/4</f>
        <v>1712.5</v>
      </c>
      <c r="H75" s="74"/>
    </row>
    <row r="76" spans="1:8" ht="18.75" customHeight="1" x14ac:dyDescent="0.25">
      <c r="A76" s="46" t="s">
        <v>156</v>
      </c>
      <c r="B76" s="46" t="s">
        <v>98</v>
      </c>
      <c r="C76" s="46" t="s">
        <v>155</v>
      </c>
      <c r="D76" s="47" t="s">
        <v>152</v>
      </c>
      <c r="E76" s="48">
        <v>45408</v>
      </c>
      <c r="F76" s="76">
        <v>6545.4999999999991</v>
      </c>
      <c r="G76" s="76">
        <f t="shared" si="1"/>
        <v>1636.3749999999998</v>
      </c>
      <c r="H76" s="74"/>
    </row>
    <row r="77" spans="1:8" ht="18.75" customHeight="1" x14ac:dyDescent="0.25">
      <c r="A77" s="46" t="s">
        <v>159</v>
      </c>
      <c r="B77" s="46" t="s">
        <v>92</v>
      </c>
      <c r="C77" s="46" t="s">
        <v>155</v>
      </c>
      <c r="D77" s="47" t="s">
        <v>152</v>
      </c>
      <c r="E77" s="48">
        <v>45313</v>
      </c>
      <c r="F77" s="76">
        <v>850</v>
      </c>
      <c r="G77" s="76">
        <f t="shared" si="1"/>
        <v>212.5</v>
      </c>
      <c r="H77" s="74"/>
    </row>
    <row r="78" spans="1:8" ht="18.75" customHeight="1" x14ac:dyDescent="0.25">
      <c r="A78" s="46" t="s">
        <v>162</v>
      </c>
      <c r="B78" s="46" t="s">
        <v>101</v>
      </c>
      <c r="C78" s="46" t="s">
        <v>155</v>
      </c>
      <c r="D78" s="47" t="s">
        <v>152</v>
      </c>
      <c r="E78" s="48">
        <v>45495</v>
      </c>
      <c r="F78" s="76">
        <v>850</v>
      </c>
      <c r="G78" s="76">
        <f t="shared" si="1"/>
        <v>212.5</v>
      </c>
      <c r="H78" s="74"/>
    </row>
    <row r="79" spans="1:8" ht="18.75" customHeight="1" x14ac:dyDescent="0.25">
      <c r="A79" s="46" t="s">
        <v>159</v>
      </c>
      <c r="B79" s="46" t="s">
        <v>131</v>
      </c>
      <c r="C79" s="46" t="s">
        <v>155</v>
      </c>
      <c r="D79" s="47" t="s">
        <v>152</v>
      </c>
      <c r="E79" s="48">
        <v>45576</v>
      </c>
      <c r="F79" s="76">
        <v>850</v>
      </c>
      <c r="G79" s="76">
        <f t="shared" si="1"/>
        <v>212.5</v>
      </c>
      <c r="H79" s="74"/>
    </row>
    <row r="80" spans="1:8" ht="18.75" customHeight="1" thickBot="1" x14ac:dyDescent="0.3">
      <c r="A80" s="46" t="s">
        <v>162</v>
      </c>
      <c r="B80" s="54" t="s">
        <v>132</v>
      </c>
      <c r="C80" s="46" t="s">
        <v>155</v>
      </c>
      <c r="D80" s="47" t="s">
        <v>152</v>
      </c>
      <c r="E80" s="55">
        <v>45576</v>
      </c>
      <c r="F80" s="76">
        <v>850</v>
      </c>
      <c r="G80" s="75">
        <f t="shared" si="1"/>
        <v>212.5</v>
      </c>
      <c r="H80" s="74"/>
    </row>
    <row r="81" spans="1:8" ht="18.75" customHeight="1" x14ac:dyDescent="0.25">
      <c r="A81" s="46" t="s">
        <v>133</v>
      </c>
      <c r="B81" s="46" t="s">
        <v>133</v>
      </c>
      <c r="C81" s="46" t="s">
        <v>155</v>
      </c>
      <c r="D81" s="47" t="s">
        <v>152</v>
      </c>
      <c r="E81" s="48">
        <v>45614</v>
      </c>
      <c r="F81" s="76">
        <v>6500</v>
      </c>
      <c r="G81" s="76">
        <f t="shared" si="1"/>
        <v>1625</v>
      </c>
      <c r="H81" s="74"/>
    </row>
    <row r="83" spans="1:8" ht="12" thickBot="1" x14ac:dyDescent="0.3">
      <c r="G83" s="79">
        <f>SUM(G5:G81)</f>
        <v>143902.91095314996</v>
      </c>
    </row>
    <row r="84" spans="1:8" ht="12" thickTop="1" x14ac:dyDescent="0.25"/>
  </sheetData>
  <autoFilter ref="A4:H69" xr:uid="{669BB21C-6DE7-4C3F-8347-C9A29B13653F}"/>
  <mergeCells count="1">
    <mergeCell ref="A2:G2"/>
  </mergeCells>
  <pageMargins left="0.75" right="0.75" top="1.55" bottom="1" header="0.5" footer="0.5"/>
  <pageSetup paperSize="9" scale="82" orientation="portrait" r:id="rId1"/>
  <headerFooter alignWithMargins="0"/>
  <rowBreaks count="1" manualBreakCount="1">
    <brk id="37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EC14-C42B-4A12-B92F-74E101790289}">
  <sheetPr>
    <pageSetUpPr fitToPage="1"/>
  </sheetPr>
  <dimension ref="A1:M22"/>
  <sheetViews>
    <sheetView showGridLines="0" view="pageBreakPreview" zoomScale="110" zoomScaleNormal="100" zoomScaleSheetLayoutView="110" workbookViewId="0">
      <pane xSplit="2" ySplit="4" topLeftCell="C5" activePane="bottomRight" state="frozen"/>
      <selection activeCell="B25" sqref="B25:C25"/>
      <selection pane="topRight" activeCell="B25" sqref="B25:C25"/>
      <selection pane="bottomLeft" activeCell="B25" sqref="B25:C25"/>
      <selection pane="bottomRight" activeCell="H16" sqref="H16"/>
    </sheetView>
  </sheetViews>
  <sheetFormatPr defaultColWidth="9.140625" defaultRowHeight="11.25" x14ac:dyDescent="0.25"/>
  <cols>
    <col min="1" max="1" width="9" style="43" customWidth="1"/>
    <col min="2" max="2" width="15.7109375" style="43" customWidth="1"/>
    <col min="3" max="3" width="9.85546875" style="43" customWidth="1"/>
    <col min="4" max="5" width="11" style="43" customWidth="1"/>
    <col min="6" max="6" width="10.5703125" style="43" customWidth="1"/>
    <col min="7" max="7" width="10" style="43" customWidth="1"/>
    <col min="8" max="9" width="9.140625" style="43"/>
    <col min="10" max="10" width="12" style="43" customWidth="1"/>
    <col min="11" max="11" width="9.28515625" style="43" bestFit="1" customWidth="1"/>
    <col min="12" max="12" width="13.5703125" style="43" bestFit="1" customWidth="1"/>
    <col min="13" max="16384" width="9.140625" style="43"/>
  </cols>
  <sheetData>
    <row r="1" spans="1:13" ht="12" customHeight="1" thickBo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M1" s="80"/>
    </row>
    <row r="2" spans="1:13" ht="16.5" thickBot="1" x14ac:dyDescent="0.3">
      <c r="A2" s="135" t="s">
        <v>134</v>
      </c>
      <c r="B2" s="136"/>
      <c r="C2" s="136"/>
      <c r="D2" s="136"/>
      <c r="E2" s="136"/>
      <c r="F2" s="136"/>
      <c r="G2" s="136"/>
      <c r="H2" s="136"/>
      <c r="I2" s="136"/>
      <c r="J2" s="137"/>
    </row>
    <row r="3" spans="1:13" x14ac:dyDescent="0.25">
      <c r="A3" s="62"/>
      <c r="B3" s="62"/>
      <c r="C3" s="62"/>
      <c r="D3" s="61"/>
      <c r="E3" s="61"/>
      <c r="F3" s="61"/>
      <c r="G3" s="61"/>
      <c r="H3" s="61"/>
      <c r="I3" s="61"/>
    </row>
    <row r="4" spans="1:13" ht="33.75" x14ac:dyDescent="0.25">
      <c r="A4" s="68" t="s">
        <v>39</v>
      </c>
      <c r="B4" s="68" t="s">
        <v>40</v>
      </c>
      <c r="C4" s="68" t="s">
        <v>45</v>
      </c>
      <c r="D4" s="69" t="s">
        <v>41</v>
      </c>
      <c r="E4" s="69" t="s">
        <v>67</v>
      </c>
      <c r="F4" s="69" t="s">
        <v>46</v>
      </c>
      <c r="G4" s="69" t="s">
        <v>47</v>
      </c>
      <c r="H4" s="52" t="s">
        <v>48</v>
      </c>
      <c r="I4" s="52" t="s">
        <v>49</v>
      </c>
      <c r="J4" s="52" t="s">
        <v>135</v>
      </c>
    </row>
    <row r="5" spans="1:13" ht="23.25" customHeight="1" x14ac:dyDescent="0.25">
      <c r="A5" s="46" t="s">
        <v>156</v>
      </c>
      <c r="B5" s="46" t="s">
        <v>155</v>
      </c>
      <c r="C5" s="46" t="s">
        <v>155</v>
      </c>
      <c r="D5" s="138">
        <v>45518</v>
      </c>
      <c r="E5" s="50">
        <v>45657</v>
      </c>
      <c r="F5" s="87">
        <v>9400</v>
      </c>
      <c r="G5" s="87">
        <v>10800</v>
      </c>
      <c r="H5" s="88">
        <f t="shared" ref="H5:H10" si="0">(E5-D5)+1</f>
        <v>140</v>
      </c>
      <c r="I5" s="89">
        <f t="shared" ref="I5:I10" si="1">(G5-F5)/365</f>
        <v>3.8356164383561642</v>
      </c>
      <c r="J5" s="90">
        <f t="shared" ref="J5:J10" si="2">H5*I5</f>
        <v>536.98630136986299</v>
      </c>
      <c r="K5" s="60" t="s">
        <v>136</v>
      </c>
    </row>
    <row r="6" spans="1:13" ht="23.25" customHeight="1" x14ac:dyDescent="0.25">
      <c r="A6" s="46" t="s">
        <v>156</v>
      </c>
      <c r="B6" s="46" t="s">
        <v>155</v>
      </c>
      <c r="C6" s="46" t="s">
        <v>155</v>
      </c>
      <c r="D6" s="138">
        <v>45568</v>
      </c>
      <c r="E6" s="50">
        <v>45657</v>
      </c>
      <c r="F6" s="90">
        <v>6500</v>
      </c>
      <c r="G6" s="90">
        <v>11500</v>
      </c>
      <c r="H6" s="88">
        <f t="shared" si="0"/>
        <v>90</v>
      </c>
      <c r="I6" s="89">
        <f t="shared" si="1"/>
        <v>13.698630136986301</v>
      </c>
      <c r="J6" s="90">
        <f t="shared" si="2"/>
        <v>1232.8767123287671</v>
      </c>
      <c r="K6" s="60" t="s">
        <v>137</v>
      </c>
    </row>
    <row r="7" spans="1:13" ht="23.25" customHeight="1" x14ac:dyDescent="0.25">
      <c r="A7" s="46" t="s">
        <v>157</v>
      </c>
      <c r="B7" s="46" t="s">
        <v>155</v>
      </c>
      <c r="C7" s="46" t="s">
        <v>155</v>
      </c>
      <c r="D7" s="138">
        <v>45600</v>
      </c>
      <c r="E7" s="50">
        <v>45657</v>
      </c>
      <c r="F7" s="90">
        <v>7250</v>
      </c>
      <c r="G7" s="90">
        <v>9520</v>
      </c>
      <c r="H7" s="88">
        <f t="shared" si="0"/>
        <v>58</v>
      </c>
      <c r="I7" s="89">
        <f t="shared" si="1"/>
        <v>6.2191780821917808</v>
      </c>
      <c r="J7" s="90">
        <f t="shared" si="2"/>
        <v>360.71232876712327</v>
      </c>
      <c r="K7" s="60" t="s">
        <v>138</v>
      </c>
    </row>
    <row r="8" spans="1:13" ht="23.25" customHeight="1" thickBot="1" x14ac:dyDescent="0.3">
      <c r="A8" s="46" t="s">
        <v>158</v>
      </c>
      <c r="B8" s="46" t="s">
        <v>155</v>
      </c>
      <c r="C8" s="46" t="s">
        <v>155</v>
      </c>
      <c r="D8" s="138">
        <v>45611</v>
      </c>
      <c r="E8" s="55">
        <v>45657</v>
      </c>
      <c r="F8" s="91">
        <v>12000</v>
      </c>
      <c r="G8" s="91">
        <v>13500</v>
      </c>
      <c r="H8" s="92">
        <f t="shared" si="0"/>
        <v>47</v>
      </c>
      <c r="I8" s="93">
        <f t="shared" si="1"/>
        <v>4.1095890410958908</v>
      </c>
      <c r="J8" s="91">
        <f t="shared" si="2"/>
        <v>193.15068493150687</v>
      </c>
      <c r="K8" s="60" t="s">
        <v>151</v>
      </c>
    </row>
    <row r="9" spans="1:13" ht="23.25" customHeight="1" x14ac:dyDescent="0.25">
      <c r="A9" s="46" t="s">
        <v>159</v>
      </c>
      <c r="B9" s="46" t="s">
        <v>155</v>
      </c>
      <c r="C9" s="46" t="s">
        <v>155</v>
      </c>
      <c r="D9" s="138">
        <v>45576</v>
      </c>
      <c r="E9" s="48">
        <v>45657</v>
      </c>
      <c r="F9" s="49">
        <v>0</v>
      </c>
      <c r="G9" s="49">
        <v>526</v>
      </c>
      <c r="H9" s="64">
        <f t="shared" si="0"/>
        <v>82</v>
      </c>
      <c r="I9" s="65">
        <f t="shared" si="1"/>
        <v>1.441095890410959</v>
      </c>
      <c r="J9" s="49">
        <f t="shared" si="2"/>
        <v>118.16986301369863</v>
      </c>
      <c r="K9" s="60" t="s">
        <v>139</v>
      </c>
    </row>
    <row r="10" spans="1:13" ht="23.25" customHeight="1" thickBot="1" x14ac:dyDescent="0.3">
      <c r="A10" s="46" t="s">
        <v>158</v>
      </c>
      <c r="B10" s="46" t="s">
        <v>155</v>
      </c>
      <c r="C10" s="46" t="s">
        <v>155</v>
      </c>
      <c r="D10" s="138">
        <v>45576</v>
      </c>
      <c r="E10" s="55">
        <v>45657</v>
      </c>
      <c r="F10" s="91">
        <v>0</v>
      </c>
      <c r="G10" s="91">
        <v>526</v>
      </c>
      <c r="H10" s="92">
        <f t="shared" si="0"/>
        <v>82</v>
      </c>
      <c r="I10" s="93">
        <f t="shared" si="1"/>
        <v>1.441095890410959</v>
      </c>
      <c r="J10" s="91">
        <f t="shared" si="2"/>
        <v>118.16986301369863</v>
      </c>
      <c r="K10" s="60" t="s">
        <v>140</v>
      </c>
    </row>
    <row r="11" spans="1:13" ht="23.25" customHeight="1" x14ac:dyDescent="0.25">
      <c r="A11" s="46" t="s">
        <v>156</v>
      </c>
      <c r="B11" s="46" t="s">
        <v>155</v>
      </c>
      <c r="C11" s="46" t="s">
        <v>155</v>
      </c>
      <c r="D11" s="138">
        <v>45553</v>
      </c>
      <c r="E11" s="48">
        <v>45657</v>
      </c>
      <c r="F11" s="49">
        <v>0</v>
      </c>
      <c r="G11" s="49">
        <v>6500</v>
      </c>
      <c r="H11" s="83"/>
      <c r="I11" s="83"/>
      <c r="J11" s="84"/>
      <c r="K11" s="60" t="s">
        <v>141</v>
      </c>
    </row>
    <row r="12" spans="1:13" ht="23.25" customHeight="1" x14ac:dyDescent="0.25">
      <c r="A12" s="46" t="s">
        <v>158</v>
      </c>
      <c r="B12" s="46" t="s">
        <v>155</v>
      </c>
      <c r="C12" s="46" t="s">
        <v>155</v>
      </c>
      <c r="D12" s="138">
        <v>45558</v>
      </c>
      <c r="E12" s="48">
        <v>45657</v>
      </c>
      <c r="F12" s="49">
        <v>0</v>
      </c>
      <c r="G12" s="49">
        <v>6500</v>
      </c>
      <c r="H12" s="83"/>
      <c r="I12" s="83"/>
      <c r="J12" s="84"/>
      <c r="K12" s="60" t="s">
        <v>142</v>
      </c>
    </row>
    <row r="13" spans="1:13" ht="23.25" customHeight="1" thickBot="1" x14ac:dyDescent="0.3">
      <c r="A13" s="46" t="s">
        <v>158</v>
      </c>
      <c r="B13" s="46" t="s">
        <v>155</v>
      </c>
      <c r="C13" s="46" t="s">
        <v>155</v>
      </c>
      <c r="D13" s="138">
        <v>45596</v>
      </c>
      <c r="E13" s="55">
        <v>45657</v>
      </c>
      <c r="F13" s="91">
        <v>0</v>
      </c>
      <c r="G13" s="91">
        <f>6500+2582</f>
        <v>9082</v>
      </c>
      <c r="H13" s="94"/>
      <c r="I13" s="94"/>
      <c r="J13" s="95"/>
      <c r="K13" s="96" t="s">
        <v>143</v>
      </c>
    </row>
    <row r="14" spans="1:13" ht="23.25" customHeight="1" thickBot="1" x14ac:dyDescent="0.3">
      <c r="A14" s="46" t="s">
        <v>160</v>
      </c>
      <c r="B14" s="46" t="s">
        <v>155</v>
      </c>
      <c r="C14" s="46" t="s">
        <v>155</v>
      </c>
      <c r="D14" s="138">
        <v>45614</v>
      </c>
      <c r="E14" s="58">
        <v>45657</v>
      </c>
      <c r="F14" s="97">
        <v>0</v>
      </c>
      <c r="G14" s="97">
        <v>6500</v>
      </c>
      <c r="H14" s="98">
        <f>(E14-D14)+1</f>
        <v>44</v>
      </c>
      <c r="I14" s="99">
        <f>(G14-F14)/365</f>
        <v>17.80821917808219</v>
      </c>
      <c r="J14" s="97">
        <f>H14*I14</f>
        <v>783.56164383561634</v>
      </c>
      <c r="K14" s="60" t="s">
        <v>144</v>
      </c>
    </row>
    <row r="15" spans="1:13" x14ac:dyDescent="0.25">
      <c r="A15" s="60"/>
      <c r="B15" s="60"/>
      <c r="C15" s="96"/>
      <c r="D15" s="100"/>
      <c r="E15" s="100"/>
      <c r="F15" s="70"/>
      <c r="G15" s="70"/>
      <c r="H15" s="101"/>
      <c r="I15" s="101"/>
      <c r="J15" s="70"/>
      <c r="K15" s="60"/>
    </row>
    <row r="16" spans="1:13" x14ac:dyDescent="0.25">
      <c r="K16" s="66"/>
    </row>
    <row r="17" spans="7:11" ht="12" thickBot="1" x14ac:dyDescent="0.3">
      <c r="J17" s="67">
        <f>SUM(J5:J14)</f>
        <v>3343.6273972602735</v>
      </c>
      <c r="K17" s="66"/>
    </row>
    <row r="18" spans="7:11" ht="12" thickTop="1" x14ac:dyDescent="0.25"/>
    <row r="22" spans="7:11" x14ac:dyDescent="0.25">
      <c r="G22" s="70"/>
    </row>
  </sheetData>
  <mergeCells count="1">
    <mergeCell ref="A2:J2"/>
  </mergeCells>
  <pageMargins left="0.75" right="0.75" top="1" bottom="1" header="0.5" footer="0.5"/>
  <pageSetup paperSize="9" scale="7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AA78-2A9C-4383-BE43-B5A1CE7DA695}">
  <dimension ref="A1:N83"/>
  <sheetViews>
    <sheetView zoomScaleNormal="100" workbookViewId="0"/>
  </sheetViews>
  <sheetFormatPr defaultColWidth="9.140625" defaultRowHeight="11.25" x14ac:dyDescent="0.25"/>
  <cols>
    <col min="1" max="1" width="12.7109375" style="44" customWidth="1"/>
    <col min="2" max="2" width="12.7109375" style="44" hidden="1" customWidth="1"/>
    <col min="3" max="3" width="18.7109375" style="44" customWidth="1"/>
    <col min="4" max="4" width="11.7109375" style="44" customWidth="1"/>
    <col min="5" max="5" width="12.42578125" style="44" customWidth="1"/>
    <col min="6" max="6" width="9.85546875" style="44" customWidth="1"/>
    <col min="7" max="8" width="9.85546875" style="102" customWidth="1"/>
    <col min="9" max="9" width="14.85546875" style="45" customWidth="1"/>
    <col min="10" max="12" width="9.140625" style="102"/>
    <col min="13" max="16384" width="9.140625" style="44"/>
  </cols>
  <sheetData>
    <row r="1" spans="1:13" ht="12" thickBot="1" x14ac:dyDescent="0.3">
      <c r="K1" s="103">
        <v>45599</v>
      </c>
      <c r="L1" s="103">
        <v>45658</v>
      </c>
      <c r="M1" s="102">
        <f>L1-K1</f>
        <v>59</v>
      </c>
    </row>
    <row r="2" spans="1:13" ht="16.5" thickBot="1" x14ac:dyDescent="0.3">
      <c r="A2" s="132" t="s">
        <v>145</v>
      </c>
      <c r="B2" s="133"/>
      <c r="C2" s="133"/>
      <c r="D2" s="133"/>
      <c r="E2" s="133"/>
      <c r="F2" s="133"/>
      <c r="G2" s="133"/>
      <c r="H2" s="133"/>
      <c r="I2" s="134"/>
    </row>
    <row r="3" spans="1:13" x14ac:dyDescent="0.25">
      <c r="A3" s="71"/>
      <c r="B3" s="71"/>
      <c r="C3" s="71"/>
      <c r="D3" s="71"/>
      <c r="E3" s="71"/>
      <c r="F3" s="72"/>
      <c r="G3" s="72"/>
      <c r="H3" s="72"/>
    </row>
    <row r="4" spans="1:13" ht="38.25" x14ac:dyDescent="0.25">
      <c r="A4" s="51" t="s">
        <v>39</v>
      </c>
      <c r="B4" s="85" t="s">
        <v>109</v>
      </c>
      <c r="C4" s="51" t="s">
        <v>40</v>
      </c>
      <c r="D4" s="51" t="s">
        <v>38</v>
      </c>
      <c r="E4" s="51" t="s">
        <v>146</v>
      </c>
      <c r="F4" s="53" t="s">
        <v>44</v>
      </c>
      <c r="G4" s="53" t="s">
        <v>147</v>
      </c>
      <c r="H4" s="53" t="s">
        <v>148</v>
      </c>
      <c r="I4" s="52" t="s">
        <v>149</v>
      </c>
    </row>
    <row r="5" spans="1:13" ht="21.75" customHeight="1" x14ac:dyDescent="0.25">
      <c r="A5" s="46" t="s">
        <v>156</v>
      </c>
      <c r="B5" s="46" t="s">
        <v>111</v>
      </c>
      <c r="C5" s="46" t="s">
        <v>155</v>
      </c>
      <c r="D5" s="47" t="s">
        <v>152</v>
      </c>
      <c r="E5" s="48">
        <v>44858</v>
      </c>
      <c r="F5" s="73">
        <v>7459.9980000000005</v>
      </c>
      <c r="G5" s="104">
        <v>7.0000000000000001E-3</v>
      </c>
      <c r="H5" s="105">
        <f>F5*(1+G5)</f>
        <v>7512.2179859999997</v>
      </c>
      <c r="I5" s="73">
        <f>((H5-F5)/365)*M$1</f>
        <v>8.4410388328765755</v>
      </c>
      <c r="K5" s="44"/>
      <c r="L5" s="81"/>
      <c r="M5" s="74"/>
    </row>
    <row r="6" spans="1:13" ht="21" customHeight="1" x14ac:dyDescent="0.25">
      <c r="A6" s="46" t="s">
        <v>156</v>
      </c>
      <c r="B6" s="46" t="s">
        <v>42</v>
      </c>
      <c r="C6" s="46" t="s">
        <v>155</v>
      </c>
      <c r="D6" s="47" t="s">
        <v>152</v>
      </c>
      <c r="E6" s="50">
        <v>44606</v>
      </c>
      <c r="F6" s="73">
        <v>10042.304999999998</v>
      </c>
      <c r="G6" s="104">
        <v>7.0000000000000001E-3</v>
      </c>
      <c r="H6" s="105">
        <f t="shared" ref="H6:H24" si="0">F6*(1+G6)</f>
        <v>10112.601134999997</v>
      </c>
      <c r="I6" s="73">
        <f>((H6-F6)/365)*M$1</f>
        <v>11.362936890410747</v>
      </c>
      <c r="K6" s="44"/>
      <c r="L6" s="81"/>
      <c r="M6" s="74"/>
    </row>
    <row r="7" spans="1:13" ht="21.75" customHeight="1" x14ac:dyDescent="0.25">
      <c r="A7" s="46" t="s">
        <v>157</v>
      </c>
      <c r="B7" s="46" t="s">
        <v>52</v>
      </c>
      <c r="C7" s="46" t="s">
        <v>155</v>
      </c>
      <c r="D7" s="47" t="s">
        <v>152</v>
      </c>
      <c r="E7" s="48">
        <v>44777</v>
      </c>
      <c r="F7" s="73">
        <v>7459.9980000000005</v>
      </c>
      <c r="G7" s="104">
        <v>7.0000000000000001E-3</v>
      </c>
      <c r="H7" s="105">
        <f t="shared" si="0"/>
        <v>7512.2179859999997</v>
      </c>
      <c r="I7" s="73">
        <f>((H7-F7)/365)*M$1</f>
        <v>8.4410388328765755</v>
      </c>
      <c r="K7" s="44"/>
      <c r="L7" s="81"/>
      <c r="M7" s="74"/>
    </row>
    <row r="8" spans="1:13" ht="21.75" customHeight="1" x14ac:dyDescent="0.25">
      <c r="A8" s="46" t="s">
        <v>158</v>
      </c>
      <c r="B8" s="46" t="s">
        <v>56</v>
      </c>
      <c r="C8" s="46" t="s">
        <v>155</v>
      </c>
      <c r="D8" s="47" t="s">
        <v>152</v>
      </c>
      <c r="E8" s="48">
        <v>44847</v>
      </c>
      <c r="F8" s="73">
        <v>7459.9980000000005</v>
      </c>
      <c r="G8" s="104">
        <v>7.0000000000000001E-3</v>
      </c>
      <c r="H8" s="105">
        <f t="shared" si="0"/>
        <v>7512.2179859999997</v>
      </c>
      <c r="I8" s="73">
        <f>((H8-F8)/365)*M$1</f>
        <v>8.4410388328765755</v>
      </c>
      <c r="K8" s="44"/>
      <c r="L8" s="81"/>
      <c r="M8" s="74"/>
    </row>
    <row r="9" spans="1:13" ht="21.75" customHeight="1" x14ac:dyDescent="0.25">
      <c r="A9" s="46" t="s">
        <v>159</v>
      </c>
      <c r="B9" s="86" t="s">
        <v>112</v>
      </c>
      <c r="C9" s="46" t="s">
        <v>155</v>
      </c>
      <c r="D9" s="47" t="s">
        <v>152</v>
      </c>
      <c r="E9" s="48">
        <v>44847</v>
      </c>
      <c r="F9" s="73">
        <v>7459.9980000000005</v>
      </c>
      <c r="G9" s="104">
        <v>7.0000000000000001E-3</v>
      </c>
      <c r="H9" s="105">
        <f t="shared" si="0"/>
        <v>7512.2179859999997</v>
      </c>
      <c r="I9" s="73">
        <f>((H9-F9)/365)*M$1</f>
        <v>8.4410388328765755</v>
      </c>
      <c r="K9" s="44"/>
      <c r="L9" s="81"/>
      <c r="M9" s="74"/>
    </row>
    <row r="10" spans="1:13" ht="21.75" customHeight="1" x14ac:dyDescent="0.25">
      <c r="A10" s="46" t="s">
        <v>158</v>
      </c>
      <c r="B10" s="46" t="s">
        <v>113</v>
      </c>
      <c r="C10" s="46" t="s">
        <v>155</v>
      </c>
      <c r="D10" s="47" t="s">
        <v>152</v>
      </c>
      <c r="E10" s="48">
        <v>44662</v>
      </c>
      <c r="F10" s="73">
        <v>7459.9980000000005</v>
      </c>
      <c r="G10" s="104">
        <v>7.0000000000000001E-3</v>
      </c>
      <c r="H10" s="105">
        <f t="shared" si="0"/>
        <v>7512.2179859999997</v>
      </c>
      <c r="I10" s="73">
        <f>((H10-F10)/365)*M$1</f>
        <v>8.4410388328765755</v>
      </c>
      <c r="K10" s="44"/>
      <c r="L10" s="81"/>
      <c r="M10" s="74"/>
    </row>
    <row r="11" spans="1:13" ht="21.75" customHeight="1" x14ac:dyDescent="0.25">
      <c r="A11" s="46" t="s">
        <v>156</v>
      </c>
      <c r="B11" s="86" t="s">
        <v>114</v>
      </c>
      <c r="C11" s="46" t="s">
        <v>155</v>
      </c>
      <c r="D11" s="47" t="s">
        <v>152</v>
      </c>
      <c r="E11" s="48">
        <v>44592</v>
      </c>
      <c r="F11" s="73">
        <v>11763.842999999999</v>
      </c>
      <c r="G11" s="104">
        <v>7.0000000000000001E-3</v>
      </c>
      <c r="H11" s="105">
        <f t="shared" si="0"/>
        <v>11846.189900999998</v>
      </c>
      <c r="I11" s="73">
        <f>((H11-F11)/365)*M$1</f>
        <v>13.310868928766959</v>
      </c>
      <c r="K11" s="44"/>
      <c r="L11" s="81"/>
      <c r="M11" s="74"/>
    </row>
    <row r="12" spans="1:13" ht="21.75" customHeight="1" x14ac:dyDescent="0.25">
      <c r="A12" s="46" t="s">
        <v>158</v>
      </c>
      <c r="B12" s="46" t="s">
        <v>54</v>
      </c>
      <c r="C12" s="46" t="s">
        <v>155</v>
      </c>
      <c r="D12" s="47" t="s">
        <v>152</v>
      </c>
      <c r="E12" s="48">
        <v>44641</v>
      </c>
      <c r="F12" s="73">
        <v>10042.304999999998</v>
      </c>
      <c r="G12" s="104">
        <v>7.0000000000000001E-3</v>
      </c>
      <c r="H12" s="105">
        <f t="shared" si="0"/>
        <v>10112.601134999997</v>
      </c>
      <c r="I12" s="73">
        <f>((H12-F12)/365)*M$1</f>
        <v>11.362936890410747</v>
      </c>
      <c r="K12" s="44"/>
      <c r="L12" s="81"/>
      <c r="M12" s="74"/>
    </row>
    <row r="13" spans="1:13" ht="21.75" customHeight="1" x14ac:dyDescent="0.25">
      <c r="A13" s="46" t="s">
        <v>158</v>
      </c>
      <c r="B13" s="46" t="s">
        <v>115</v>
      </c>
      <c r="C13" s="46" t="s">
        <v>155</v>
      </c>
      <c r="D13" s="47" t="s">
        <v>152</v>
      </c>
      <c r="E13" s="48">
        <v>44858</v>
      </c>
      <c r="F13" s="73">
        <v>7459.9980000000005</v>
      </c>
      <c r="G13" s="104">
        <v>7.0000000000000001E-3</v>
      </c>
      <c r="H13" s="105">
        <f t="shared" si="0"/>
        <v>7512.2179859999997</v>
      </c>
      <c r="I13" s="73">
        <f>((H13-F13)/365)*M$1</f>
        <v>8.4410388328765755</v>
      </c>
      <c r="K13" s="44"/>
      <c r="L13" s="81"/>
      <c r="M13" s="74"/>
    </row>
    <row r="14" spans="1:13" ht="21.75" customHeight="1" x14ac:dyDescent="0.25">
      <c r="A14" s="46" t="s">
        <v>160</v>
      </c>
      <c r="B14" s="46" t="s">
        <v>116</v>
      </c>
      <c r="C14" s="46" t="s">
        <v>155</v>
      </c>
      <c r="D14" s="47" t="s">
        <v>152</v>
      </c>
      <c r="E14" s="48">
        <v>44725</v>
      </c>
      <c r="F14" s="73">
        <v>7459.9980000000005</v>
      </c>
      <c r="G14" s="104">
        <v>7.0000000000000001E-3</v>
      </c>
      <c r="H14" s="105">
        <f t="shared" si="0"/>
        <v>7512.2179859999997</v>
      </c>
      <c r="I14" s="73">
        <f>((H14-F14)/365)*M$1</f>
        <v>8.4410388328765755</v>
      </c>
      <c r="K14" s="44"/>
      <c r="L14" s="81"/>
      <c r="M14" s="74"/>
    </row>
    <row r="15" spans="1:13" ht="21.75" customHeight="1" x14ac:dyDescent="0.25">
      <c r="A15" s="46" t="s">
        <v>158</v>
      </c>
      <c r="B15" s="46" t="s">
        <v>57</v>
      </c>
      <c r="C15" s="46" t="s">
        <v>155</v>
      </c>
      <c r="D15" s="47" t="s">
        <v>152</v>
      </c>
      <c r="E15" s="48">
        <v>44795</v>
      </c>
      <c r="F15" s="73">
        <v>8205.9977999999992</v>
      </c>
      <c r="G15" s="104">
        <v>7.0000000000000001E-3</v>
      </c>
      <c r="H15" s="105">
        <f t="shared" si="0"/>
        <v>8263.4397845999974</v>
      </c>
      <c r="I15" s="73">
        <f>((H15-F15)/365)*M$1</f>
        <v>9.2851427161641009</v>
      </c>
      <c r="K15" s="44"/>
      <c r="L15" s="81"/>
      <c r="M15" s="74"/>
    </row>
    <row r="16" spans="1:13" ht="21.75" customHeight="1" x14ac:dyDescent="0.25">
      <c r="A16" s="46" t="s">
        <v>156</v>
      </c>
      <c r="B16" s="46" t="s">
        <v>58</v>
      </c>
      <c r="C16" s="46" t="s">
        <v>155</v>
      </c>
      <c r="D16" s="47" t="s">
        <v>152</v>
      </c>
      <c r="E16" s="48">
        <v>44858</v>
      </c>
      <c r="F16" s="73">
        <v>7459.9980000000005</v>
      </c>
      <c r="G16" s="104">
        <v>7.0000000000000001E-3</v>
      </c>
      <c r="H16" s="105">
        <f t="shared" si="0"/>
        <v>7512.2179859999997</v>
      </c>
      <c r="I16" s="73">
        <f>((H16-F16)/365)*M$1</f>
        <v>8.4410388328765755</v>
      </c>
      <c r="K16" s="44"/>
      <c r="L16" s="81"/>
      <c r="M16" s="74"/>
    </row>
    <row r="17" spans="1:13" ht="21.75" customHeight="1" x14ac:dyDescent="0.25">
      <c r="A17" s="46" t="s">
        <v>161</v>
      </c>
      <c r="B17" s="46" t="s">
        <v>53</v>
      </c>
      <c r="C17" s="46" t="s">
        <v>155</v>
      </c>
      <c r="D17" s="47" t="s">
        <v>152</v>
      </c>
      <c r="E17" s="48">
        <v>44739</v>
      </c>
      <c r="F17" s="73">
        <v>7459.9980000000005</v>
      </c>
      <c r="G17" s="104">
        <v>7.0000000000000001E-3</v>
      </c>
      <c r="H17" s="105">
        <f t="shared" si="0"/>
        <v>7512.2179859999997</v>
      </c>
      <c r="I17" s="73">
        <f>((H17-F17)/365)*M$1</f>
        <v>8.4410388328765755</v>
      </c>
      <c r="K17" s="44"/>
      <c r="L17" s="81"/>
      <c r="M17" s="74"/>
    </row>
    <row r="18" spans="1:13" ht="21.75" customHeight="1" x14ac:dyDescent="0.25">
      <c r="A18" s="46" t="s">
        <v>158</v>
      </c>
      <c r="B18" s="46" t="s">
        <v>59</v>
      </c>
      <c r="C18" s="46" t="s">
        <v>155</v>
      </c>
      <c r="D18" s="47" t="s">
        <v>152</v>
      </c>
      <c r="E18" s="48">
        <v>44845</v>
      </c>
      <c r="F18" s="73">
        <v>8894.6129999999994</v>
      </c>
      <c r="G18" s="104">
        <v>7.0000000000000001E-3</v>
      </c>
      <c r="H18" s="105">
        <f t="shared" si="0"/>
        <v>8956.8752909999985</v>
      </c>
      <c r="I18" s="73">
        <f>((H18-F18)/365)*M$1</f>
        <v>10.064315531506702</v>
      </c>
      <c r="K18" s="44"/>
      <c r="L18" s="81"/>
      <c r="M18" s="74"/>
    </row>
    <row r="19" spans="1:13" ht="21.75" customHeight="1" x14ac:dyDescent="0.25">
      <c r="A19" s="46" t="s">
        <v>158</v>
      </c>
      <c r="B19" s="46" t="s">
        <v>43</v>
      </c>
      <c r="C19" s="46" t="s">
        <v>155</v>
      </c>
      <c r="D19" s="47" t="s">
        <v>152</v>
      </c>
      <c r="E19" s="48">
        <v>44606</v>
      </c>
      <c r="F19" s="73">
        <v>7459.9980000000005</v>
      </c>
      <c r="G19" s="104">
        <v>7.0000000000000001E-3</v>
      </c>
      <c r="H19" s="105">
        <f t="shared" si="0"/>
        <v>7512.2179859999997</v>
      </c>
      <c r="I19" s="73">
        <f>((H19-F19)/365)*M$1</f>
        <v>8.4410388328765755</v>
      </c>
      <c r="K19" s="44"/>
      <c r="L19" s="81"/>
      <c r="M19" s="74"/>
    </row>
    <row r="20" spans="1:13" ht="21.75" customHeight="1" x14ac:dyDescent="0.25">
      <c r="A20" s="46" t="s">
        <v>156</v>
      </c>
      <c r="B20" s="46" t="s">
        <v>60</v>
      </c>
      <c r="C20" s="46" t="s">
        <v>155</v>
      </c>
      <c r="D20" s="47" t="s">
        <v>152</v>
      </c>
      <c r="E20" s="48">
        <v>44858</v>
      </c>
      <c r="F20" s="73">
        <v>7459.9980000000005</v>
      </c>
      <c r="G20" s="104">
        <v>7.0000000000000001E-3</v>
      </c>
      <c r="H20" s="105">
        <f t="shared" si="0"/>
        <v>7512.2179859999997</v>
      </c>
      <c r="I20" s="73">
        <f>((H20-F20)/365)*M$1</f>
        <v>8.4410388328765755</v>
      </c>
      <c r="K20" s="44"/>
      <c r="L20" s="81"/>
      <c r="M20" s="74"/>
    </row>
    <row r="21" spans="1:13" ht="21.4" customHeight="1" x14ac:dyDescent="0.25">
      <c r="A21" s="46" t="s">
        <v>159</v>
      </c>
      <c r="B21" s="46" t="s">
        <v>61</v>
      </c>
      <c r="C21" s="46" t="s">
        <v>155</v>
      </c>
      <c r="D21" s="47" t="s">
        <v>152</v>
      </c>
      <c r="E21" s="48">
        <v>44845</v>
      </c>
      <c r="F21" s="73">
        <v>7459.9980000000005</v>
      </c>
      <c r="G21" s="104">
        <v>7.0000000000000001E-3</v>
      </c>
      <c r="H21" s="105">
        <f t="shared" si="0"/>
        <v>7512.2179859999997</v>
      </c>
      <c r="I21" s="73">
        <f>((H21-F21)/365)*M$1</f>
        <v>8.4410388328765755</v>
      </c>
      <c r="K21" s="44"/>
      <c r="L21" s="81"/>
      <c r="M21" s="74"/>
    </row>
    <row r="22" spans="1:13" ht="21.75" customHeight="1" x14ac:dyDescent="0.25">
      <c r="A22" s="46" t="s">
        <v>156</v>
      </c>
      <c r="B22" s="59" t="s">
        <v>51</v>
      </c>
      <c r="C22" s="46" t="s">
        <v>155</v>
      </c>
      <c r="D22" s="47" t="s">
        <v>152</v>
      </c>
      <c r="E22" s="50">
        <v>44777</v>
      </c>
      <c r="F22" s="73">
        <v>7459.9980000000005</v>
      </c>
      <c r="G22" s="104">
        <v>7.0000000000000001E-3</v>
      </c>
      <c r="H22" s="105">
        <f t="shared" si="0"/>
        <v>7512.2179859999997</v>
      </c>
      <c r="I22" s="73">
        <f>((H22-F22)/365)*M$1</f>
        <v>8.4410388328765755</v>
      </c>
      <c r="K22" s="44"/>
      <c r="L22" s="81"/>
      <c r="M22" s="74"/>
    </row>
    <row r="23" spans="1:13" ht="21.75" customHeight="1" x14ac:dyDescent="0.25">
      <c r="A23" s="46" t="s">
        <v>156</v>
      </c>
      <c r="B23" s="59" t="s">
        <v>55</v>
      </c>
      <c r="C23" s="46" t="s">
        <v>155</v>
      </c>
      <c r="D23" s="47" t="s">
        <v>152</v>
      </c>
      <c r="E23" s="50">
        <v>44635</v>
      </c>
      <c r="F23" s="73">
        <v>7459.9980000000005</v>
      </c>
      <c r="G23" s="104">
        <v>7.0000000000000001E-3</v>
      </c>
      <c r="H23" s="105">
        <f t="shared" si="0"/>
        <v>7512.2179859999997</v>
      </c>
      <c r="I23" s="73">
        <f>((H23-F23)/365)*M$1</f>
        <v>8.4410388328765755</v>
      </c>
      <c r="K23" s="44"/>
      <c r="L23" s="81"/>
      <c r="M23" s="74"/>
    </row>
    <row r="24" spans="1:13" ht="21.75" customHeight="1" x14ac:dyDescent="0.25">
      <c r="A24" s="46" t="s">
        <v>157</v>
      </c>
      <c r="B24" s="59" t="s">
        <v>64</v>
      </c>
      <c r="C24" s="46" t="s">
        <v>155</v>
      </c>
      <c r="D24" s="47" t="s">
        <v>152</v>
      </c>
      <c r="E24" s="50">
        <v>44616</v>
      </c>
      <c r="F24" s="73">
        <v>10329.227999999999</v>
      </c>
      <c r="G24" s="104">
        <v>7.0000000000000001E-3</v>
      </c>
      <c r="H24" s="105">
        <f t="shared" si="0"/>
        <v>10401.532595999997</v>
      </c>
      <c r="I24" s="73">
        <f>((H24-F24)/365)*M$1</f>
        <v>11.687592230136683</v>
      </c>
      <c r="K24" s="44"/>
      <c r="L24" s="81"/>
      <c r="M24" s="74"/>
    </row>
    <row r="25" spans="1:13" ht="21.75" customHeight="1" thickBot="1" x14ac:dyDescent="0.3">
      <c r="A25" s="46" t="s">
        <v>158</v>
      </c>
      <c r="B25" s="54" t="s">
        <v>117</v>
      </c>
      <c r="C25" s="46" t="s">
        <v>155</v>
      </c>
      <c r="D25" s="47" t="s">
        <v>152</v>
      </c>
      <c r="E25" s="55">
        <v>44732</v>
      </c>
      <c r="F25" s="75">
        <v>8894.6129999999994</v>
      </c>
      <c r="G25" s="106">
        <v>7.0000000000000001E-3</v>
      </c>
      <c r="H25" s="107">
        <f>F25*(1+G25)</f>
        <v>8956.8752909999985</v>
      </c>
      <c r="I25" s="75">
        <f>((H25-F25)/365)*M$1</f>
        <v>10.064315531506702</v>
      </c>
      <c r="K25" s="44"/>
      <c r="L25" s="81"/>
      <c r="M25" s="74"/>
    </row>
    <row r="26" spans="1:13" ht="21.75" customHeight="1" x14ac:dyDescent="0.25">
      <c r="A26" s="46" t="s">
        <v>159</v>
      </c>
      <c r="B26" s="46" t="s">
        <v>62</v>
      </c>
      <c r="C26" s="46" t="s">
        <v>155</v>
      </c>
      <c r="D26" s="47" t="s">
        <v>152</v>
      </c>
      <c r="E26" s="48">
        <v>44883</v>
      </c>
      <c r="F26" s="76">
        <v>9413.8069999999989</v>
      </c>
      <c r="G26" s="108">
        <v>7.0000000000000001E-3</v>
      </c>
      <c r="H26" s="109">
        <f>F26*(1+G26)</f>
        <v>9479.7036489999973</v>
      </c>
      <c r="I26" s="76">
        <f>((H26-F26)/365)*M$1</f>
        <v>10.651787098629883</v>
      </c>
      <c r="K26" s="44"/>
      <c r="L26" s="81"/>
      <c r="M26" s="74"/>
    </row>
    <row r="27" spans="1:13" ht="21.75" customHeight="1" x14ac:dyDescent="0.25">
      <c r="A27" s="46" t="s">
        <v>158</v>
      </c>
      <c r="B27" s="46" t="s">
        <v>65</v>
      </c>
      <c r="C27" s="46" t="s">
        <v>155</v>
      </c>
      <c r="D27" s="47" t="s">
        <v>152</v>
      </c>
      <c r="E27" s="48">
        <v>44890</v>
      </c>
      <c r="F27" s="76">
        <v>6831.5</v>
      </c>
      <c r="G27" s="108">
        <v>7.0000000000000001E-3</v>
      </c>
      <c r="H27" s="105">
        <f t="shared" ref="H27:H55" si="1">F27*(1+G27)</f>
        <v>6879.3204999999989</v>
      </c>
      <c r="I27" s="73">
        <f>((H27-F27)/365)*M$1</f>
        <v>7.7298890410957126</v>
      </c>
      <c r="K27" s="44"/>
      <c r="L27" s="81"/>
      <c r="M27" s="74"/>
    </row>
    <row r="28" spans="1:13" ht="21.75" customHeight="1" x14ac:dyDescent="0.25">
      <c r="A28" s="46" t="s">
        <v>156</v>
      </c>
      <c r="B28" s="46" t="s">
        <v>118</v>
      </c>
      <c r="C28" s="46" t="s">
        <v>155</v>
      </c>
      <c r="D28" s="47" t="s">
        <v>152</v>
      </c>
      <c r="E28" s="48">
        <v>44907</v>
      </c>
      <c r="F28" s="76">
        <v>6831.5</v>
      </c>
      <c r="G28" s="108">
        <v>7.0000000000000001E-3</v>
      </c>
      <c r="H28" s="105">
        <f t="shared" si="1"/>
        <v>6879.3204999999989</v>
      </c>
      <c r="I28" s="73">
        <f>((H28-F28)/365)*M$1</f>
        <v>7.7298890410957126</v>
      </c>
      <c r="K28" s="44"/>
      <c r="L28" s="81"/>
      <c r="M28" s="74"/>
    </row>
    <row r="29" spans="1:13" ht="21.75" customHeight="1" x14ac:dyDescent="0.25">
      <c r="A29" s="46" t="s">
        <v>158</v>
      </c>
      <c r="B29" s="46" t="s">
        <v>119</v>
      </c>
      <c r="C29" s="46" t="s">
        <v>155</v>
      </c>
      <c r="D29" s="47" t="s">
        <v>152</v>
      </c>
      <c r="E29" s="48">
        <v>44907</v>
      </c>
      <c r="F29" s="76">
        <v>6831.5</v>
      </c>
      <c r="G29" s="108">
        <v>7.0000000000000001E-3</v>
      </c>
      <c r="H29" s="105">
        <f t="shared" si="1"/>
        <v>6879.3204999999989</v>
      </c>
      <c r="I29" s="73">
        <f>((H29-F29)/365)*M$1</f>
        <v>7.7298890410957126</v>
      </c>
      <c r="K29" s="44"/>
      <c r="L29" s="81"/>
      <c r="M29" s="74"/>
    </row>
    <row r="30" spans="1:13" ht="21.75" customHeight="1" x14ac:dyDescent="0.25">
      <c r="A30" s="46" t="s">
        <v>158</v>
      </c>
      <c r="B30" s="46" t="s">
        <v>66</v>
      </c>
      <c r="C30" s="46" t="s">
        <v>155</v>
      </c>
      <c r="D30" s="47" t="s">
        <v>152</v>
      </c>
      <c r="E30" s="48">
        <v>44915</v>
      </c>
      <c r="F30" s="76">
        <v>6831.5</v>
      </c>
      <c r="G30" s="108">
        <v>7.0000000000000001E-3</v>
      </c>
      <c r="H30" s="105">
        <f t="shared" si="1"/>
        <v>6879.3204999999989</v>
      </c>
      <c r="I30" s="73">
        <f>((H30-F30)/365)*M$1</f>
        <v>7.7298890410957126</v>
      </c>
      <c r="K30" s="44"/>
      <c r="L30" s="81"/>
      <c r="M30" s="74"/>
    </row>
    <row r="31" spans="1:13" ht="21.75" customHeight="1" x14ac:dyDescent="0.25">
      <c r="A31" s="46" t="s">
        <v>160</v>
      </c>
      <c r="B31" s="46" t="s">
        <v>68</v>
      </c>
      <c r="C31" s="46" t="s">
        <v>155</v>
      </c>
      <c r="D31" s="47" t="s">
        <v>152</v>
      </c>
      <c r="E31" s="48">
        <v>44984</v>
      </c>
      <c r="F31" s="76">
        <v>11651.806400000001</v>
      </c>
      <c r="G31" s="108">
        <v>7.0000000000000001E-3</v>
      </c>
      <c r="H31" s="105">
        <f t="shared" si="1"/>
        <v>11733.3690448</v>
      </c>
      <c r="I31" s="73">
        <f>((H31-F31)/365)*M$1</f>
        <v>13.1840987484929</v>
      </c>
      <c r="K31" s="44"/>
      <c r="L31" s="81"/>
      <c r="M31" s="74"/>
    </row>
    <row r="32" spans="1:13" ht="21.75" customHeight="1" x14ac:dyDescent="0.25">
      <c r="A32" s="46" t="s">
        <v>158</v>
      </c>
      <c r="B32" s="46" t="s">
        <v>69</v>
      </c>
      <c r="C32" s="46" t="s">
        <v>155</v>
      </c>
      <c r="D32" s="47" t="s">
        <v>152</v>
      </c>
      <c r="E32" s="48">
        <v>44984</v>
      </c>
      <c r="F32" s="76">
        <v>10849</v>
      </c>
      <c r="G32" s="108">
        <v>7.0000000000000001E-3</v>
      </c>
      <c r="H32" s="105">
        <f t="shared" si="1"/>
        <v>10924.942999999999</v>
      </c>
      <c r="I32" s="73">
        <f>((H32-F32)/365)*M$1</f>
        <v>12.275717808219065</v>
      </c>
      <c r="K32" s="44"/>
      <c r="L32" s="81"/>
      <c r="M32" s="74"/>
    </row>
    <row r="33" spans="1:13" ht="21.75" customHeight="1" x14ac:dyDescent="0.25">
      <c r="A33" s="46" t="s">
        <v>156</v>
      </c>
      <c r="B33" s="46" t="s">
        <v>70</v>
      </c>
      <c r="C33" s="46" t="s">
        <v>155</v>
      </c>
      <c r="D33" s="47" t="s">
        <v>152</v>
      </c>
      <c r="E33" s="48">
        <v>45050</v>
      </c>
      <c r="F33" s="76">
        <v>6831.5</v>
      </c>
      <c r="G33" s="108">
        <v>7.0000000000000001E-3</v>
      </c>
      <c r="H33" s="105">
        <f t="shared" si="1"/>
        <v>6879.3204999999989</v>
      </c>
      <c r="I33" s="73">
        <f>((H33-F33)/365)*M$1</f>
        <v>7.7298890410957126</v>
      </c>
      <c r="K33" s="44"/>
      <c r="L33" s="81"/>
      <c r="M33" s="74"/>
    </row>
    <row r="34" spans="1:13" ht="21.75" customHeight="1" x14ac:dyDescent="0.25">
      <c r="A34" s="46" t="s">
        <v>161</v>
      </c>
      <c r="B34" s="46" t="s">
        <v>71</v>
      </c>
      <c r="C34" s="46" t="s">
        <v>155</v>
      </c>
      <c r="D34" s="47" t="s">
        <v>152</v>
      </c>
      <c r="E34" s="48">
        <v>45050</v>
      </c>
      <c r="F34" s="76">
        <v>6831.5</v>
      </c>
      <c r="G34" s="108">
        <v>7.0000000000000001E-3</v>
      </c>
      <c r="H34" s="105">
        <f t="shared" si="1"/>
        <v>6879.3204999999989</v>
      </c>
      <c r="I34" s="73">
        <f>((H34-F34)/365)*M$1</f>
        <v>7.7298890410957126</v>
      </c>
      <c r="K34" s="44"/>
      <c r="L34" s="81"/>
      <c r="M34" s="74"/>
    </row>
    <row r="35" spans="1:13" ht="21.75" customHeight="1" x14ac:dyDescent="0.25">
      <c r="A35" s="46" t="s">
        <v>158</v>
      </c>
      <c r="B35" s="46" t="s">
        <v>72</v>
      </c>
      <c r="C35" s="46" t="s">
        <v>155</v>
      </c>
      <c r="D35" s="47" t="s">
        <v>152</v>
      </c>
      <c r="E35" s="48">
        <v>45061</v>
      </c>
      <c r="F35" s="76">
        <v>6831.5</v>
      </c>
      <c r="G35" s="108">
        <v>7.0000000000000001E-3</v>
      </c>
      <c r="H35" s="105">
        <f t="shared" si="1"/>
        <v>6879.3204999999989</v>
      </c>
      <c r="I35" s="73">
        <f>((H35-F35)/365)*M$1</f>
        <v>7.7298890410957126</v>
      </c>
      <c r="K35" s="44"/>
      <c r="L35" s="81"/>
      <c r="M35" s="74"/>
    </row>
    <row r="36" spans="1:13" ht="21.75" customHeight="1" x14ac:dyDescent="0.25">
      <c r="A36" s="46" t="s">
        <v>158</v>
      </c>
      <c r="B36" s="46" t="s">
        <v>73</v>
      </c>
      <c r="C36" s="46" t="s">
        <v>155</v>
      </c>
      <c r="D36" s="47" t="s">
        <v>152</v>
      </c>
      <c r="E36" s="48">
        <v>45064</v>
      </c>
      <c r="F36" s="76">
        <v>6831.5</v>
      </c>
      <c r="G36" s="108">
        <v>7.0000000000000001E-3</v>
      </c>
      <c r="H36" s="105">
        <f t="shared" si="1"/>
        <v>6879.3204999999989</v>
      </c>
      <c r="I36" s="73">
        <f>((H36-F36)/365)*M$1</f>
        <v>7.7298890410957126</v>
      </c>
      <c r="K36" s="44"/>
      <c r="L36" s="81"/>
      <c r="M36" s="74"/>
    </row>
    <row r="37" spans="1:13" ht="21.75" customHeight="1" x14ac:dyDescent="0.25">
      <c r="A37" s="46" t="s">
        <v>156</v>
      </c>
      <c r="B37" s="46" t="s">
        <v>74</v>
      </c>
      <c r="C37" s="46" t="s">
        <v>155</v>
      </c>
      <c r="D37" s="47" t="s">
        <v>152</v>
      </c>
      <c r="E37" s="48">
        <v>45068</v>
      </c>
      <c r="F37" s="76">
        <v>6831.5</v>
      </c>
      <c r="G37" s="108">
        <v>7.0000000000000001E-3</v>
      </c>
      <c r="H37" s="105">
        <f t="shared" si="1"/>
        <v>6879.3204999999989</v>
      </c>
      <c r="I37" s="73">
        <f>((H37-F37)/365)*M$1</f>
        <v>7.7298890410957126</v>
      </c>
      <c r="K37" s="44"/>
      <c r="L37" s="81"/>
      <c r="M37" s="74"/>
    </row>
    <row r="38" spans="1:13" ht="21.75" customHeight="1" x14ac:dyDescent="0.25">
      <c r="A38" s="46" t="s">
        <v>159</v>
      </c>
      <c r="B38" s="46" t="s">
        <v>75</v>
      </c>
      <c r="C38" s="46" t="s">
        <v>155</v>
      </c>
      <c r="D38" s="47" t="s">
        <v>152</v>
      </c>
      <c r="E38" s="48">
        <v>45033</v>
      </c>
      <c r="F38" s="76">
        <v>11135.344999999999</v>
      </c>
      <c r="G38" s="108">
        <v>7.0000000000000001E-3</v>
      </c>
      <c r="H38" s="105">
        <f t="shared" si="1"/>
        <v>11213.292414999998</v>
      </c>
      <c r="I38" s="73">
        <f>((H38-F38)/365)*M$1</f>
        <v>12.599719136986096</v>
      </c>
      <c r="K38" s="44"/>
      <c r="L38" s="81"/>
      <c r="M38" s="74"/>
    </row>
    <row r="39" spans="1:13" ht="21.75" customHeight="1" x14ac:dyDescent="0.25">
      <c r="A39" s="46" t="s">
        <v>156</v>
      </c>
      <c r="B39" s="86" t="s">
        <v>120</v>
      </c>
      <c r="C39" s="46" t="s">
        <v>155</v>
      </c>
      <c r="D39" s="47" t="s">
        <v>152</v>
      </c>
      <c r="E39" s="48">
        <v>45089</v>
      </c>
      <c r="F39" s="76">
        <v>12865.921999999999</v>
      </c>
      <c r="G39" s="108">
        <v>7.0000000000000001E-3</v>
      </c>
      <c r="H39" s="105">
        <f t="shared" si="1"/>
        <v>12955.983453999997</v>
      </c>
      <c r="I39" s="73">
        <f>((H39-F39)/365)*M$1</f>
        <v>14.557878865753226</v>
      </c>
      <c r="K39" s="44"/>
      <c r="L39" s="81"/>
      <c r="M39" s="74"/>
    </row>
    <row r="40" spans="1:13" ht="21.75" customHeight="1" x14ac:dyDescent="0.25">
      <c r="A40" s="46" t="s">
        <v>156</v>
      </c>
      <c r="B40" s="46" t="s">
        <v>76</v>
      </c>
      <c r="C40" s="46" t="s">
        <v>155</v>
      </c>
      <c r="D40" s="47" t="s">
        <v>152</v>
      </c>
      <c r="E40" s="48">
        <v>45096</v>
      </c>
      <c r="F40" s="76">
        <v>9413.8069999999989</v>
      </c>
      <c r="G40" s="108">
        <v>7.0000000000000001E-3</v>
      </c>
      <c r="H40" s="105">
        <f t="shared" si="1"/>
        <v>9479.7036489999973</v>
      </c>
      <c r="I40" s="73">
        <f>((H40-F40)/365)*M$1</f>
        <v>10.651787098629883</v>
      </c>
      <c r="K40" s="44"/>
      <c r="L40" s="81"/>
      <c r="M40" s="74"/>
    </row>
    <row r="41" spans="1:13" ht="21.75" customHeight="1" x14ac:dyDescent="0.25">
      <c r="A41" s="46" t="s">
        <v>157</v>
      </c>
      <c r="B41" s="46" t="s">
        <v>77</v>
      </c>
      <c r="C41" s="46" t="s">
        <v>155</v>
      </c>
      <c r="D41" s="47" t="s">
        <v>152</v>
      </c>
      <c r="E41" s="48">
        <v>45106</v>
      </c>
      <c r="F41" s="76">
        <v>9939</v>
      </c>
      <c r="G41" s="108">
        <v>7.0000000000000001E-3</v>
      </c>
      <c r="H41" s="105">
        <f t="shared" si="1"/>
        <v>10008.572999999999</v>
      </c>
      <c r="I41" s="73">
        <f>((H41-F41)/365)*M$1</f>
        <v>11.246046575342223</v>
      </c>
      <c r="K41" s="44"/>
      <c r="L41" s="81"/>
      <c r="M41" s="74"/>
    </row>
    <row r="42" spans="1:13" ht="21.75" customHeight="1" x14ac:dyDescent="0.25">
      <c r="A42" s="46" t="s">
        <v>158</v>
      </c>
      <c r="B42" s="46" t="s">
        <v>121</v>
      </c>
      <c r="C42" s="46" t="s">
        <v>155</v>
      </c>
      <c r="D42" s="47" t="s">
        <v>152</v>
      </c>
      <c r="E42" s="48">
        <v>45125</v>
      </c>
      <c r="F42" s="76">
        <v>6831.5</v>
      </c>
      <c r="G42" s="108">
        <v>7.0000000000000001E-3</v>
      </c>
      <c r="H42" s="105">
        <f t="shared" si="1"/>
        <v>6879.3204999999989</v>
      </c>
      <c r="I42" s="73">
        <f>((H42-F42)/365)*M$1</f>
        <v>7.7298890410957126</v>
      </c>
      <c r="K42" s="44"/>
      <c r="L42" s="81"/>
      <c r="M42" s="74"/>
    </row>
    <row r="43" spans="1:13" ht="21.75" customHeight="1" x14ac:dyDescent="0.25">
      <c r="A43" s="46" t="s">
        <v>159</v>
      </c>
      <c r="B43" s="46" t="s">
        <v>78</v>
      </c>
      <c r="C43" s="46" t="s">
        <v>155</v>
      </c>
      <c r="D43" s="47" t="s">
        <v>152</v>
      </c>
      <c r="E43" s="48">
        <v>45138</v>
      </c>
      <c r="F43" s="76">
        <v>6831.5</v>
      </c>
      <c r="G43" s="108">
        <v>7.0000000000000001E-3</v>
      </c>
      <c r="H43" s="105">
        <f t="shared" si="1"/>
        <v>6879.3204999999989</v>
      </c>
      <c r="I43" s="73">
        <f>((H43-F43)/365)*M$1</f>
        <v>7.7298890410957126</v>
      </c>
      <c r="K43" s="44"/>
      <c r="L43" s="81"/>
      <c r="M43" s="74"/>
    </row>
    <row r="44" spans="1:13" ht="21.75" customHeight="1" x14ac:dyDescent="0.25">
      <c r="A44" s="46" t="s">
        <v>158</v>
      </c>
      <c r="B44" s="46" t="s">
        <v>122</v>
      </c>
      <c r="C44" s="46" t="s">
        <v>155</v>
      </c>
      <c r="D44" s="47" t="s">
        <v>152</v>
      </c>
      <c r="E44" s="48">
        <v>45133</v>
      </c>
      <c r="F44" s="76">
        <v>6831.5</v>
      </c>
      <c r="G44" s="108">
        <v>7.0000000000000001E-3</v>
      </c>
      <c r="H44" s="105">
        <f t="shared" si="1"/>
        <v>6879.3204999999989</v>
      </c>
      <c r="I44" s="73">
        <f>((H44-F44)/365)*M$1</f>
        <v>7.7298890410957126</v>
      </c>
      <c r="K44" s="44"/>
      <c r="L44" s="81"/>
      <c r="M44" s="74"/>
    </row>
    <row r="45" spans="1:13" ht="21.75" customHeight="1" x14ac:dyDescent="0.25">
      <c r="A45" s="46" t="s">
        <v>156</v>
      </c>
      <c r="B45" s="46" t="s">
        <v>79</v>
      </c>
      <c r="C45" s="46" t="s">
        <v>155</v>
      </c>
      <c r="D45" s="47" t="s">
        <v>152</v>
      </c>
      <c r="E45" s="48">
        <v>45147</v>
      </c>
      <c r="F45" s="76">
        <v>6831.5</v>
      </c>
      <c r="G45" s="108">
        <v>7.0000000000000001E-3</v>
      </c>
      <c r="H45" s="105">
        <f t="shared" si="1"/>
        <v>6879.3204999999989</v>
      </c>
      <c r="I45" s="73">
        <f>((H45-F45)/365)*M$1</f>
        <v>7.7298890410957126</v>
      </c>
      <c r="K45" s="44"/>
      <c r="L45" s="81"/>
      <c r="M45" s="74"/>
    </row>
    <row r="46" spans="1:13" ht="21.75" customHeight="1" x14ac:dyDescent="0.25">
      <c r="A46" s="46" t="s">
        <v>158</v>
      </c>
      <c r="B46" s="46" t="s">
        <v>81</v>
      </c>
      <c r="C46" s="46" t="s">
        <v>155</v>
      </c>
      <c r="D46" s="47" t="s">
        <v>152</v>
      </c>
      <c r="E46" s="48">
        <v>45117</v>
      </c>
      <c r="F46" s="76">
        <v>9413.8069999999989</v>
      </c>
      <c r="G46" s="108">
        <v>7.0000000000000001E-3</v>
      </c>
      <c r="H46" s="105">
        <f t="shared" si="1"/>
        <v>9479.7036489999973</v>
      </c>
      <c r="I46" s="73">
        <f>((H46-F46)/365)*M$1</f>
        <v>10.651787098629883</v>
      </c>
      <c r="K46" s="74"/>
      <c r="L46" s="81"/>
      <c r="M46" s="74"/>
    </row>
    <row r="47" spans="1:13" ht="21.75" customHeight="1" x14ac:dyDescent="0.25">
      <c r="A47" s="46" t="s">
        <v>158</v>
      </c>
      <c r="B47" s="86" t="s">
        <v>123</v>
      </c>
      <c r="C47" s="46" t="s">
        <v>155</v>
      </c>
      <c r="D47" s="47" t="s">
        <v>152</v>
      </c>
      <c r="E47" s="50">
        <v>45161</v>
      </c>
      <c r="F47" s="73">
        <v>7577.7099999999991</v>
      </c>
      <c r="G47" s="108">
        <v>7.0000000000000001E-3</v>
      </c>
      <c r="H47" s="105">
        <f t="shared" si="1"/>
        <v>7630.7539699999979</v>
      </c>
      <c r="I47" s="73">
        <f>((H47-F47)/365)*M$1</f>
        <v>8.574230767123094</v>
      </c>
      <c r="K47" s="74"/>
      <c r="L47" s="81"/>
      <c r="M47" s="74"/>
    </row>
    <row r="48" spans="1:13" ht="21.75" customHeight="1" x14ac:dyDescent="0.25">
      <c r="A48" s="46" t="s">
        <v>160</v>
      </c>
      <c r="B48" s="46" t="s">
        <v>82</v>
      </c>
      <c r="C48" s="46" t="s">
        <v>155</v>
      </c>
      <c r="D48" s="47" t="s">
        <v>152</v>
      </c>
      <c r="E48" s="50">
        <v>45166</v>
      </c>
      <c r="F48" s="73">
        <v>6831.5</v>
      </c>
      <c r="G48" s="108">
        <v>7.0000000000000001E-3</v>
      </c>
      <c r="H48" s="105">
        <f t="shared" si="1"/>
        <v>6879.3204999999989</v>
      </c>
      <c r="I48" s="73">
        <f>((H48-F48)/365)*M$1</f>
        <v>7.7298890410957126</v>
      </c>
      <c r="K48" s="74"/>
      <c r="L48" s="81"/>
      <c r="M48" s="74"/>
    </row>
    <row r="49" spans="1:13" ht="21.75" customHeight="1" x14ac:dyDescent="0.25">
      <c r="A49" s="46" t="s">
        <v>158</v>
      </c>
      <c r="B49" s="46" t="s">
        <v>124</v>
      </c>
      <c r="C49" s="46" t="s">
        <v>155</v>
      </c>
      <c r="D49" s="47" t="s">
        <v>152</v>
      </c>
      <c r="E49" s="50">
        <v>45166</v>
      </c>
      <c r="F49" s="73">
        <v>6831.5</v>
      </c>
      <c r="G49" s="108">
        <v>7.0000000000000001E-3</v>
      </c>
      <c r="H49" s="105">
        <f t="shared" si="1"/>
        <v>6879.3204999999989</v>
      </c>
      <c r="I49" s="73">
        <f>((H49-F49)/365)*M$1</f>
        <v>7.7298890410957126</v>
      </c>
      <c r="K49" s="74"/>
      <c r="L49" s="81"/>
      <c r="M49" s="74"/>
    </row>
    <row r="50" spans="1:13" ht="21.75" customHeight="1" x14ac:dyDescent="0.25">
      <c r="A50" s="46" t="s">
        <v>156</v>
      </c>
      <c r="B50" s="46" t="s">
        <v>83</v>
      </c>
      <c r="C50" s="46" t="s">
        <v>155</v>
      </c>
      <c r="D50" s="47" t="s">
        <v>152</v>
      </c>
      <c r="E50" s="50">
        <v>45166</v>
      </c>
      <c r="F50" s="73">
        <v>6831.5</v>
      </c>
      <c r="G50" s="108">
        <v>7.0000000000000001E-3</v>
      </c>
      <c r="H50" s="105">
        <f t="shared" si="1"/>
        <v>6879.3204999999989</v>
      </c>
      <c r="I50" s="73">
        <f>((H50-F50)/365)*M$1</f>
        <v>7.7298890410957126</v>
      </c>
      <c r="K50" s="74"/>
      <c r="L50" s="81"/>
      <c r="M50" s="74"/>
    </row>
    <row r="51" spans="1:13" ht="21.75" customHeight="1" x14ac:dyDescent="0.25">
      <c r="A51" s="46" t="s">
        <v>161</v>
      </c>
      <c r="B51" s="46" t="s">
        <v>84</v>
      </c>
      <c r="C51" s="46" t="s">
        <v>155</v>
      </c>
      <c r="D51" s="47" t="s">
        <v>152</v>
      </c>
      <c r="E51" s="50">
        <v>45190</v>
      </c>
      <c r="F51" s="73">
        <v>6831.5</v>
      </c>
      <c r="G51" s="108">
        <v>7.0000000000000001E-3</v>
      </c>
      <c r="H51" s="105">
        <f t="shared" si="1"/>
        <v>6879.3204999999989</v>
      </c>
      <c r="I51" s="73">
        <f>((H51-F51)/365)*M$1</f>
        <v>7.7298890410957126</v>
      </c>
      <c r="K51" s="74"/>
      <c r="L51" s="81"/>
      <c r="M51" s="74"/>
    </row>
    <row r="52" spans="1:13" ht="21.75" customHeight="1" x14ac:dyDescent="0.25">
      <c r="A52" s="46" t="s">
        <v>158</v>
      </c>
      <c r="B52" s="46" t="s">
        <v>125</v>
      </c>
      <c r="C52" s="46" t="s">
        <v>155</v>
      </c>
      <c r="D52" s="47" t="s">
        <v>152</v>
      </c>
      <c r="E52" s="50">
        <v>45174</v>
      </c>
      <c r="F52" s="73">
        <v>9413.8069999999989</v>
      </c>
      <c r="G52" s="108">
        <v>7.0000000000000001E-3</v>
      </c>
      <c r="H52" s="105">
        <f t="shared" si="1"/>
        <v>9479.7036489999973</v>
      </c>
      <c r="I52" s="73">
        <f>((H52-F52)/365)*M$1</f>
        <v>10.651787098629883</v>
      </c>
      <c r="K52" s="74"/>
      <c r="L52" s="81"/>
      <c r="M52" s="74"/>
    </row>
    <row r="53" spans="1:13" ht="21.75" customHeight="1" x14ac:dyDescent="0.25">
      <c r="A53" s="46" t="s">
        <v>158</v>
      </c>
      <c r="B53" s="46" t="s">
        <v>85</v>
      </c>
      <c r="C53" s="46" t="s">
        <v>155</v>
      </c>
      <c r="D53" s="47" t="s">
        <v>152</v>
      </c>
      <c r="E53" s="50">
        <v>45218</v>
      </c>
      <c r="F53" s="73">
        <v>6831.5</v>
      </c>
      <c r="G53" s="108">
        <v>7.0000000000000001E-3</v>
      </c>
      <c r="H53" s="105">
        <f t="shared" si="1"/>
        <v>6879.3204999999989</v>
      </c>
      <c r="I53" s="73">
        <f>((H53-F53)/365)*M$1</f>
        <v>7.7298890410957126</v>
      </c>
      <c r="K53" s="74"/>
      <c r="L53" s="81"/>
      <c r="M53" s="74"/>
    </row>
    <row r="54" spans="1:13" ht="21.75" customHeight="1" thickBot="1" x14ac:dyDescent="0.3">
      <c r="A54" s="46" t="s">
        <v>156</v>
      </c>
      <c r="B54" s="54" t="s">
        <v>86</v>
      </c>
      <c r="C54" s="46" t="s">
        <v>155</v>
      </c>
      <c r="D54" s="47" t="s">
        <v>152</v>
      </c>
      <c r="E54" s="50">
        <v>45232</v>
      </c>
      <c r="F54" s="73">
        <v>11135.5</v>
      </c>
      <c r="G54" s="108">
        <v>7.0000000000000001E-3</v>
      </c>
      <c r="H54" s="105">
        <f t="shared" si="1"/>
        <v>11213.448499999999</v>
      </c>
      <c r="I54" s="73">
        <f>((H54-F54)/365)*M$1</f>
        <v>12.59989452054772</v>
      </c>
      <c r="K54" s="74"/>
      <c r="L54" s="81"/>
      <c r="M54" s="74"/>
    </row>
    <row r="55" spans="1:13" ht="21.75" customHeight="1" x14ac:dyDescent="0.25">
      <c r="A55" s="46" t="s">
        <v>159</v>
      </c>
      <c r="B55" s="86" t="s">
        <v>126</v>
      </c>
      <c r="C55" s="46" t="s">
        <v>155</v>
      </c>
      <c r="D55" s="47" t="s">
        <v>152</v>
      </c>
      <c r="E55" s="56">
        <v>45072</v>
      </c>
      <c r="F55" s="77">
        <v>1051</v>
      </c>
      <c r="G55" s="110">
        <v>7.0000000000000001E-3</v>
      </c>
      <c r="H55" s="111">
        <f t="shared" si="1"/>
        <v>1058.357</v>
      </c>
      <c r="I55" s="77">
        <f>((H55-F55)/365)*M$1</f>
        <v>1.1892136986301323</v>
      </c>
      <c r="K55" s="44"/>
      <c r="L55" s="81"/>
      <c r="M55" s="74"/>
    </row>
    <row r="56" spans="1:13" ht="21.75" customHeight="1" thickBot="1" x14ac:dyDescent="0.3">
      <c r="A56" s="46" t="s">
        <v>156</v>
      </c>
      <c r="B56" s="57" t="s">
        <v>80</v>
      </c>
      <c r="C56" s="46" t="s">
        <v>155</v>
      </c>
      <c r="D56" s="47" t="s">
        <v>152</v>
      </c>
      <c r="E56" s="55">
        <v>45223</v>
      </c>
      <c r="F56" s="75">
        <v>525.5</v>
      </c>
      <c r="G56" s="106">
        <v>7.0000000000000001E-3</v>
      </c>
      <c r="H56" s="107">
        <f>F56*(1+G56)</f>
        <v>529.17849999999999</v>
      </c>
      <c r="I56" s="75">
        <f>((H56-F56)/365)*M$1</f>
        <v>0.59460684931506613</v>
      </c>
      <c r="K56" s="44"/>
      <c r="L56" s="81"/>
      <c r="M56" s="74"/>
    </row>
    <row r="57" spans="1:13" ht="21.75" customHeight="1" x14ac:dyDescent="0.25">
      <c r="A57" s="46" t="s">
        <v>156</v>
      </c>
      <c r="B57" s="46" t="s">
        <v>87</v>
      </c>
      <c r="C57" s="46" t="s">
        <v>155</v>
      </c>
      <c r="D57" s="47" t="s">
        <v>152</v>
      </c>
      <c r="E57" s="50">
        <v>45240</v>
      </c>
      <c r="F57" s="73">
        <v>9082</v>
      </c>
      <c r="G57" s="104">
        <v>7.0000000000000001E-3</v>
      </c>
      <c r="H57" s="105">
        <f t="shared" ref="H57:H73" si="2">F57*(1+G57)</f>
        <v>9145.5739999999987</v>
      </c>
      <c r="I57" s="73">
        <f>((H57-F57)/365)*M$1</f>
        <v>10.276345205479242</v>
      </c>
      <c r="K57" s="44"/>
      <c r="L57" s="81"/>
      <c r="M57" s="74"/>
    </row>
    <row r="58" spans="1:13" ht="21.75" customHeight="1" x14ac:dyDescent="0.25">
      <c r="A58" s="46" t="s">
        <v>157</v>
      </c>
      <c r="B58" s="46" t="s">
        <v>88</v>
      </c>
      <c r="C58" s="46" t="s">
        <v>155</v>
      </c>
      <c r="D58" s="47" t="s">
        <v>152</v>
      </c>
      <c r="E58" s="50">
        <v>45250</v>
      </c>
      <c r="F58" s="73">
        <v>6500</v>
      </c>
      <c r="G58" s="104">
        <v>7.0000000000000001E-3</v>
      </c>
      <c r="H58" s="105">
        <f t="shared" si="2"/>
        <v>6545.4999999999991</v>
      </c>
      <c r="I58" s="73">
        <f>((H58-F58)/365)*M$1</f>
        <v>7.3547945205477978</v>
      </c>
      <c r="K58" s="44"/>
      <c r="L58" s="81"/>
      <c r="M58" s="74"/>
    </row>
    <row r="59" spans="1:13" ht="21.75" customHeight="1" x14ac:dyDescent="0.25">
      <c r="A59" s="46" t="s">
        <v>158</v>
      </c>
      <c r="B59" s="46" t="s">
        <v>127</v>
      </c>
      <c r="C59" s="46" t="s">
        <v>155</v>
      </c>
      <c r="D59" s="47" t="s">
        <v>152</v>
      </c>
      <c r="E59" s="50">
        <v>45250</v>
      </c>
      <c r="F59" s="73">
        <v>6500</v>
      </c>
      <c r="G59" s="104">
        <v>7.0000000000000001E-3</v>
      </c>
      <c r="H59" s="105">
        <f t="shared" si="2"/>
        <v>6545.4999999999991</v>
      </c>
      <c r="I59" s="73">
        <f>((H59-F59)/365)*M$1</f>
        <v>7.3547945205477978</v>
      </c>
      <c r="K59" s="44"/>
      <c r="L59" s="81"/>
      <c r="M59" s="74"/>
    </row>
    <row r="60" spans="1:13" ht="21.75" customHeight="1" x14ac:dyDescent="0.25">
      <c r="A60" s="46" t="s">
        <v>159</v>
      </c>
      <c r="B60" s="46" t="s">
        <v>89</v>
      </c>
      <c r="C60" s="46" t="s">
        <v>155</v>
      </c>
      <c r="D60" s="47" t="s">
        <v>152</v>
      </c>
      <c r="E60" s="50">
        <v>45278</v>
      </c>
      <c r="F60" s="73">
        <v>6500</v>
      </c>
      <c r="G60" s="104">
        <v>7.0000000000000001E-3</v>
      </c>
      <c r="H60" s="105">
        <f t="shared" si="2"/>
        <v>6545.4999999999991</v>
      </c>
      <c r="I60" s="73">
        <f>((H60-F60)/365)*M$1</f>
        <v>7.3547945205477978</v>
      </c>
      <c r="K60" s="44"/>
      <c r="L60" s="81"/>
      <c r="M60" s="74"/>
    </row>
    <row r="61" spans="1:13" ht="21.75" customHeight="1" x14ac:dyDescent="0.25">
      <c r="A61" s="46" t="s">
        <v>158</v>
      </c>
      <c r="B61" s="46" t="s">
        <v>90</v>
      </c>
      <c r="C61" s="46" t="s">
        <v>155</v>
      </c>
      <c r="D61" s="47" t="s">
        <v>152</v>
      </c>
      <c r="E61" s="50">
        <v>45278</v>
      </c>
      <c r="F61" s="73">
        <v>7246</v>
      </c>
      <c r="G61" s="104">
        <v>7.0000000000000001E-3</v>
      </c>
      <c r="H61" s="105">
        <f t="shared" si="2"/>
        <v>7296.7219999999988</v>
      </c>
      <c r="I61" s="73">
        <f>((H61-F61)/365)*M$1</f>
        <v>8.1988986301367994</v>
      </c>
      <c r="K61" s="44"/>
      <c r="L61" s="81"/>
      <c r="M61" s="74"/>
    </row>
    <row r="62" spans="1:13" ht="21.75" customHeight="1" x14ac:dyDescent="0.25">
      <c r="A62" s="46" t="s">
        <v>156</v>
      </c>
      <c r="B62" s="46" t="s">
        <v>91</v>
      </c>
      <c r="C62" s="46" t="s">
        <v>155</v>
      </c>
      <c r="D62" s="47" t="s">
        <v>152</v>
      </c>
      <c r="E62" s="50">
        <v>45299</v>
      </c>
      <c r="F62" s="73">
        <v>6500</v>
      </c>
      <c r="G62" s="104">
        <v>7.0000000000000001E-3</v>
      </c>
      <c r="H62" s="105">
        <f t="shared" si="2"/>
        <v>6545.4999999999991</v>
      </c>
      <c r="I62" s="73">
        <f>((H62-F62)/365)*M$1</f>
        <v>7.3547945205477978</v>
      </c>
      <c r="K62" s="44"/>
      <c r="L62" s="81"/>
      <c r="M62" s="74"/>
    </row>
    <row r="63" spans="1:13" ht="21.75" customHeight="1" x14ac:dyDescent="0.25">
      <c r="A63" s="46" t="s">
        <v>158</v>
      </c>
      <c r="B63" s="46" t="s">
        <v>93</v>
      </c>
      <c r="C63" s="46" t="s">
        <v>155</v>
      </c>
      <c r="D63" s="47" t="s">
        <v>152</v>
      </c>
      <c r="E63" s="50">
        <v>45334</v>
      </c>
      <c r="F63" s="73">
        <v>9082</v>
      </c>
      <c r="G63" s="104">
        <v>7.0000000000000001E-3</v>
      </c>
      <c r="H63" s="105">
        <f t="shared" si="2"/>
        <v>9145.5739999999987</v>
      </c>
      <c r="I63" s="73">
        <f>((H63-F63)/365)*M$1</f>
        <v>10.276345205479242</v>
      </c>
      <c r="K63" s="44"/>
      <c r="L63" s="81"/>
      <c r="M63" s="74"/>
    </row>
    <row r="64" spans="1:13" ht="21.75" customHeight="1" x14ac:dyDescent="0.25">
      <c r="A64" s="46" t="s">
        <v>158</v>
      </c>
      <c r="B64" s="46" t="s">
        <v>94</v>
      </c>
      <c r="C64" s="46" t="s">
        <v>155</v>
      </c>
      <c r="D64" s="47" t="s">
        <v>152</v>
      </c>
      <c r="E64" s="50">
        <v>45342</v>
      </c>
      <c r="F64" s="73">
        <v>6500</v>
      </c>
      <c r="G64" s="104">
        <v>7.0000000000000001E-3</v>
      </c>
      <c r="H64" s="105">
        <f t="shared" si="2"/>
        <v>6545.4999999999991</v>
      </c>
      <c r="I64" s="73">
        <f>((H64-F64)/365)*M$1</f>
        <v>7.3547945205477978</v>
      </c>
      <c r="K64" s="44"/>
      <c r="L64" s="81"/>
      <c r="M64" s="74"/>
    </row>
    <row r="65" spans="1:14" ht="21.75" customHeight="1" x14ac:dyDescent="0.25">
      <c r="A65" s="46" t="s">
        <v>160</v>
      </c>
      <c r="B65" s="46" t="s">
        <v>96</v>
      </c>
      <c r="C65" s="46" t="s">
        <v>155</v>
      </c>
      <c r="D65" s="47" t="s">
        <v>152</v>
      </c>
      <c r="E65" s="50">
        <v>45390</v>
      </c>
      <c r="F65" s="73">
        <v>6500</v>
      </c>
      <c r="G65" s="104">
        <v>7.0000000000000001E-3</v>
      </c>
      <c r="H65" s="105">
        <f t="shared" si="2"/>
        <v>6545.4999999999991</v>
      </c>
      <c r="I65" s="73">
        <f>((H65-F65)/365)*M$1</f>
        <v>7.3547945205477978</v>
      </c>
      <c r="K65" s="44"/>
      <c r="L65" s="81"/>
      <c r="M65" s="74"/>
    </row>
    <row r="66" spans="1:14" ht="21.75" customHeight="1" x14ac:dyDescent="0.25">
      <c r="A66" s="46" t="s">
        <v>158</v>
      </c>
      <c r="B66" s="46" t="s">
        <v>97</v>
      </c>
      <c r="C66" s="46" t="s">
        <v>155</v>
      </c>
      <c r="D66" s="47" t="s">
        <v>152</v>
      </c>
      <c r="E66" s="50">
        <v>45392</v>
      </c>
      <c r="F66" s="73">
        <v>6500</v>
      </c>
      <c r="G66" s="104">
        <v>7.0000000000000001E-3</v>
      </c>
      <c r="H66" s="105">
        <f t="shared" si="2"/>
        <v>6545.4999999999991</v>
      </c>
      <c r="I66" s="73">
        <f>((H66-F66)/365)*M$1</f>
        <v>7.3547945205477978</v>
      </c>
      <c r="K66" s="44"/>
      <c r="L66" s="81"/>
      <c r="M66" s="74"/>
    </row>
    <row r="67" spans="1:14" ht="21.75" customHeight="1" x14ac:dyDescent="0.25">
      <c r="A67" s="46" t="s">
        <v>156</v>
      </c>
      <c r="B67" s="46" t="s">
        <v>99</v>
      </c>
      <c r="C67" s="46" t="s">
        <v>155</v>
      </c>
      <c r="D67" s="47" t="s">
        <v>152</v>
      </c>
      <c r="E67" s="50">
        <v>45427</v>
      </c>
      <c r="F67" s="73">
        <v>6500</v>
      </c>
      <c r="G67" s="104">
        <v>7.0000000000000001E-3</v>
      </c>
      <c r="H67" s="105">
        <f t="shared" si="2"/>
        <v>6545.4999999999991</v>
      </c>
      <c r="I67" s="73">
        <f>((H67-F67)/365)*M$1</f>
        <v>7.3547945205477978</v>
      </c>
      <c r="K67" s="44"/>
      <c r="L67" s="81"/>
      <c r="M67" s="74"/>
    </row>
    <row r="68" spans="1:14" ht="21.75" customHeight="1" thickBot="1" x14ac:dyDescent="0.3">
      <c r="A68" s="46" t="s">
        <v>161</v>
      </c>
      <c r="B68" s="46" t="s">
        <v>100</v>
      </c>
      <c r="C68" s="46" t="s">
        <v>155</v>
      </c>
      <c r="D68" s="47" t="s">
        <v>152</v>
      </c>
      <c r="E68" s="55">
        <v>45448</v>
      </c>
      <c r="F68" s="75">
        <v>9082</v>
      </c>
      <c r="G68" s="106">
        <v>7.0000000000000001E-3</v>
      </c>
      <c r="H68" s="107">
        <f t="shared" si="2"/>
        <v>9145.5739999999987</v>
      </c>
      <c r="I68" s="75">
        <f>((H68-F68)/365)*M$1</f>
        <v>10.276345205479242</v>
      </c>
      <c r="K68" s="44"/>
      <c r="L68" s="81"/>
      <c r="M68" s="74"/>
    </row>
    <row r="69" spans="1:14" ht="21.75" customHeight="1" x14ac:dyDescent="0.25">
      <c r="A69" s="46" t="s">
        <v>158</v>
      </c>
      <c r="B69" s="46" t="s">
        <v>102</v>
      </c>
      <c r="C69" s="46" t="s">
        <v>155</v>
      </c>
      <c r="D69" s="47" t="s">
        <v>152</v>
      </c>
      <c r="E69" s="50">
        <v>45408</v>
      </c>
      <c r="F69" s="73">
        <v>6500</v>
      </c>
      <c r="G69" s="104">
        <v>7.0000000000000001E-3</v>
      </c>
      <c r="H69" s="105">
        <f>F69*(1+G69)</f>
        <v>6545.4999999999991</v>
      </c>
      <c r="I69" s="73">
        <f>((H69-F69)/365)*M$1</f>
        <v>7.3547945205477978</v>
      </c>
      <c r="K69" s="117"/>
      <c r="L69" s="118"/>
      <c r="M69" s="117"/>
      <c r="N69" s="119"/>
    </row>
    <row r="70" spans="1:14" ht="21.75" customHeight="1" x14ac:dyDescent="0.25">
      <c r="A70" s="46" t="s">
        <v>158</v>
      </c>
      <c r="B70" s="46" t="s">
        <v>103</v>
      </c>
      <c r="C70" s="46" t="s">
        <v>155</v>
      </c>
      <c r="D70" s="47" t="s">
        <v>152</v>
      </c>
      <c r="E70" s="50">
        <v>45313</v>
      </c>
      <c r="F70" s="73">
        <v>526</v>
      </c>
      <c r="G70" s="104">
        <v>7.0000000000000001E-3</v>
      </c>
      <c r="H70" s="105">
        <f>F70*(1+G70)</f>
        <v>529.6819999999999</v>
      </c>
      <c r="I70" s="73">
        <f>((H70-F70)/365)*M$1</f>
        <v>0.59517260273971029</v>
      </c>
      <c r="K70" s="44"/>
      <c r="L70" s="81"/>
      <c r="M70" s="74"/>
    </row>
    <row r="71" spans="1:14" ht="21.75" customHeight="1" x14ac:dyDescent="0.25">
      <c r="A71" s="46" t="s">
        <v>156</v>
      </c>
      <c r="B71" s="46" t="s">
        <v>104</v>
      </c>
      <c r="C71" s="46" t="s">
        <v>155</v>
      </c>
      <c r="D71" s="47" t="s">
        <v>152</v>
      </c>
      <c r="E71" s="50">
        <v>45495</v>
      </c>
      <c r="F71" s="73">
        <v>526</v>
      </c>
      <c r="G71" s="104">
        <v>7.0000000000000001E-3</v>
      </c>
      <c r="H71" s="105">
        <f t="shared" si="2"/>
        <v>529.6819999999999</v>
      </c>
      <c r="I71" s="73">
        <f>((H71-F71)/365)*M$1</f>
        <v>0.59517260273971029</v>
      </c>
      <c r="K71" s="44"/>
      <c r="L71" s="81"/>
      <c r="M71" s="74"/>
    </row>
    <row r="72" spans="1:14" ht="21.75" customHeight="1" x14ac:dyDescent="0.25">
      <c r="A72" s="46" t="s">
        <v>159</v>
      </c>
      <c r="B72" s="46" t="s">
        <v>105</v>
      </c>
      <c r="C72" s="46" t="s">
        <v>155</v>
      </c>
      <c r="D72" s="47" t="s">
        <v>152</v>
      </c>
      <c r="E72" s="50">
        <v>45576</v>
      </c>
      <c r="F72" s="73">
        <v>526</v>
      </c>
      <c r="G72" s="104">
        <v>7.0000000000000001E-3</v>
      </c>
      <c r="H72" s="105">
        <f t="shared" si="2"/>
        <v>529.6819999999999</v>
      </c>
      <c r="I72" s="73">
        <f>((H72-F72)/365)*M$1</f>
        <v>0.59517260273971029</v>
      </c>
      <c r="K72" s="44"/>
      <c r="L72" s="81"/>
      <c r="M72" s="74"/>
      <c r="N72" s="74"/>
    </row>
    <row r="73" spans="1:14" ht="21.75" customHeight="1" thickBot="1" x14ac:dyDescent="0.3">
      <c r="A73" s="46" t="s">
        <v>162</v>
      </c>
      <c r="B73" s="46" t="s">
        <v>128</v>
      </c>
      <c r="C73" s="46" t="s">
        <v>155</v>
      </c>
      <c r="D73" s="47" t="s">
        <v>152</v>
      </c>
      <c r="E73" s="55">
        <v>45576</v>
      </c>
      <c r="F73" s="75">
        <v>526</v>
      </c>
      <c r="G73" s="106">
        <v>7.0000000000000001E-3</v>
      </c>
      <c r="H73" s="107">
        <f t="shared" si="2"/>
        <v>529.6819999999999</v>
      </c>
      <c r="I73" s="75">
        <f>((H73-F73)/365)*M$1</f>
        <v>0.59517260273971029</v>
      </c>
      <c r="K73" s="44"/>
      <c r="L73" s="81"/>
      <c r="M73" s="74"/>
    </row>
    <row r="74" spans="1:14" ht="21.75" customHeight="1" x14ac:dyDescent="0.25">
      <c r="A74" s="46" t="s">
        <v>158</v>
      </c>
      <c r="B74" s="46" t="s">
        <v>129</v>
      </c>
      <c r="C74" s="46" t="s">
        <v>155</v>
      </c>
      <c r="D74" s="47" t="s">
        <v>152</v>
      </c>
      <c r="E74" s="48">
        <v>45490</v>
      </c>
      <c r="F74" s="76">
        <v>7246</v>
      </c>
      <c r="G74" s="110">
        <v>7.0000000000000001E-3</v>
      </c>
      <c r="H74" s="111">
        <f>F74*(1+G74)</f>
        <v>7296.7219999999988</v>
      </c>
      <c r="I74" s="112"/>
      <c r="K74" s="74"/>
      <c r="L74" s="81"/>
      <c r="M74" s="74"/>
    </row>
    <row r="75" spans="1:14" ht="21.75" customHeight="1" thickBot="1" x14ac:dyDescent="0.3">
      <c r="A75" s="46" t="s">
        <v>158</v>
      </c>
      <c r="B75" s="54" t="s">
        <v>130</v>
      </c>
      <c r="C75" s="46" t="s">
        <v>155</v>
      </c>
      <c r="D75" s="47" t="s">
        <v>152</v>
      </c>
      <c r="E75" s="48">
        <v>45506</v>
      </c>
      <c r="F75" s="76">
        <v>6500</v>
      </c>
      <c r="G75" s="104">
        <v>7.0000000000000001E-3</v>
      </c>
      <c r="H75" s="105">
        <f t="shared" ref="H75:H80" si="3">F75*(1+G75)</f>
        <v>6545.4999999999991</v>
      </c>
      <c r="I75" s="82"/>
      <c r="K75" s="74"/>
      <c r="L75" s="81"/>
      <c r="M75" s="74"/>
    </row>
    <row r="76" spans="1:14" ht="21.75" customHeight="1" x14ac:dyDescent="0.25">
      <c r="A76" s="46" t="s">
        <v>156</v>
      </c>
      <c r="B76" s="46" t="s">
        <v>98</v>
      </c>
      <c r="C76" s="46" t="s">
        <v>155</v>
      </c>
      <c r="D76" s="47" t="s">
        <v>152</v>
      </c>
      <c r="E76" s="48">
        <v>45523</v>
      </c>
      <c r="F76" s="76">
        <v>9082</v>
      </c>
      <c r="G76" s="104">
        <v>7.0000000000000001E-3</v>
      </c>
      <c r="H76" s="105">
        <f t="shared" si="3"/>
        <v>9145.5739999999987</v>
      </c>
      <c r="I76" s="82"/>
      <c r="K76" s="74"/>
      <c r="L76" s="81"/>
      <c r="M76" s="74"/>
      <c r="N76" s="74"/>
    </row>
    <row r="77" spans="1:14" ht="21.75" customHeight="1" x14ac:dyDescent="0.25">
      <c r="A77" s="46" t="s">
        <v>159</v>
      </c>
      <c r="B77" s="46" t="s">
        <v>92</v>
      </c>
      <c r="C77" s="46" t="s">
        <v>155</v>
      </c>
      <c r="D77" s="47" t="s">
        <v>152</v>
      </c>
      <c r="E77" s="48">
        <v>45523</v>
      </c>
      <c r="F77" s="76">
        <v>6500</v>
      </c>
      <c r="G77" s="104">
        <v>7.0000000000000001E-3</v>
      </c>
      <c r="H77" s="105">
        <f t="shared" si="3"/>
        <v>6545.4999999999991</v>
      </c>
      <c r="I77" s="82"/>
      <c r="K77" s="74"/>
      <c r="L77" s="81"/>
      <c r="M77" s="74"/>
    </row>
    <row r="78" spans="1:14" ht="21.75" customHeight="1" x14ac:dyDescent="0.25">
      <c r="A78" s="46" t="s">
        <v>162</v>
      </c>
      <c r="B78" s="46" t="s">
        <v>101</v>
      </c>
      <c r="C78" s="46" t="s">
        <v>155</v>
      </c>
      <c r="D78" s="47" t="s">
        <v>152</v>
      </c>
      <c r="E78" s="48">
        <v>45553</v>
      </c>
      <c r="F78" s="76">
        <v>6500</v>
      </c>
      <c r="G78" s="104">
        <v>7.0000000000000001E-3</v>
      </c>
      <c r="H78" s="105">
        <f t="shared" si="3"/>
        <v>6545.4999999999991</v>
      </c>
      <c r="I78" s="82"/>
      <c r="K78" s="74"/>
      <c r="L78" s="81"/>
      <c r="M78" s="74"/>
    </row>
    <row r="79" spans="1:14" ht="21.75" customHeight="1" x14ac:dyDescent="0.25">
      <c r="A79" s="46" t="s">
        <v>159</v>
      </c>
      <c r="B79" s="46" t="s">
        <v>131</v>
      </c>
      <c r="C79" s="46" t="s">
        <v>155</v>
      </c>
      <c r="D79" s="47" t="s">
        <v>152</v>
      </c>
      <c r="E79" s="113">
        <v>45558</v>
      </c>
      <c r="F79" s="114">
        <v>6500</v>
      </c>
      <c r="G79" s="104">
        <v>7.0000000000000001E-3</v>
      </c>
      <c r="H79" s="105">
        <f t="shared" si="3"/>
        <v>6545.4999999999991</v>
      </c>
      <c r="I79" s="115"/>
      <c r="K79" s="74"/>
      <c r="L79" s="81"/>
      <c r="M79" s="74"/>
    </row>
    <row r="80" spans="1:14" ht="21.75" customHeight="1" thickBot="1" x14ac:dyDescent="0.3">
      <c r="A80" s="46" t="s">
        <v>162</v>
      </c>
      <c r="B80" s="54" t="s">
        <v>132</v>
      </c>
      <c r="C80" s="46" t="s">
        <v>155</v>
      </c>
      <c r="D80" s="47" t="s">
        <v>152</v>
      </c>
      <c r="E80" s="55">
        <v>45596</v>
      </c>
      <c r="F80" s="75">
        <v>9082</v>
      </c>
      <c r="G80" s="106">
        <v>7.0000000000000001E-3</v>
      </c>
      <c r="H80" s="107">
        <f t="shared" si="3"/>
        <v>9145.5739999999987</v>
      </c>
      <c r="I80" s="116"/>
      <c r="K80" s="74"/>
      <c r="L80" s="81"/>
      <c r="M80" s="74"/>
    </row>
    <row r="81" spans="9:14" ht="12" thickBot="1" x14ac:dyDescent="0.3">
      <c r="I81" s="79">
        <f>SUM(I5:I80)</f>
        <v>571.48098582628984</v>
      </c>
    </row>
    <row r="82" spans="9:14" ht="12" thickTop="1" x14ac:dyDescent="0.25">
      <c r="M82" s="74"/>
      <c r="N82" s="74"/>
    </row>
    <row r="83" spans="9:14" x14ac:dyDescent="0.25">
      <c r="M83" s="74"/>
    </row>
  </sheetData>
  <mergeCells count="1">
    <mergeCell ref="A2:I2"/>
  </mergeCells>
  <pageMargins left="0.7" right="0.7" top="0.75" bottom="0.75" header="0.3" footer="0.3"/>
  <pageSetup paperSize="9" scale="73" orientation="portrait" r:id="rId1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28A46A2079F4B92ABACC2404E6BD2" ma:contentTypeVersion="17" ma:contentTypeDescription="Create a new document." ma:contentTypeScope="" ma:versionID="0a6210d1c0cef37921a37ca714646aa1">
  <xsd:schema xmlns:xsd="http://www.w3.org/2001/XMLSchema" xmlns:xs="http://www.w3.org/2001/XMLSchema" xmlns:p="http://schemas.microsoft.com/office/2006/metadata/properties" xmlns:ns2="282fe374-678a-4583-8ac6-eef482d6136e" xmlns:ns3="3ed90337-94e5-4cb6-8fc9-3018e517bae7" targetNamespace="http://schemas.microsoft.com/office/2006/metadata/properties" ma:root="true" ma:fieldsID="b1c3f20ad4213f7c2ae7434c0a0c0f96" ns2:_="" ns3:_="">
    <xsd:import namespace="282fe374-678a-4583-8ac6-eef482d6136e"/>
    <xsd:import namespace="3ed90337-94e5-4cb6-8fc9-3018e517ba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2fe374-678a-4583-8ac6-eef482d61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0460e2-1b74-4549-b703-a18f865bfa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90337-94e5-4cb6-8fc9-3018e517bae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8bb668c-744d-450d-869f-5b8f772d336e}" ma:internalName="TaxCatchAll" ma:showField="CatchAllData" ma:web="3ed90337-94e5-4cb6-8fc9-3018e517ba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d90337-94e5-4cb6-8fc9-3018e517bae7" xsi:nil="true"/>
    <lcf76f155ced4ddcb4097134ff3c332f xmlns="282fe374-678a-4583-8ac6-eef482d613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2212C6-9677-4122-8F17-B1947A9ACB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2fe374-678a-4583-8ac6-eef482d6136e"/>
    <ds:schemaRef ds:uri="3ed90337-94e5-4cb6-8fc9-3018e517b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AEF367-E080-45F6-8B6F-FF59B1CC22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2ABF16-5295-4A3F-B634-3267E8EF4C06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282fe374-678a-4583-8ac6-eef482d6136e"/>
    <ds:schemaRef ds:uri="http://purl.org/dc/terms/"/>
    <ds:schemaRef ds:uri="http://schemas.microsoft.com/office/2006/metadata/properties"/>
    <ds:schemaRef ds:uri="http://schemas.microsoft.com/office/infopath/2007/PartnerControls"/>
    <ds:schemaRef ds:uri="3ed90337-94e5-4cb6-8fc9-3018e517bae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</vt:lpstr>
      <vt:lpstr>UTS - Licences</vt:lpstr>
      <vt:lpstr>UTS - pro rata</vt:lpstr>
      <vt:lpstr>UTS -Fee review</vt:lpstr>
      <vt:lpstr>Invoice!Print_Area</vt:lpstr>
      <vt:lpstr>'UTS - Licences'!Print_Area</vt:lpstr>
      <vt:lpstr>'UTS - pro rata'!Print_Area</vt:lpstr>
      <vt:lpstr>'UTS -Fee review'!Print_Area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McLoughlin</dc:creator>
  <cp:lastModifiedBy>Grainne McKeown</cp:lastModifiedBy>
  <cp:lastPrinted>2022-12-01T16:48:57Z</cp:lastPrinted>
  <dcterms:created xsi:type="dcterms:W3CDTF">2007-11-22T08:40:13Z</dcterms:created>
  <dcterms:modified xsi:type="dcterms:W3CDTF">2025-01-31T16:55:32Z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INKTEK-CHUNK-1">
    <vt:lpwstr>010021{"F":2,"I":"7212-71EC-4945-A0FB"}</vt:lpwstr>
  </property>
  <property fmtid="{D5CDD505-2E9C-101B-9397-08002B2CF9AE}" pid="3" name="ContentTypeId">
    <vt:lpwstr>0x01010058328A46A2079F4B92ABACC2404E6BD2</vt:lpwstr>
  </property>
  <property fmtid="{D5CDD505-2E9C-101B-9397-08002B2CF9AE}" pid="4" name="Order">
    <vt:r8>1655600</vt:r8>
  </property>
  <property fmtid="{D5CDD505-2E9C-101B-9397-08002B2CF9AE}" pid="5" name="MediaServiceImageTags">
    <vt:lpwstr/>
  </property>
</Properties>
</file>