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owercomltd.sharepoint.com/sites/Finance/Shared Documents/10 - Projects/1. ERP Installation/Requirements/Backup files for requirements/"/>
    </mc:Choice>
  </mc:AlternateContent>
  <xr:revisionPtr revIDLastSave="109" documentId="13_ncr:1_{7A0E3B5B-89F2-4141-92F2-20A416AD1D96}" xr6:coauthVersionLast="47" xr6:coauthVersionMax="47" xr10:uidLastSave="{E2584ED6-910F-472F-9D8F-ED0D72EBB4A0}"/>
  <bookViews>
    <workbookView xWindow="-57720" yWindow="-120" windowWidth="29040" windowHeight="15720" xr2:uid="{00000000-000D-0000-FFFF-FFFF00000000}"/>
  </bookViews>
  <sheets>
    <sheet name="TC Rate Card" sheetId="3" r:id="rId1"/>
  </sheets>
  <definedNames>
    <definedName name="_xlnm.Print_Area" localSheetId="0">'TC Rate Card'!$A$1:$G$66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4" i="3" l="1"/>
</calcChain>
</file>

<file path=xl/sharedStrings.xml><?xml version="1.0" encoding="utf-8"?>
<sst xmlns="http://schemas.openxmlformats.org/spreadsheetml/2006/main" count="62" uniqueCount="54">
  <si>
    <t>SITE LEVELS</t>
  </si>
  <si>
    <t>Level 1 sites</t>
  </si>
  <si>
    <t xml:space="preserve">Level 2 sites </t>
  </si>
  <si>
    <t xml:space="preserve">Level 3 sites </t>
  </si>
  <si>
    <t xml:space="preserve">Level 4 sites </t>
  </si>
  <si>
    <t>GPS Antenna</t>
  </si>
  <si>
    <t xml:space="preserve">Additional Dish </t>
  </si>
  <si>
    <t>NOTES</t>
  </si>
  <si>
    <t>3 no. Omni Antenna (not greater than 3000mm in length)
2 no. Dish (not greater than 600mm in diameter)</t>
  </si>
  <si>
    <t>Basic Sector Package</t>
  </si>
  <si>
    <t>Basic Omni Package</t>
  </si>
  <si>
    <t>Additional Antenna</t>
  </si>
  <si>
    <t>1 No. additional Omni Antenna (not greater than 3000mm in length)</t>
  </si>
  <si>
    <t>1 No. Yagi Antenna (not greater than 1500mm in length)</t>
  </si>
  <si>
    <t>1 No. Yagi Antenna (greater than 1500mm in length)</t>
  </si>
  <si>
    <t>Outdoor ground space (per sq m)</t>
  </si>
  <si>
    <r>
      <t xml:space="preserve">1 No. Paging Antenna </t>
    </r>
    <r>
      <rPr>
        <u/>
        <sz val="11"/>
        <rFont val="Calibri"/>
        <family val="2"/>
      </rPr>
      <t>or</t>
    </r>
    <r>
      <rPr>
        <sz val="11"/>
        <rFont val="Calibri"/>
        <family val="2"/>
      </rPr>
      <t xml:space="preserve"> Dipole (not greater than 2000mm in length)</t>
    </r>
  </si>
  <si>
    <t>Ground Based Equipment</t>
  </si>
  <si>
    <t>Additional Items</t>
  </si>
  <si>
    <t>1 No. additional Omni Antenna (greater than 3000mm in length)</t>
  </si>
  <si>
    <t>Rates quoted above are on a per annum basis.</t>
  </si>
  <si>
    <t>Any other/additional tower mounted equipment, configurations of equipment, additional ground space or additional services which are not detailed above will be subject to quotation and commercial agreement.</t>
  </si>
  <si>
    <t>Additional Feeders, maximum 7/8" (AVA550) - rate per pair</t>
  </si>
  <si>
    <t>Large Feeder, 1 5/8" (AVA750) - increase per pair</t>
  </si>
  <si>
    <t>Premium Sites</t>
  </si>
  <si>
    <t>Indoor Footprint (FP) - rate per FP</t>
  </si>
  <si>
    <t>All rates are for passive antenna units.  Rates for active integrated antenna systems - subject to commercial agreement.</t>
  </si>
  <si>
    <t>Outdoor ground space refers to plinth area.</t>
  </si>
  <si>
    <t>Individual site classifications are listed on Towercom Site Levels, document ref. TC004.</t>
  </si>
  <si>
    <t>RRUs not to be direct mounted to the antenna.</t>
  </si>
  <si>
    <t>Dish dimensions refer to "nominal" dish diameters as stated on manufacturer's data sheet.</t>
  </si>
  <si>
    <t>Dish rates refer to network transmission dishes.</t>
  </si>
  <si>
    <t>Additional 2 no. ODU's per Dish - rate per pair with dimensions not greater than 300 x 200 x 90mm in size and weight not to exceed 5kgs.</t>
  </si>
  <si>
    <t xml:space="preserve">A Blade Unit refers to a unit which contains an integrated antenna/RRU plus a sector antenna. </t>
  </si>
  <si>
    <t>3 no. Sector Antenna (not greater than [xxx]mm x [xxx]mm x [xxx]mm in size, [xx]kg)
2 no. Dish (not greater than [xx]mm in diameter, [xxx]m depth and [xx]kg)</t>
  </si>
  <si>
    <t>1 No. Sector Antenna (not greater than [xxxx] x [xx]mm x [xxx]mm in size, [xx]kg)</t>
  </si>
  <si>
    <t>1 No. Dish up to [xxx]mm in diameter (not greater than [xxx]mm depth, [xx]kg)</t>
  </si>
  <si>
    <t>1 No. Dish of [xxx]mm in diameter (not greater than [xx]mm depth, [xx]kg)</t>
  </si>
  <si>
    <t>Rates are for installations located at positions up to [xx]m on the tower.  Positions at [xx]m and up to [xx]m will incur an additional [xx]% on base price.</t>
  </si>
  <si>
    <t>Installations located at [xx]m and above will incur an additional [x]% on base price.</t>
  </si>
  <si>
    <t>Effective: dd/mm/yyy</t>
  </si>
  <si>
    <t>Integrated Antenna Unit (not greater than [xxx]mm x [xxx]mm x [xxx]mm in size, [xx]kg)</t>
  </si>
  <si>
    <t>Integrated Antenna Unit (not greater than [xxx]mm x [xx]mm x [xx]mm in size, [xx]kg)</t>
  </si>
  <si>
    <t>Blade Unit (not greater than [xxx]mm x [xxx]mm x [xxx]mm in size, [xx]kg)</t>
  </si>
  <si>
    <t>RRU (not greater than [xxx]mm x [xx]mm x [xxx]mm in size, [xx]kg)</t>
  </si>
  <si>
    <t>TMA (not greater than [xxx]mm x [xx]mm x [xxx]mm in size, [xx]kg)</t>
  </si>
  <si>
    <t>Towercom Limited - Standard Mobile Operator Rate Card example</t>
  </si>
  <si>
    <t>Sector antenna rates include installation of 1 No. TMA per antenna, not greater than [xx] x [xx] x [xx]mm in size, and weight not to exceed [x]kg.</t>
  </si>
  <si>
    <t xml:space="preserve">Sector antenna rates include a maximum of [x] no. feeders per panel not to exceed 7/8" (AVA550) in diameter.  </t>
  </si>
  <si>
    <t>Installation of Diplexors/Dual Band Combiners will be charged at the Additional Feeder Rate - rate applies per pair/sector.  Triplexor will incur additional [xx]% on unit rate.</t>
  </si>
  <si>
    <t>RRUs include 2 cables not to exceed [xx]mm in diamter or 1 cable max [xx] mm diameter (composite)</t>
  </si>
  <si>
    <t>Dish rates include installation of up to 2 No. ODUs directly connected to dish, not greater than [xx] x [xxx] x [xx]mm in size and weight not to exceed [x]kgs.</t>
  </si>
  <si>
    <t>Dish rates unclude a maximum of 2 No. cables not greater than [x]mm diameter per dish.</t>
  </si>
  <si>
    <t>Internal FP dimensions are [xxx] x [xxx] mm; rates are per FP unit or part thereof.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</si>
</sst>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12"/>
      <color indexed="8"/>
      <name val="Calibri"/>
      <family val="2"/>
    </font>
    <font>
      <b/>
      <u/>
      <sz val="12"/>
      <color indexed="8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0" fillId="2" borderId="0" xfId="0" applyFill="1"/>
    <xf numFmtId="0" fontId="6" fillId="2" borderId="0" xfId="0" applyFont="1" applyFill="1"/>
    <xf numFmtId="0" fontId="8" fillId="2" borderId="1" xfId="1" applyFont="1" applyFill="1" applyBorder="1" applyAlignment="1">
      <alignment vertical="top" wrapText="1"/>
    </xf>
    <xf numFmtId="0" fontId="11" fillId="2" borderId="2" xfId="1" applyFont="1" applyFill="1" applyBorder="1" applyAlignment="1">
      <alignment vertical="top" wrapText="1"/>
    </xf>
    <xf numFmtId="0" fontId="11" fillId="2" borderId="5" xfId="1" applyFont="1" applyFill="1" applyBorder="1" applyAlignment="1">
      <alignment vertical="top" wrapText="1"/>
    </xf>
    <xf numFmtId="0" fontId="11" fillId="2" borderId="8" xfId="1" applyFont="1" applyFill="1" applyBorder="1" applyAlignment="1">
      <alignment vertical="top" wrapText="1"/>
    </xf>
    <xf numFmtId="0" fontId="11" fillId="2" borderId="11" xfId="1" applyFont="1" applyFill="1" applyBorder="1" applyAlignment="1">
      <alignment vertical="top" wrapText="1"/>
    </xf>
    <xf numFmtId="0" fontId="11" fillId="2" borderId="12" xfId="1" applyFont="1" applyFill="1" applyBorder="1" applyAlignment="1">
      <alignment vertical="top" wrapText="1"/>
    </xf>
    <xf numFmtId="0" fontId="11" fillId="2" borderId="13" xfId="1" applyFont="1" applyFill="1" applyBorder="1" applyAlignment="1">
      <alignment vertical="top" wrapText="1"/>
    </xf>
    <xf numFmtId="0" fontId="11" fillId="2" borderId="2" xfId="1" applyFont="1" applyFill="1" applyBorder="1" applyAlignment="1">
      <alignment horizontal="left" vertical="top" wrapText="1"/>
    </xf>
    <xf numFmtId="0" fontId="11" fillId="2" borderId="8" xfId="1" applyFont="1" applyFill="1" applyBorder="1" applyAlignment="1">
      <alignment horizontal="left" vertical="top" wrapText="1"/>
    </xf>
    <xf numFmtId="0" fontId="11" fillId="2" borderId="0" xfId="1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1" fillId="2" borderId="14" xfId="1" applyFont="1" applyFill="1" applyBorder="1" applyAlignment="1">
      <alignment vertical="top" wrapText="1"/>
    </xf>
    <xf numFmtId="0" fontId="11" fillId="2" borderId="16" xfId="1" applyFont="1" applyFill="1" applyBorder="1" applyAlignment="1">
      <alignment horizontal="left" vertical="top" wrapText="1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top" wrapText="1"/>
    </xf>
    <xf numFmtId="164" fontId="8" fillId="2" borderId="19" xfId="1" applyNumberFormat="1" applyFont="1" applyFill="1" applyBorder="1" applyAlignment="1">
      <alignment horizontal="center" vertical="top" wrapText="1"/>
    </xf>
    <xf numFmtId="0" fontId="4" fillId="2" borderId="0" xfId="0" applyFont="1" applyFill="1"/>
    <xf numFmtId="0" fontId="9" fillId="2" borderId="20" xfId="0" applyFont="1" applyFill="1" applyBorder="1"/>
    <xf numFmtId="0" fontId="8" fillId="2" borderId="14" xfId="1" applyFont="1" applyFill="1" applyBorder="1" applyAlignment="1">
      <alignment vertical="top" wrapText="1"/>
    </xf>
    <xf numFmtId="0" fontId="8" fillId="2" borderId="15" xfId="1" applyFont="1" applyFill="1" applyBorder="1" applyAlignment="1">
      <alignment vertical="top" wrapText="1"/>
    </xf>
    <xf numFmtId="0" fontId="11" fillId="2" borderId="16" xfId="1" applyFont="1" applyFill="1" applyBorder="1" applyAlignment="1">
      <alignment vertical="top"/>
    </xf>
    <xf numFmtId="0" fontId="11" fillId="2" borderId="0" xfId="1" applyFont="1" applyFill="1" applyAlignment="1">
      <alignment vertical="top"/>
    </xf>
    <xf numFmtId="164" fontId="11" fillId="2" borderId="15" xfId="1" applyNumberFormat="1" applyFont="1" applyFill="1" applyBorder="1" applyAlignment="1">
      <alignment vertical="center" wrapText="1"/>
    </xf>
    <xf numFmtId="0" fontId="8" fillId="2" borderId="15" xfId="1" applyFont="1" applyFill="1" applyBorder="1" applyAlignment="1">
      <alignment vertical="center" wrapText="1"/>
    </xf>
    <xf numFmtId="164" fontId="1" fillId="2" borderId="15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1" fillId="0" borderId="5" xfId="1" applyFont="1" applyBorder="1" applyAlignment="1">
      <alignment vertical="center" wrapText="1"/>
    </xf>
    <xf numFmtId="0" fontId="11" fillId="0" borderId="8" xfId="1" applyFont="1" applyBorder="1" applyAlignment="1">
      <alignment vertical="center" wrapText="1"/>
    </xf>
    <xf numFmtId="164" fontId="0" fillId="2" borderId="0" xfId="0" applyNumberFormat="1" applyFill="1"/>
    <xf numFmtId="0" fontId="13" fillId="0" borderId="0" xfId="0" applyFont="1" applyAlignment="1">
      <alignment vertical="top"/>
    </xf>
    <xf numFmtId="0" fontId="11" fillId="2" borderId="16" xfId="1" applyFont="1" applyFill="1" applyBorder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1" fillId="2" borderId="12" xfId="1" applyFont="1" applyFill="1" applyBorder="1" applyAlignment="1">
      <alignment vertical="center" wrapText="1"/>
    </xf>
    <xf numFmtId="0" fontId="11" fillId="2" borderId="24" xfId="1" applyFont="1" applyFill="1" applyBorder="1" applyAlignment="1">
      <alignment vertical="top"/>
    </xf>
    <xf numFmtId="0" fontId="11" fillId="2" borderId="24" xfId="1" applyFont="1" applyFill="1" applyBorder="1" applyAlignment="1">
      <alignment horizontal="left" vertical="top"/>
    </xf>
    <xf numFmtId="164" fontId="1" fillId="2" borderId="26" xfId="0" applyNumberFormat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vertical="center" wrapText="1"/>
    </xf>
    <xf numFmtId="164" fontId="8" fillId="2" borderId="29" xfId="1" applyNumberFormat="1" applyFont="1" applyFill="1" applyBorder="1" applyAlignment="1">
      <alignment horizontal="center" vertical="top" wrapText="1"/>
    </xf>
    <xf numFmtId="0" fontId="8" fillId="2" borderId="23" xfId="1" applyFont="1" applyFill="1" applyBorder="1" applyAlignment="1">
      <alignment vertical="top" wrapText="1"/>
    </xf>
    <xf numFmtId="164" fontId="1" fillId="2" borderId="3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1" fillId="0" borderId="15" xfId="1" applyFont="1" applyBorder="1" applyAlignment="1">
      <alignment vertical="center" wrapText="1"/>
    </xf>
    <xf numFmtId="0" fontId="8" fillId="0" borderId="15" xfId="1" applyFont="1" applyBorder="1" applyAlignment="1">
      <alignment vertical="center" wrapText="1"/>
    </xf>
    <xf numFmtId="0" fontId="8" fillId="0" borderId="23" xfId="1" applyFont="1" applyBorder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left" vertical="top" wrapText="1"/>
    </xf>
    <xf numFmtId="0" fontId="11" fillId="2" borderId="0" xfId="1" applyFont="1" applyFill="1" applyAlignment="1">
      <alignment horizontal="left" vertical="top" wrapText="1"/>
    </xf>
    <xf numFmtId="0" fontId="11" fillId="2" borderId="24" xfId="1" applyFont="1" applyFill="1" applyBorder="1" applyAlignment="1">
      <alignment horizontal="left" vertical="top" wrapText="1"/>
    </xf>
    <xf numFmtId="0" fontId="11" fillId="2" borderId="22" xfId="1" applyFont="1" applyFill="1" applyBorder="1" applyAlignment="1">
      <alignment horizontal="left" vertical="top"/>
    </xf>
    <xf numFmtId="0" fontId="11" fillId="2" borderId="21" xfId="1" applyFont="1" applyFill="1" applyBorder="1" applyAlignment="1">
      <alignment horizontal="left" vertical="top"/>
    </xf>
    <xf numFmtId="0" fontId="11" fillId="2" borderId="25" xfId="1" applyFont="1" applyFill="1" applyBorder="1" applyAlignment="1">
      <alignment horizontal="left" vertical="top"/>
    </xf>
    <xf numFmtId="0" fontId="8" fillId="2" borderId="14" xfId="1" applyFont="1" applyFill="1" applyBorder="1" applyAlignment="1">
      <alignment horizontal="left" vertical="top" wrapText="1"/>
    </xf>
    <xf numFmtId="0" fontId="8" fillId="2" borderId="15" xfId="1" applyFont="1" applyFill="1" applyBorder="1" applyAlignment="1">
      <alignment horizontal="left" vertical="top" wrapText="1"/>
    </xf>
    <xf numFmtId="0" fontId="8" fillId="2" borderId="23" xfId="1" applyFont="1" applyFill="1" applyBorder="1" applyAlignment="1">
      <alignment horizontal="left" vertical="top" wrapText="1"/>
    </xf>
    <xf numFmtId="0" fontId="11" fillId="2" borderId="16" xfId="1" applyFont="1" applyFill="1" applyBorder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1" fillId="2" borderId="24" xfId="1" applyFont="1" applyFill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0</xdr:row>
      <xdr:rowOff>114300</xdr:rowOff>
    </xdr:from>
    <xdr:to>
      <xdr:col>6</xdr:col>
      <xdr:colOff>352426</xdr:colOff>
      <xdr:row>1</xdr:row>
      <xdr:rowOff>65000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82C913-96EA-4389-8775-F3BDAC05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114300"/>
          <a:ext cx="1914526" cy="422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6"/>
  <sheetViews>
    <sheetView showGridLines="0" tabSelected="1" zoomScaleNormal="100" workbookViewId="0">
      <selection activeCell="C20" sqref="C20"/>
    </sheetView>
  </sheetViews>
  <sheetFormatPr defaultRowHeight="15" x14ac:dyDescent="0.25"/>
  <cols>
    <col min="1" max="1" width="1.5703125" customWidth="1"/>
    <col min="2" max="2" width="76.7109375" customWidth="1"/>
    <col min="3" max="6" width="9.85546875" customWidth="1"/>
    <col min="7" max="7" width="9.42578125" customWidth="1"/>
    <col min="8" max="8" width="2.42578125" customWidth="1"/>
    <col min="11" max="11" width="11.42578125" bestFit="1" customWidth="1"/>
  </cols>
  <sheetData>
    <row r="1" spans="1:13" ht="37.5" x14ac:dyDescent="0.25">
      <c r="B1" s="1" t="s">
        <v>46</v>
      </c>
      <c r="C1" s="40"/>
      <c r="D1" s="2"/>
      <c r="E1" s="2"/>
      <c r="F1" s="2"/>
      <c r="G1" s="2"/>
    </row>
    <row r="2" spans="1:13" x14ac:dyDescent="0.25">
      <c r="B2" s="17" t="s">
        <v>40</v>
      </c>
      <c r="C2" s="3"/>
      <c r="D2" s="3"/>
      <c r="E2" s="3"/>
      <c r="F2" s="3"/>
      <c r="G2" s="3"/>
    </row>
    <row r="3" spans="1:13" s="4" customFormat="1" ht="19.5" thickBot="1" x14ac:dyDescent="0.35">
      <c r="B3" s="26"/>
      <c r="C3" s="5"/>
      <c r="D3" s="5"/>
      <c r="E3" s="5"/>
      <c r="F3" s="5"/>
      <c r="G3" s="5"/>
    </row>
    <row r="4" spans="1:13" s="4" customFormat="1" ht="16.5" thickBot="1" x14ac:dyDescent="0.3">
      <c r="B4" s="27"/>
      <c r="C4" s="64" t="s">
        <v>0</v>
      </c>
      <c r="D4" s="65"/>
      <c r="E4" s="65"/>
      <c r="F4" s="65"/>
      <c r="G4" s="66"/>
    </row>
    <row r="5" spans="1:13" s="4" customFormat="1" ht="30.75" thickBot="1" x14ac:dyDescent="0.3">
      <c r="B5" s="6"/>
      <c r="C5" s="24" t="s">
        <v>1</v>
      </c>
      <c r="D5" s="25" t="s">
        <v>2</v>
      </c>
      <c r="E5" s="25" t="s">
        <v>3</v>
      </c>
      <c r="F5" s="25" t="s">
        <v>4</v>
      </c>
      <c r="G5" s="48" t="s">
        <v>24</v>
      </c>
    </row>
    <row r="6" spans="1:13" s="4" customFormat="1" ht="15.75" thickBot="1" x14ac:dyDescent="0.3">
      <c r="B6" s="28" t="s">
        <v>9</v>
      </c>
      <c r="C6" s="29"/>
      <c r="D6" s="29"/>
      <c r="E6" s="29"/>
      <c r="F6" s="29"/>
      <c r="G6" s="49"/>
    </row>
    <row r="7" spans="1:13" s="4" customFormat="1" ht="45.75" thickBot="1" x14ac:dyDescent="0.3">
      <c r="B7" s="10" t="s">
        <v>34</v>
      </c>
      <c r="C7" s="22">
        <v>16000</v>
      </c>
      <c r="D7" s="23">
        <v>18000</v>
      </c>
      <c r="E7" s="23">
        <v>19000</v>
      </c>
      <c r="F7" s="23">
        <v>23000</v>
      </c>
      <c r="G7" s="50">
        <v>27000</v>
      </c>
      <c r="I7" s="39"/>
    </row>
    <row r="8" spans="1:13" s="4" customFormat="1" ht="15.75" thickBot="1" x14ac:dyDescent="0.3">
      <c r="B8" s="18"/>
      <c r="C8" s="32"/>
      <c r="D8" s="32"/>
      <c r="E8" s="32"/>
      <c r="F8" s="32"/>
      <c r="G8" s="32"/>
    </row>
    <row r="9" spans="1:13" s="4" customFormat="1" ht="15.75" hidden="1" thickBot="1" x14ac:dyDescent="0.3">
      <c r="B9" s="28" t="s">
        <v>10</v>
      </c>
      <c r="C9" s="33"/>
      <c r="D9" s="33"/>
      <c r="E9" s="33"/>
      <c r="F9" s="33"/>
      <c r="G9" s="33"/>
    </row>
    <row r="10" spans="1:13" s="4" customFormat="1" ht="30.75" hidden="1" thickBot="1" x14ac:dyDescent="0.3">
      <c r="B10" s="10" t="s">
        <v>8</v>
      </c>
      <c r="C10" s="22">
        <v>10250.910772075891</v>
      </c>
      <c r="D10" s="23">
        <v>11857.319733654447</v>
      </c>
      <c r="E10" s="23">
        <v>13646.324571785914</v>
      </c>
      <c r="F10" s="23">
        <v>15365.225635883669</v>
      </c>
      <c r="G10" s="23">
        <v>21848.737853783874</v>
      </c>
    </row>
    <row r="11" spans="1:13" s="4" customFormat="1" ht="15.75" hidden="1" thickBot="1" x14ac:dyDescent="0.3">
      <c r="B11" s="18"/>
      <c r="C11" s="34"/>
      <c r="D11" s="34"/>
      <c r="E11" s="34"/>
      <c r="F11" s="34"/>
      <c r="G11" s="34"/>
    </row>
    <row r="12" spans="1:13" s="4" customFormat="1" ht="15.75" thickBot="1" x14ac:dyDescent="0.3">
      <c r="B12" s="28" t="s">
        <v>11</v>
      </c>
      <c r="C12" s="33"/>
      <c r="D12" s="33"/>
      <c r="E12" s="33"/>
      <c r="F12" s="33"/>
      <c r="G12" s="47"/>
    </row>
    <row r="13" spans="1:13" s="4" customFormat="1" ht="15" customHeight="1" x14ac:dyDescent="0.25">
      <c r="B13" s="7" t="s">
        <v>35</v>
      </c>
      <c r="C13" s="20">
        <v>4502.8707809966663</v>
      </c>
      <c r="D13" s="21">
        <v>4503.3913732728934</v>
      </c>
      <c r="E13" s="21">
        <v>5019.2509924443702</v>
      </c>
      <c r="F13" s="21">
        <v>5200</v>
      </c>
      <c r="G13" s="46">
        <v>5913.9282579511546</v>
      </c>
    </row>
    <row r="14" spans="1:13" s="4" customFormat="1" ht="15" customHeight="1" x14ac:dyDescent="0.25">
      <c r="B14" s="43" t="s">
        <v>35</v>
      </c>
      <c r="C14" s="51">
        <v>5400</v>
      </c>
      <c r="D14" s="52">
        <v>5404.0633377180638</v>
      </c>
      <c r="E14" s="52">
        <v>6023.0948807238337</v>
      </c>
      <c r="F14" s="52">
        <v>6470.488727809553</v>
      </c>
      <c r="G14" s="53">
        <v>7096.7139095413886</v>
      </c>
    </row>
    <row r="15" spans="1:13" s="36" customFormat="1" ht="15" customHeight="1" x14ac:dyDescent="0.25">
      <c r="A15" s="35"/>
      <c r="B15" s="43" t="s">
        <v>35</v>
      </c>
      <c r="C15" s="51">
        <v>10356.602796292331</v>
      </c>
      <c r="D15" s="52">
        <v>10300</v>
      </c>
      <c r="E15" s="52">
        <v>11544.27728262205</v>
      </c>
      <c r="F15" s="52">
        <v>12500</v>
      </c>
      <c r="G15" s="53">
        <v>13602.034993287654</v>
      </c>
      <c r="I15" s="4"/>
      <c r="J15" s="4"/>
      <c r="K15" s="4"/>
      <c r="L15" s="4"/>
      <c r="M15" s="4"/>
    </row>
    <row r="16" spans="1:13" s="36" customFormat="1" ht="15" customHeight="1" x14ac:dyDescent="0.25">
      <c r="A16" s="35"/>
      <c r="B16" s="43" t="s">
        <v>35</v>
      </c>
      <c r="C16" s="51">
        <v>12427.894328587516</v>
      </c>
      <c r="D16" s="52">
        <v>12429.345676751547</v>
      </c>
      <c r="E16" s="52">
        <v>13853.118225664817</v>
      </c>
      <c r="F16" s="52">
        <v>14882.12407396197</v>
      </c>
      <c r="G16" s="53">
        <v>16322.441991945194</v>
      </c>
      <c r="I16" s="4"/>
      <c r="J16" s="4"/>
      <c r="K16" s="4"/>
      <c r="L16" s="4"/>
      <c r="M16" s="4"/>
    </row>
    <row r="17" spans="1:13" s="36" customFormat="1" ht="15" customHeight="1" x14ac:dyDescent="0.25">
      <c r="A17" s="35"/>
      <c r="B17" s="43" t="s">
        <v>35</v>
      </c>
      <c r="C17" s="51">
        <v>14000</v>
      </c>
      <c r="D17" s="52">
        <v>14293.747528264279</v>
      </c>
      <c r="E17" s="52">
        <v>15931.085959514538</v>
      </c>
      <c r="F17" s="52">
        <v>17114.442685056267</v>
      </c>
      <c r="G17" s="53">
        <v>18000</v>
      </c>
      <c r="I17" s="4"/>
      <c r="J17" s="4"/>
      <c r="K17" s="4"/>
      <c r="L17" s="4"/>
      <c r="M17" s="4"/>
    </row>
    <row r="18" spans="1:13" s="35" customFormat="1" ht="15" customHeight="1" x14ac:dyDescent="0.25">
      <c r="B18" s="43" t="s">
        <v>41</v>
      </c>
      <c r="C18" s="51">
        <v>6117.3221494380596</v>
      </c>
      <c r="D18" s="52">
        <v>6968.9310226943535</v>
      </c>
      <c r="E18" s="52">
        <v>7900</v>
      </c>
      <c r="F18" s="52">
        <v>10076.907081438623</v>
      </c>
      <c r="G18" s="53">
        <v>11885.397571156687</v>
      </c>
      <c r="I18" s="4"/>
      <c r="J18" s="4"/>
      <c r="K18" s="4"/>
      <c r="L18" s="4"/>
      <c r="M18" s="4"/>
    </row>
    <row r="19" spans="1:13" s="35" customFormat="1" ht="15" customHeight="1" x14ac:dyDescent="0.25">
      <c r="B19" s="43" t="s">
        <v>42</v>
      </c>
      <c r="C19" s="51">
        <v>9558.3158584969697</v>
      </c>
      <c r="D19" s="52">
        <v>10888.954722959927</v>
      </c>
      <c r="E19" s="52">
        <v>12490.956843230688</v>
      </c>
      <c r="F19" s="52">
        <v>15745.16731474785</v>
      </c>
      <c r="G19" s="53">
        <v>18570.933704932326</v>
      </c>
      <c r="I19" s="4"/>
      <c r="J19" s="4"/>
      <c r="K19" s="4"/>
      <c r="L19" s="4"/>
      <c r="M19" s="4"/>
    </row>
    <row r="20" spans="1:13" s="35" customFormat="1" ht="15" customHeight="1" x14ac:dyDescent="0.25">
      <c r="B20" s="43" t="s">
        <v>43</v>
      </c>
      <c r="C20" s="51">
        <v>16473.924945730389</v>
      </c>
      <c r="D20" s="52">
        <v>17326.73118122201</v>
      </c>
      <c r="E20" s="52">
        <v>19500</v>
      </c>
      <c r="F20" s="52">
        <v>22478.677143073601</v>
      </c>
      <c r="G20" s="53">
        <v>25487.432564444342</v>
      </c>
      <c r="I20" s="4"/>
      <c r="J20" s="4"/>
      <c r="K20" s="4"/>
      <c r="L20" s="4"/>
      <c r="M20" s="4"/>
    </row>
    <row r="21" spans="1:13" s="4" customFormat="1" ht="15" hidden="1" customHeight="1" x14ac:dyDescent="0.25">
      <c r="B21" s="11" t="s">
        <v>12</v>
      </c>
      <c r="C21" s="51">
        <v>3411.0569882881082</v>
      </c>
      <c r="D21" s="52">
        <v>3586.6856452773231</v>
      </c>
      <c r="E21" s="52">
        <v>4044.7976643731636</v>
      </c>
      <c r="F21" s="52">
        <v>4421.841725607951</v>
      </c>
      <c r="G21" s="53">
        <v>5749.1204538482052</v>
      </c>
    </row>
    <row r="22" spans="1:13" s="4" customFormat="1" ht="15" hidden="1" customHeight="1" x14ac:dyDescent="0.25">
      <c r="B22" s="11" t="s">
        <v>19</v>
      </c>
      <c r="C22" s="51">
        <v>4093.2628104328069</v>
      </c>
      <c r="D22" s="52">
        <v>4304.0171988198663</v>
      </c>
      <c r="E22" s="52">
        <v>4853.7627727607178</v>
      </c>
      <c r="F22" s="52">
        <v>5306.21564624246</v>
      </c>
      <c r="G22" s="53">
        <v>6898.9445446178479</v>
      </c>
    </row>
    <row r="23" spans="1:13" s="4" customFormat="1" ht="15" customHeight="1" thickBot="1" x14ac:dyDescent="0.3">
      <c r="B23" s="9" t="s">
        <v>5</v>
      </c>
      <c r="C23" s="54">
        <v>473.26570566190424</v>
      </c>
      <c r="D23" s="55">
        <v>544.25556151118985</v>
      </c>
      <c r="E23" s="55">
        <v>600</v>
      </c>
      <c r="F23" s="55">
        <v>719.36387260609445</v>
      </c>
      <c r="G23" s="56">
        <v>899.20484075761794</v>
      </c>
    </row>
    <row r="24" spans="1:13" s="4" customFormat="1" ht="15" hidden="1" customHeight="1" x14ac:dyDescent="0.3">
      <c r="B24" s="11" t="s">
        <v>16</v>
      </c>
      <c r="C24" s="57">
        <v>4704.3390264968757</v>
      </c>
      <c r="D24" s="58">
        <v>5184.0654506803849</v>
      </c>
      <c r="E24" s="58">
        <v>5339.7151863718873</v>
      </c>
      <c r="F24" s="58">
        <v>5846.1576099651293</v>
      </c>
      <c r="G24" s="59">
        <v>7465.3794872334383</v>
      </c>
    </row>
    <row r="25" spans="1:13" s="4" customFormat="1" ht="15" hidden="1" customHeight="1" x14ac:dyDescent="0.3">
      <c r="B25" s="12" t="s">
        <v>13</v>
      </c>
      <c r="C25" s="51">
        <v>938.54467491591981</v>
      </c>
      <c r="D25" s="52">
        <v>967.58380470911038</v>
      </c>
      <c r="E25" s="52">
        <v>967.58380470911038</v>
      </c>
      <c r="F25" s="52">
        <v>1061.670585239048</v>
      </c>
      <c r="G25" s="53">
        <v>1239.3900595733744</v>
      </c>
    </row>
    <row r="26" spans="1:13" s="4" customFormat="1" ht="15" hidden="1" customHeight="1" thickBot="1" x14ac:dyDescent="0.3">
      <c r="B26" s="9" t="s">
        <v>14</v>
      </c>
      <c r="C26" s="54">
        <v>1593.6674430502999</v>
      </c>
      <c r="D26" s="55">
        <v>1710.9855274147897</v>
      </c>
      <c r="E26" s="55">
        <v>1710.9855274147897</v>
      </c>
      <c r="F26" s="55">
        <v>1888.7050017491158</v>
      </c>
      <c r="G26" s="56">
        <v>2065.2629108917149</v>
      </c>
    </row>
    <row r="27" spans="1:13" s="4" customFormat="1" ht="15.75" thickBot="1" x14ac:dyDescent="0.3">
      <c r="B27" s="18"/>
      <c r="C27" s="60"/>
      <c r="D27" s="60"/>
      <c r="E27" s="60"/>
      <c r="F27" s="60"/>
      <c r="G27" s="60"/>
    </row>
    <row r="28" spans="1:13" s="4" customFormat="1" ht="15.75" thickBot="1" x14ac:dyDescent="0.3">
      <c r="B28" s="28" t="s">
        <v>6</v>
      </c>
      <c r="C28" s="61"/>
      <c r="D28" s="61"/>
      <c r="E28" s="61"/>
      <c r="F28" s="61"/>
      <c r="G28" s="62"/>
    </row>
    <row r="29" spans="1:13" s="4" customFormat="1" ht="15" customHeight="1" x14ac:dyDescent="0.25">
      <c r="B29" s="7" t="s">
        <v>36</v>
      </c>
      <c r="C29" s="57">
        <v>1648.5422080556327</v>
      </c>
      <c r="D29" s="58">
        <v>2700</v>
      </c>
      <c r="E29" s="58">
        <v>3036.7882779972201</v>
      </c>
      <c r="F29" s="58">
        <v>3644.1459335966624</v>
      </c>
      <c r="G29" s="59">
        <v>6096.1355546309915</v>
      </c>
    </row>
    <row r="30" spans="1:13" s="4" customFormat="1" ht="15" customHeight="1" x14ac:dyDescent="0.25">
      <c r="B30" s="8" t="s">
        <v>37</v>
      </c>
      <c r="C30" s="51">
        <v>3385.5851030700437</v>
      </c>
      <c r="D30" s="52">
        <v>4333.0630458051755</v>
      </c>
      <c r="E30" s="52">
        <v>5122.627998084452</v>
      </c>
      <c r="F30" s="52">
        <v>5912.1929503637293</v>
      </c>
      <c r="G30" s="53">
        <v>9204.0714437127153</v>
      </c>
    </row>
    <row r="31" spans="1:13" s="4" customFormat="1" ht="15" customHeight="1" x14ac:dyDescent="0.25">
      <c r="B31" s="8" t="s">
        <v>37</v>
      </c>
      <c r="C31" s="51">
        <v>9065.2468367185538</v>
      </c>
      <c r="D31" s="52">
        <v>9500</v>
      </c>
      <c r="E31" s="52">
        <v>11361.058774884454</v>
      </c>
      <c r="F31" s="52">
        <v>11361.058774884454</v>
      </c>
      <c r="G31" s="53">
        <v>13014.80690570236</v>
      </c>
    </row>
    <row r="32" spans="1:13" s="4" customFormat="1" ht="15" customHeight="1" x14ac:dyDescent="0.25">
      <c r="B32" s="8" t="s">
        <v>37</v>
      </c>
      <c r="C32" s="51">
        <v>9000</v>
      </c>
      <c r="D32" s="52">
        <v>10425.727985261308</v>
      </c>
      <c r="E32" s="52">
        <v>17000</v>
      </c>
      <c r="F32" s="52">
        <v>19000</v>
      </c>
      <c r="G32" s="53">
        <v>21000</v>
      </c>
    </row>
    <row r="33" spans="1:7" s="4" customFormat="1" ht="15" customHeight="1" thickBot="1" x14ac:dyDescent="0.3">
      <c r="B33" s="9" t="s">
        <v>37</v>
      </c>
      <c r="C33" s="54">
        <v>12000</v>
      </c>
      <c r="D33" s="55">
        <v>12000</v>
      </c>
      <c r="E33" s="55">
        <v>16000</v>
      </c>
      <c r="F33" s="55">
        <v>16000</v>
      </c>
      <c r="G33" s="56">
        <v>23000</v>
      </c>
    </row>
    <row r="34" spans="1:7" s="4" customFormat="1" ht="15.75" thickBot="1" x14ac:dyDescent="0.3">
      <c r="B34" s="19"/>
      <c r="C34" s="63"/>
      <c r="D34" s="63"/>
      <c r="E34" s="63"/>
      <c r="F34" s="63"/>
      <c r="G34" s="63"/>
    </row>
    <row r="35" spans="1:7" s="4" customFormat="1" ht="15.75" thickBot="1" x14ac:dyDescent="0.3">
      <c r="B35" s="28" t="s">
        <v>17</v>
      </c>
      <c r="C35" s="61"/>
      <c r="D35" s="61"/>
      <c r="E35" s="61"/>
      <c r="F35" s="61"/>
      <c r="G35" s="62"/>
    </row>
    <row r="36" spans="1:7" s="4" customFormat="1" ht="15" customHeight="1" x14ac:dyDescent="0.25">
      <c r="B36" s="13" t="s">
        <v>25</v>
      </c>
      <c r="C36" s="57">
        <v>1000</v>
      </c>
      <c r="D36" s="58">
        <v>1000</v>
      </c>
      <c r="E36" s="58">
        <v>1000</v>
      </c>
      <c r="F36" s="58">
        <v>1200</v>
      </c>
      <c r="G36" s="59">
        <v>1200</v>
      </c>
    </row>
    <row r="37" spans="1:7" s="4" customFormat="1" ht="15" customHeight="1" thickBot="1" x14ac:dyDescent="0.3">
      <c r="B37" s="14" t="s">
        <v>15</v>
      </c>
      <c r="C37" s="54">
        <v>400</v>
      </c>
      <c r="D37" s="55">
        <v>400</v>
      </c>
      <c r="E37" s="55">
        <v>500</v>
      </c>
      <c r="F37" s="55">
        <v>700</v>
      </c>
      <c r="G37" s="56">
        <v>900</v>
      </c>
    </row>
    <row r="38" spans="1:7" s="4" customFormat="1" ht="15.75" thickBot="1" x14ac:dyDescent="0.3">
      <c r="B38" s="19"/>
      <c r="C38" s="63"/>
      <c r="D38" s="63"/>
      <c r="E38" s="63"/>
      <c r="F38" s="63"/>
      <c r="G38" s="63"/>
    </row>
    <row r="39" spans="1:7" s="4" customFormat="1" ht="15.75" thickBot="1" x14ac:dyDescent="0.3">
      <c r="B39" s="28" t="s">
        <v>18</v>
      </c>
      <c r="C39" s="61"/>
      <c r="D39" s="61"/>
      <c r="E39" s="61"/>
      <c r="F39" s="61"/>
      <c r="G39" s="61"/>
    </row>
    <row r="40" spans="1:7" s="4" customFormat="1" x14ac:dyDescent="0.25">
      <c r="B40" s="7" t="s">
        <v>22</v>
      </c>
      <c r="C40" s="57">
        <v>1500</v>
      </c>
      <c r="D40" s="58">
        <v>2000</v>
      </c>
      <c r="E40" s="58">
        <v>1500</v>
      </c>
      <c r="F40" s="58">
        <v>2500</v>
      </c>
      <c r="G40" s="59">
        <v>4589.3627179602991</v>
      </c>
    </row>
    <row r="41" spans="1:7" s="4" customFormat="1" x14ac:dyDescent="0.25">
      <c r="B41" s="8" t="s">
        <v>23</v>
      </c>
      <c r="C41" s="51">
        <v>1927.2431236120879</v>
      </c>
      <c r="D41" s="52">
        <v>2125.751794598053</v>
      </c>
      <c r="E41" s="52">
        <v>2200</v>
      </c>
      <c r="F41" s="52">
        <v>2200</v>
      </c>
      <c r="G41" s="53">
        <v>3300</v>
      </c>
    </row>
    <row r="42" spans="1:7" s="4" customFormat="1" ht="30" x14ac:dyDescent="0.25">
      <c r="A42"/>
      <c r="B42" s="8" t="s">
        <v>32</v>
      </c>
      <c r="C42" s="51">
        <v>600</v>
      </c>
      <c r="D42" s="52">
        <v>1300</v>
      </c>
      <c r="E42" s="52">
        <v>1400</v>
      </c>
      <c r="F42" s="52">
        <v>1900</v>
      </c>
      <c r="G42" s="53">
        <v>2700</v>
      </c>
    </row>
    <row r="43" spans="1:7" s="4" customFormat="1" x14ac:dyDescent="0.25">
      <c r="A43"/>
      <c r="B43" s="37" t="s">
        <v>44</v>
      </c>
      <c r="C43" s="51">
        <v>1345.3761403678272</v>
      </c>
      <c r="D43" s="52">
        <v>2054.6163745178833</v>
      </c>
      <c r="E43" s="52">
        <v>2479.1344893527266</v>
      </c>
      <c r="F43" s="52">
        <v>4000</v>
      </c>
      <c r="G43" s="53">
        <v>4976.2244276712763</v>
      </c>
    </row>
    <row r="44" spans="1:7" s="4" customFormat="1" x14ac:dyDescent="0.25">
      <c r="A44"/>
      <c r="B44" s="37" t="s">
        <v>44</v>
      </c>
      <c r="C44" s="51">
        <v>1500</v>
      </c>
      <c r="D44" s="52">
        <v>3750</v>
      </c>
      <c r="E44" s="52">
        <v>4250</v>
      </c>
      <c r="F44" s="52">
        <v>8000</v>
      </c>
      <c r="G44" s="53">
        <f t="shared" ref="G44" si="0">G43*1.75</f>
        <v>8708.3927484247342</v>
      </c>
    </row>
    <row r="45" spans="1:7" s="4" customFormat="1" ht="15.75" thickBot="1" x14ac:dyDescent="0.3">
      <c r="A45"/>
      <c r="B45" s="38" t="s">
        <v>45</v>
      </c>
      <c r="C45" s="54">
        <v>300</v>
      </c>
      <c r="D45" s="55">
        <v>500</v>
      </c>
      <c r="E45" s="55">
        <v>500</v>
      </c>
      <c r="F45" s="55">
        <v>500</v>
      </c>
      <c r="G45" s="56">
        <v>750</v>
      </c>
    </row>
    <row r="46" spans="1:7" s="4" customFormat="1" ht="15.75" thickBot="1" x14ac:dyDescent="0.3">
      <c r="B46" s="15"/>
      <c r="C46" s="16"/>
      <c r="D46" s="16"/>
      <c r="E46" s="16"/>
      <c r="F46" s="16"/>
      <c r="G46" s="16"/>
    </row>
    <row r="47" spans="1:7" s="4" customFormat="1" ht="15.75" thickBot="1" x14ac:dyDescent="0.3">
      <c r="B47" s="73" t="s">
        <v>7</v>
      </c>
      <c r="C47" s="74"/>
      <c r="D47" s="74"/>
      <c r="E47" s="74"/>
      <c r="F47" s="74"/>
      <c r="G47" s="75"/>
    </row>
    <row r="48" spans="1:7" s="4" customFormat="1" x14ac:dyDescent="0.25">
      <c r="B48" s="30" t="s">
        <v>20</v>
      </c>
      <c r="C48" s="31"/>
      <c r="D48" s="31"/>
      <c r="E48" s="31"/>
      <c r="F48" s="31"/>
      <c r="G48" s="44"/>
    </row>
    <row r="49" spans="2:7" s="4" customFormat="1" ht="30" customHeight="1" x14ac:dyDescent="0.25">
      <c r="B49" s="67" t="s">
        <v>38</v>
      </c>
      <c r="C49" s="68"/>
      <c r="D49" s="68"/>
      <c r="E49" s="68"/>
      <c r="F49" s="68"/>
      <c r="G49" s="69"/>
    </row>
    <row r="50" spans="2:7" s="4" customFormat="1" x14ac:dyDescent="0.25">
      <c r="B50" s="76" t="s">
        <v>39</v>
      </c>
      <c r="C50" s="77"/>
      <c r="D50" s="77"/>
      <c r="E50" s="77"/>
      <c r="F50" s="77"/>
      <c r="G50" s="78"/>
    </row>
    <row r="51" spans="2:7" s="4" customFormat="1" ht="15" customHeight="1" x14ac:dyDescent="0.25">
      <c r="B51" s="76" t="s">
        <v>47</v>
      </c>
      <c r="C51" s="77"/>
      <c r="D51" s="77"/>
      <c r="E51" s="77"/>
      <c r="F51" s="77"/>
      <c r="G51" s="78"/>
    </row>
    <row r="52" spans="2:7" s="4" customFormat="1" ht="15" customHeight="1" x14ac:dyDescent="0.25">
      <c r="B52" s="41" t="s">
        <v>26</v>
      </c>
      <c r="C52" s="42"/>
      <c r="D52" s="42"/>
      <c r="E52" s="42"/>
      <c r="F52" s="42"/>
      <c r="G52" s="45"/>
    </row>
    <row r="53" spans="2:7" s="4" customFormat="1" ht="15" customHeight="1" x14ac:dyDescent="0.25">
      <c r="B53" s="30" t="s">
        <v>48</v>
      </c>
      <c r="C53" s="31"/>
      <c r="D53" s="31"/>
      <c r="E53" s="31"/>
      <c r="F53" s="31"/>
      <c r="G53" s="44"/>
    </row>
    <row r="54" spans="2:7" s="4" customFormat="1" ht="15" customHeight="1" x14ac:dyDescent="0.25">
      <c r="B54" s="30" t="s">
        <v>33</v>
      </c>
      <c r="C54" s="31"/>
      <c r="D54" s="31"/>
      <c r="E54" s="31"/>
      <c r="F54" s="31"/>
      <c r="G54" s="44"/>
    </row>
    <row r="55" spans="2:7" s="4" customFormat="1" ht="30" customHeight="1" x14ac:dyDescent="0.25">
      <c r="B55" s="67" t="s">
        <v>49</v>
      </c>
      <c r="C55" s="68"/>
      <c r="D55" s="68"/>
      <c r="E55" s="68"/>
      <c r="F55" s="68"/>
      <c r="G55" s="69"/>
    </row>
    <row r="56" spans="2:7" s="4" customFormat="1" ht="15" customHeight="1" x14ac:dyDescent="0.25">
      <c r="B56" s="30" t="s">
        <v>29</v>
      </c>
      <c r="C56" s="31"/>
      <c r="D56" s="31"/>
      <c r="E56" s="31"/>
      <c r="F56" s="31"/>
      <c r="G56" s="44"/>
    </row>
    <row r="57" spans="2:7" s="4" customFormat="1" ht="15" customHeight="1" x14ac:dyDescent="0.25">
      <c r="B57" s="30" t="s">
        <v>50</v>
      </c>
      <c r="C57" s="31"/>
      <c r="D57" s="31"/>
      <c r="E57" s="31"/>
      <c r="F57" s="31"/>
      <c r="G57" s="44"/>
    </row>
    <row r="58" spans="2:7" s="4" customFormat="1" ht="15" customHeight="1" x14ac:dyDescent="0.25">
      <c r="B58" s="30" t="s">
        <v>31</v>
      </c>
      <c r="C58" s="31"/>
      <c r="D58" s="31"/>
      <c r="E58" s="31"/>
      <c r="F58" s="31"/>
      <c r="G58" s="44"/>
    </row>
    <row r="59" spans="2:7" s="4" customFormat="1" ht="15" customHeight="1" x14ac:dyDescent="0.25">
      <c r="B59" s="41" t="s">
        <v>30</v>
      </c>
      <c r="C59" s="42"/>
      <c r="D59" s="42"/>
      <c r="E59" s="42"/>
      <c r="F59" s="42"/>
      <c r="G59" s="45"/>
    </row>
    <row r="60" spans="2:7" s="4" customFormat="1" ht="30" customHeight="1" x14ac:dyDescent="0.25">
      <c r="B60" s="67" t="s">
        <v>51</v>
      </c>
      <c r="C60" s="68"/>
      <c r="D60" s="68"/>
      <c r="E60" s="68"/>
      <c r="F60" s="68"/>
      <c r="G60" s="69"/>
    </row>
    <row r="61" spans="2:7" s="4" customFormat="1" ht="15" customHeight="1" x14ac:dyDescent="0.25">
      <c r="B61" s="41" t="s">
        <v>52</v>
      </c>
      <c r="C61" s="42"/>
      <c r="D61" s="42"/>
      <c r="E61" s="42"/>
      <c r="F61" s="42"/>
      <c r="G61" s="45"/>
    </row>
    <row r="62" spans="2:7" s="4" customFormat="1" ht="15" customHeight="1" x14ac:dyDescent="0.25">
      <c r="B62" s="41" t="s">
        <v>27</v>
      </c>
      <c r="C62" s="42"/>
      <c r="D62" s="42"/>
      <c r="E62" s="42"/>
      <c r="F62" s="42"/>
      <c r="G62" s="45"/>
    </row>
    <row r="63" spans="2:7" s="4" customFormat="1" ht="15" customHeight="1" x14ac:dyDescent="0.25">
      <c r="B63" s="41" t="s">
        <v>53</v>
      </c>
      <c r="C63" s="42"/>
      <c r="D63" s="42"/>
      <c r="E63" s="42"/>
      <c r="F63" s="42"/>
      <c r="G63" s="45"/>
    </row>
    <row r="64" spans="2:7" s="4" customFormat="1" ht="31.5" customHeight="1" x14ac:dyDescent="0.25">
      <c r="B64" s="67" t="s">
        <v>21</v>
      </c>
      <c r="C64" s="68"/>
      <c r="D64" s="68"/>
      <c r="E64" s="68"/>
      <c r="F64" s="68"/>
      <c r="G64" s="69"/>
    </row>
    <row r="65" spans="2:7" s="4" customFormat="1" ht="15.75" customHeight="1" thickBot="1" x14ac:dyDescent="0.3">
      <c r="B65" s="70" t="s">
        <v>28</v>
      </c>
      <c r="C65" s="71"/>
      <c r="D65" s="71"/>
      <c r="E65" s="71"/>
      <c r="F65" s="71"/>
      <c r="G65" s="72"/>
    </row>
    <row r="66" spans="2:7" ht="11.25" customHeight="1" x14ac:dyDescent="0.25"/>
  </sheetData>
  <mergeCells count="9">
    <mergeCell ref="C4:G4"/>
    <mergeCell ref="B64:G64"/>
    <mergeCell ref="B55:G55"/>
    <mergeCell ref="B49:G49"/>
    <mergeCell ref="B65:G65"/>
    <mergeCell ref="B47:G47"/>
    <mergeCell ref="B60:G60"/>
    <mergeCell ref="B50:G50"/>
    <mergeCell ref="B51:G5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73" orientation="portrait" r:id="rId1"/>
  <headerFooter>
    <oddFooter>&amp;LTC017_SMO Version 9.0&amp;C1 of 1&amp;R16 February 2024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28A46A2079F4B92ABACC2404E6BD2" ma:contentTypeVersion="17" ma:contentTypeDescription="Create a new document." ma:contentTypeScope="" ma:versionID="0a6210d1c0cef37921a37ca714646aa1">
  <xsd:schema xmlns:xsd="http://www.w3.org/2001/XMLSchema" xmlns:xs="http://www.w3.org/2001/XMLSchema" xmlns:p="http://schemas.microsoft.com/office/2006/metadata/properties" xmlns:ns2="282fe374-678a-4583-8ac6-eef482d6136e" xmlns:ns3="3ed90337-94e5-4cb6-8fc9-3018e517bae7" targetNamespace="http://schemas.microsoft.com/office/2006/metadata/properties" ma:root="true" ma:fieldsID="b1c3f20ad4213f7c2ae7434c0a0c0f96" ns2:_="" ns3:_="">
    <xsd:import namespace="282fe374-678a-4583-8ac6-eef482d6136e"/>
    <xsd:import namespace="3ed90337-94e5-4cb6-8fc9-3018e517b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fe374-678a-4583-8ac6-eef482d61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0460e2-1b74-4549-b703-a18f865bf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90337-94e5-4cb6-8fc9-3018e517bae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bb668c-744d-450d-869f-5b8f772d336e}" ma:internalName="TaxCatchAll" ma:showField="CatchAllData" ma:web="3ed90337-94e5-4cb6-8fc9-3018e517b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d90337-94e5-4cb6-8fc9-3018e517bae7" xsi:nil="true"/>
    <lcf76f155ced4ddcb4097134ff3c332f xmlns="282fe374-678a-4583-8ac6-eef482d613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B3351A-CFD0-48DA-8F9A-A381D79304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6F6C4C-FC75-45E5-9320-B04AEEC4E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2fe374-678a-4583-8ac6-eef482d6136e"/>
    <ds:schemaRef ds:uri="3ed90337-94e5-4cb6-8fc9-3018e517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07123D-0BF3-4F62-B64B-14E26FAA820E}">
  <ds:schemaRefs>
    <ds:schemaRef ds:uri="http://schemas.microsoft.com/office/2006/documentManagement/types"/>
    <ds:schemaRef ds:uri="282fe374-678a-4583-8ac6-eef482d6136e"/>
    <ds:schemaRef ds:uri="http://schemas.microsoft.com/office/infopath/2007/PartnerControls"/>
    <ds:schemaRef ds:uri="http://purl.org/dc/dcmitype/"/>
    <ds:schemaRef ds:uri="3ed90337-94e5-4cb6-8fc9-3018e517bae7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TC Rate Card</vt:lpstr>
      <vt:lpstr>'TC Rate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Morag</dc:creator>
  <cp:lastModifiedBy>Grainne McKeown</cp:lastModifiedBy>
  <cp:lastPrinted>2024-02-16T11:28:04Z</cp:lastPrinted>
  <dcterms:created xsi:type="dcterms:W3CDTF">2010-12-08T13:19:57Z</dcterms:created>
  <dcterms:modified xsi:type="dcterms:W3CDTF">2025-03-31T11:50:24Z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0x01010058328A46A2079F4B92ABACC2404E6BD2</vt:lpwstr>
  </property>
  <property fmtid="{D5CDD505-2E9C-101B-9397-08002B2CF9AE}" pid="3" name="Order">
    <vt:r8>18211600</vt:r8>
  </property>
  <property fmtid="{D5CDD505-2E9C-101B-9397-08002B2CF9AE}" pid="4" name="MediaServiceImageTags">
    <vt:lpwstr/>
  </property>
</Properties>
</file>