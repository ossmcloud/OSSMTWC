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SITE Fields" sheetId="1" r:id="rId1"/>
    <sheet name="SITE Fields NS" sheetId="2" r:id="rId2"/>
  </sheets>
  <externalReferences>
    <externalReference r:id="rId3"/>
  </externalReferences>
  <definedNames>
    <definedName name="_xlnm._FilterDatabase" localSheetId="0" hidden="1">'SITE Fields'!$A$1:$K$104</definedName>
    <definedName name="Short_Code">#REF!</definedName>
    <definedName name="Status">#REF!</definedName>
    <definedName name="_xlnm._FilterDatabase" localSheetId="1" hidden="1">'SITE Fields NS'!$A$1:$H$70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<sst xmlns="http://schemas.openxmlformats.org/spreadsheetml/2006/main" count="969" uniqueCount="282">
  <si>
    <t>SITE Field Name</t>
  </si>
  <si>
    <t>NS Fields ID</t>
  </si>
  <si>
    <t>NS Field Type</t>
  </si>
  <si>
    <t>NS Action</t>
  </si>
  <si>
    <t>Data Source</t>
  </si>
  <si>
    <t>AREA</t>
  </si>
  <si>
    <t>SUB-AREA(S)</t>
  </si>
  <si>
    <t>Field Type</t>
  </si>
  <si>
    <t>Option Values</t>
  </si>
  <si>
    <t>Query / Comments</t>
  </si>
  <si>
    <t>RADIX Site Table entry number</t>
  </si>
  <si>
    <t>RADIX</t>
  </si>
  <si>
    <t>Summary</t>
  </si>
  <si>
    <t>Basic Information</t>
  </si>
  <si>
    <t>Integer</t>
  </si>
  <si>
    <t>Site ID</t>
  </si>
  <si>
    <t>MASTER TRACKER</t>
  </si>
  <si>
    <t>8-character alphanumeric string</t>
  </si>
  <si>
    <t>-</t>
  </si>
  <si>
    <t>Site Name</t>
  </si>
  <si>
    <t>Free-Form Text</t>
  </si>
  <si>
    <t>Alias</t>
  </si>
  <si>
    <t>Site Status</t>
  </si>
  <si>
    <t>Option</t>
  </si>
  <si>
    <t>Active, Option, Retired, To Be Retired, UTS</t>
  </si>
  <si>
    <t>Site Type</t>
  </si>
  <si>
    <t>Greenfield, Rooftop, Colocation</t>
  </si>
  <si>
    <t>Multi Mast Sites</t>
  </si>
  <si>
    <t>Yes, No</t>
  </si>
  <si>
    <t>Old ID</t>
  </si>
  <si>
    <t>Structures List</t>
  </si>
  <si>
    <t>REMOVE / IGNORE (this is a one-to-many)</t>
  </si>
  <si>
    <t>n/a</t>
  </si>
  <si>
    <t>Infrastructure</t>
  </si>
  <si>
    <t>List of associated INFRASTRUCTURE records</t>
  </si>
  <si>
    <t>List INFRASTRUCTURE Table entries with Site field matching and Infrastructure Type of Structure</t>
  </si>
  <si>
    <t>Accommodation List</t>
  </si>
  <si>
    <t>List INFRASTRUCTURE Table entries with Site field matching and Infrastructure Type of Accommodation</t>
  </si>
  <si>
    <t>Fibre List</t>
  </si>
  <si>
    <t>List INFRASTRUCTURE Table entries with Site field matching and Infrastructure Type of Fibre</t>
  </si>
  <si>
    <t>Height ASL (m)</t>
  </si>
  <si>
    <t>TLM TRACKER</t>
  </si>
  <si>
    <t>Decimal (2 decimal points)</t>
  </si>
  <si>
    <t>Site Level</t>
  </si>
  <si>
    <t>Premium, Level 1, Level 2, Level 3, Level 4</t>
  </si>
  <si>
    <t>Portfolio</t>
  </si>
  <si>
    <t>108, TC68, EED, BTS, Other</t>
  </si>
  <si>
    <t>Option values updated</t>
  </si>
  <si>
    <t>SRF Status</t>
  </si>
  <si>
    <t>This should not apply to single site but to the SRF record</t>
  </si>
  <si>
    <t>Master Tracker</t>
  </si>
  <si>
    <t>Structure</t>
  </si>
  <si>
    <t>General</t>
  </si>
  <si>
    <t>Full SRF, Remove Only, No SRF</t>
  </si>
  <si>
    <t>SAF Status</t>
  </si>
  <si>
    <t>This should not apply to single site but to the SAF record</t>
  </si>
  <si>
    <t>Full SAF, Survey only, Op Maintenance only, Construction only, TL only, No SAF</t>
  </si>
  <si>
    <t>Public</t>
  </si>
  <si>
    <t>Yes All, Tenant Customer only, TL only, No All.</t>
  </si>
  <si>
    <t>BTS Status</t>
  </si>
  <si>
    <t>Option, Candidate, HOTs Signed, In Planning, Planning Granted, Acquired, In Build, Active</t>
  </si>
  <si>
    <t>Address</t>
  </si>
  <si>
    <t>Location</t>
  </si>
  <si>
    <t>Does Netsuite have an address type?</t>
  </si>
  <si>
    <t>Eircode</t>
  </si>
  <si>
    <t>NO SOURCE</t>
  </si>
  <si>
    <t>NEW FIELD</t>
  </si>
  <si>
    <t>What3Words</t>
  </si>
  <si>
    <t>County</t>
  </si>
  <si>
    <t>Easting</t>
  </si>
  <si>
    <t>6-digit Decimal (0 decimal points)</t>
  </si>
  <si>
    <t>Is one set calculated from the other or are each set independent?
Is any validation done?
Should we have separate coordinates for each STRUCTURE as well as a set of SITE coordinates?</t>
  </si>
  <si>
    <t>Northing</t>
  </si>
  <si>
    <t>Longitude</t>
  </si>
  <si>
    <t>Decimal (6 decimal points)</t>
  </si>
  <si>
    <t>Latitude</t>
  </si>
  <si>
    <t>SAF Auto Approve</t>
  </si>
  <si>
    <t>Access</t>
  </si>
  <si>
    <t>No, Yes</t>
  </si>
  <si>
    <t>Track Type</t>
  </si>
  <si>
    <t>Tarmac, Hardcore</t>
  </si>
  <si>
    <t>Easting (Access)</t>
  </si>
  <si>
    <t>Northing (Access)</t>
  </si>
  <si>
    <t>Longitude (Access)</t>
  </si>
  <si>
    <t>Latitude (Access)</t>
  </si>
  <si>
    <t>Access What3Words</t>
  </si>
  <si>
    <t>Directions</t>
  </si>
  <si>
    <t>Text Area</t>
  </si>
  <si>
    <t>Instructions</t>
  </si>
  <si>
    <t>Tenant Card Required</t>
  </si>
  <si>
    <t>4x4 Required</t>
  </si>
  <si>
    <t>Parking Restrictions</t>
  </si>
  <si>
    <t>Crane/Mewp Access</t>
  </si>
  <si>
    <t>Dual Lock Installed</t>
  </si>
  <si>
    <t>REMOVE FIELD</t>
  </si>
  <si>
    <t>Site Locks</t>
  </si>
  <si>
    <t>LOCK TRACKER</t>
  </si>
  <si>
    <t>List of associated LOCK records</t>
  </si>
  <si>
    <t>List LOCK Table entries with Site field matching</t>
  </si>
  <si>
    <t>Safety / Special Notes</t>
  </si>
  <si>
    <t>Land Agrement List</t>
  </si>
  <si>
    <t>Estates</t>
  </si>
  <si>
    <t>Land</t>
  </si>
  <si>
    <t>List of associated LAND records</t>
  </si>
  <si>
    <t>ROW Agrement List</t>
  </si>
  <si>
    <t>List of associated ROW records</t>
  </si>
  <si>
    <t>Current Land Agreement</t>
  </si>
  <si>
    <t>LAND Lookup</t>
  </si>
  <si>
    <t>Superceded Land Agreement</t>
  </si>
  <si>
    <t>In Progress Land Agreement</t>
  </si>
  <si>
    <t>Current ROW</t>
  </si>
  <si>
    <t>ROW</t>
  </si>
  <si>
    <t>ROW Lookup</t>
  </si>
  <si>
    <t>Secondary ROW</t>
  </si>
  <si>
    <t>In Progress ROW</t>
  </si>
  <si>
    <t>Full Demised Area Fenced</t>
  </si>
  <si>
    <t>Perimeter</t>
  </si>
  <si>
    <t>Adjacent Ground Space</t>
  </si>
  <si>
    <t>Adjacent Ground Owner</t>
  </si>
  <si>
    <t>Perimeter Type</t>
  </si>
  <si>
    <t>Chainlink Fence,  Chainlink Fence w/Barbed Wire, Pallisade, Pallisade/Chain Link Combination, Pallisade/Stone Wall Combination, Post &amp; Rail Fence, Stone Wall, Stone/Chain Link Combination, Timber Fence, None</t>
  </si>
  <si>
    <t>Fence Height (m)</t>
  </si>
  <si>
    <t>Independent Power Supplies</t>
  </si>
  <si>
    <t>What???</t>
  </si>
  <si>
    <t>Power</t>
  </si>
  <si>
    <t>Auto-Generated Integer</t>
  </si>
  <si>
    <t>Count of Active Power Supplies</t>
  </si>
  <si>
    <t>Available Meter Slots</t>
  </si>
  <si>
    <t>POWER TRACKERS</t>
  </si>
  <si>
    <t>Power Supply List</t>
  </si>
  <si>
    <t>List of associated POWER SUPPLY records</t>
  </si>
  <si>
    <t>List POWER SUPPLY Table entries with Site field matching</t>
  </si>
  <si>
    <t>Generator List</t>
  </si>
  <si>
    <t>List INFRASTRUCTURE Table entries with Site field matching and Infrastructure Type of Generator</t>
  </si>
  <si>
    <t>Next Generator Service</t>
  </si>
  <si>
    <t>NO DATA</t>
  </si>
  <si>
    <t>Service &amp; Inspections</t>
  </si>
  <si>
    <t>Date</t>
  </si>
  <si>
    <t>This needs to bubble up from associated Active GENERATORS</t>
  </si>
  <si>
    <t>Next Earth &amp; LP Test</t>
  </si>
  <si>
    <t>Earth &amp; LP Inspections List</t>
  </si>
  <si>
    <t>List of associated E&amp;LP SERVICE records</t>
  </si>
  <si>
    <t>List E&amp;LP SERVICE Table entries with Site field matching</t>
  </si>
  <si>
    <t>Next Structure Inspection Date</t>
  </si>
  <si>
    <t>What is a script date?</t>
  </si>
  <si>
    <t>Script Date</t>
  </si>
  <si>
    <t>This needs to bubble up from associated Active STRUCTURES - the soonest of each of these fields in the associated structures OR just table the structreus with the relevant fields shown</t>
  </si>
  <si>
    <t>Next Fall Arrest Certification Date</t>
  </si>
  <si>
    <t>Next Tower Painting Date</t>
  </si>
  <si>
    <t>Structure Inspections List</t>
  </si>
  <si>
    <t>List of associated INSPECTION records</t>
  </si>
  <si>
    <t>List INSPECTION Table entries with Site field matching</t>
  </si>
  <si>
    <t>Next Aircon Service Date</t>
  </si>
  <si>
    <t>Facilities</t>
  </si>
  <si>
    <t>This needs to bubble up from associated Active ACCOMMODATIONS</t>
  </si>
  <si>
    <t>Next Fire Service Date</t>
  </si>
  <si>
    <t>Next Alarm Service Date</t>
  </si>
  <si>
    <t>Facilities Services List</t>
  </si>
  <si>
    <t>List of associated FACILITIES SERVICE records</t>
  </si>
  <si>
    <t>List FACILITIES SERVICE Table entries with Site field matching</t>
  </si>
  <si>
    <t>Marketing Status</t>
  </si>
  <si>
    <t>Marketing</t>
  </si>
  <si>
    <t>Hold off on these fields until further internal review takes place</t>
  </si>
  <si>
    <t>General Site Availability</t>
  </si>
  <si>
    <t>create field</t>
  </si>
  <si>
    <t>Marketability</t>
  </si>
  <si>
    <t>Yes, No, Qualified</t>
  </si>
  <si>
    <t>Availability - Planning Restriction</t>
  </si>
  <si>
    <t>Planning Restriction Comment</t>
  </si>
  <si>
    <t>Availability - Estates Restriction</t>
  </si>
  <si>
    <t>Estates Restriction Comment</t>
  </si>
  <si>
    <t>Availability - Structural Restriction</t>
  </si>
  <si>
    <t>Availability - Operational  Restriction</t>
  </si>
  <si>
    <t>Capacity Available</t>
  </si>
  <si>
    <t>Multiple MNO, 1 MNO, Existing Customer Equipment Addition, Limited, None</t>
  </si>
  <si>
    <t>Development Potential</t>
  </si>
  <si>
    <t>Multi-Option</t>
  </si>
  <si>
    <t>Strengthen, Extend, Replace, None</t>
  </si>
  <si>
    <t>Development Restrictions</t>
  </si>
  <si>
    <t>Requires Planning, Requires Rights Review, Requires Space, Community</t>
  </si>
  <si>
    <t>Available Height (m)</t>
  </si>
  <si>
    <t>Marketability Requires Review</t>
  </si>
  <si>
    <t>Customer Presence List</t>
  </si>
  <si>
    <t>List of associated CUSTOMER PRESENCE records</t>
  </si>
  <si>
    <t>Customer Presence</t>
  </si>
  <si>
    <t>MNO REF TRACKER</t>
  </si>
  <si>
    <t>Key Customer Presence</t>
  </si>
  <si>
    <t>Any company whose Company Flag is set to "Customer"</t>
  </si>
  <si>
    <t>Three Site Ref</t>
  </si>
  <si>
    <t>Vodafone Site Ref</t>
  </si>
  <si>
    <t>Eir Mobile Site Ref</t>
  </si>
  <si>
    <t>TI Site Ref</t>
  </si>
  <si>
    <t>MNO Occupancy</t>
  </si>
  <si>
    <t>Auto-generated = number of entries in CUSTOMER PRESENCE list where Presence Type = Licenced or Installed AND Customer Type = Mobile Network Operator</t>
  </si>
  <si>
    <t>Non-MNO Occupancy</t>
  </si>
  <si>
    <t>Auto-generated = number of entries in CUSTOMER PRESENCE list where Presence Type = Licenced or Installed AND Customer Type &lt;&gt; Mobile Network Operator</t>
  </si>
  <si>
    <t>Occupancy</t>
  </si>
  <si>
    <t>Auto-generated sum of MNO Occupancy and Non-MNO Accupancy</t>
  </si>
  <si>
    <t>Files &amp; Drawings</t>
  </si>
  <si>
    <t>Lookup to files</t>
  </si>
  <si>
    <t>Files area needs review - hold off for now</t>
  </si>
  <si>
    <t>Site Safety</t>
  </si>
  <si>
    <t>Licence Maps</t>
  </si>
  <si>
    <t>Agreements</t>
  </si>
  <si>
    <t>CAD Drawings</t>
  </si>
  <si>
    <t>Elevations</t>
  </si>
  <si>
    <t>Panoramics</t>
  </si>
  <si>
    <t>Record Drawings</t>
  </si>
  <si>
    <t>Record Designer</t>
  </si>
  <si>
    <t>COMPANY Lookup</t>
  </si>
  <si>
    <t>Layout Drawings</t>
  </si>
  <si>
    <t>Layout Designer</t>
  </si>
  <si>
    <t>Site Field</t>
  </si>
  <si>
    <t>name</t>
  </si>
  <si>
    <t>field_id</t>
  </si>
  <si>
    <t>fieldtype</t>
  </si>
  <si>
    <t>fieldvaluetype</t>
  </si>
  <si>
    <t>fieldvaluetyperecord</t>
  </si>
  <si>
    <t>custrecord_twc_site_radix_tbl_entry_no</t>
  </si>
  <si>
    <t>RECORD</t>
  </si>
  <si>
    <t>Integer Number</t>
  </si>
  <si>
    <t>null</t>
  </si>
  <si>
    <t>custrecord_twc_site_id</t>
  </si>
  <si>
    <t>custrecord_twc_site_name</t>
  </si>
  <si>
    <t>custrecord_twc_site_alias</t>
  </si>
  <si>
    <t>custrecord_twc_site_status</t>
  </si>
  <si>
    <t>List/Record</t>
  </si>
  <si>
    <t>custrecord_twc_site_type</t>
  </si>
  <si>
    <t>custrecord_twc_site_multi_mast_sites</t>
  </si>
  <si>
    <t>Check Box</t>
  </si>
  <si>
    <t>custrecord_twc_site_old_id</t>
  </si>
  <si>
    <t>custrecord_twc_site_height_asl</t>
  </si>
  <si>
    <t>Decimal Number</t>
  </si>
  <si>
    <t>custrecord_twc_site_level</t>
  </si>
  <si>
    <t>custrecord_twc_site_portfolio</t>
  </si>
  <si>
    <t>custrecord_twc_site_srf_status</t>
  </si>
  <si>
    <t>custrecord_twc_site_saf_status</t>
  </si>
  <si>
    <t>custrecord_twc_site_public</t>
  </si>
  <si>
    <t>custrecord_twc_site_bts_status</t>
  </si>
  <si>
    <t>custrecord_twc_site_address</t>
  </si>
  <si>
    <t>custrecord_twc_site_easting</t>
  </si>
  <si>
    <t>custrecord_twc_site_northing</t>
  </si>
  <si>
    <t>custrecord_twc_site_longitude</t>
  </si>
  <si>
    <t>custrecord_twc_site_latitude</t>
  </si>
  <si>
    <t>custrecord_twc_site_saf_auto_approve</t>
  </si>
  <si>
    <t>custrecord_twc_site_track_type</t>
  </si>
  <si>
    <t>custrecord_twc_site_easting_access</t>
  </si>
  <si>
    <t>custrecord_twc_site_northing_access</t>
  </si>
  <si>
    <t>custrecord_twc_site_longitude_access</t>
  </si>
  <si>
    <t>custrecord_twc_site_latitude_access</t>
  </si>
  <si>
    <t>custrecord_twc_site_directions</t>
  </si>
  <si>
    <t>Long Text</t>
  </si>
  <si>
    <t>custrecord_twc_site_instructions</t>
  </si>
  <si>
    <t>custrecord_twc_site_tenant_card_req</t>
  </si>
  <si>
    <t>custrecord_twc_site_4x4_req</t>
  </si>
  <si>
    <t>custrecord_twc_site_parking_restr</t>
  </si>
  <si>
    <t>custrecord_twc_site_crane_mewp_access</t>
  </si>
  <si>
    <t>custrecord_twc_site_safety_spl_notes</t>
  </si>
  <si>
    <t>custrecord_twc_site_full_dmed_area_fncd</t>
  </si>
  <si>
    <t>custrecord_twc_site_adj_grnd_space</t>
  </si>
  <si>
    <t>custrecord_twc_site_adj_grnd_owner</t>
  </si>
  <si>
    <t>custrecord_twc_site_perimeter_type</t>
  </si>
  <si>
    <t>custrecord_twc_site_fence_height_m</t>
  </si>
  <si>
    <t>custrecord_twc_site_indep_pwr_supp</t>
  </si>
  <si>
    <t>custrecord_twc_site_nxt_gen_svc</t>
  </si>
  <si>
    <t>custrecord_twc_site_nxt_earth_lp_test</t>
  </si>
  <si>
    <t>custrecord_twc_site_nxt_str_insp_date</t>
  </si>
  <si>
    <t>custrecord_twc_site_nxt_fall_cert_date</t>
  </si>
  <si>
    <t>custrecord_twc_site_nxt_twr_pnt_date</t>
  </si>
  <si>
    <t>custrecord_twc_site_nxt_aircon_svc_date</t>
  </si>
  <si>
    <t>custrecord_twc_site_nxt_fire_svc_date</t>
  </si>
  <si>
    <t>custrecord_twc_site_nxt_alarm_svc_date</t>
  </si>
  <si>
    <t>custrecord_twc_site_mktg_sts</t>
  </si>
  <si>
    <t>custrecord_twc_site_mno_occ</t>
  </si>
  <si>
    <t>custrecord_twc_site_non_mno_occ</t>
  </si>
  <si>
    <t>custrecord_twc_site_occ</t>
  </si>
  <si>
    <t>custrecord_twc_site_what3words</t>
  </si>
  <si>
    <t>custrecord_twc_site_acc_wt3words</t>
  </si>
  <si>
    <t>custrecord_twc_site_address_zip</t>
  </si>
  <si>
    <t>custrecord_twc_site_address_county</t>
  </si>
  <si>
    <t>Address Region</t>
  </si>
  <si>
    <t>custrecord_twc_site_address_region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</si>
</sst>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&quot;-&quot;_-;_-@_-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9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8" applyNumberFormat="0" applyAlignment="0" applyProtection="0">
      <alignment vertical="center"/>
    </xf>
    <xf numFmtId="0" fontId="13" fillId="11" borderId="9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2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ites%20Objects%20Schemas%20REV7%20ISSUED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TE Fields"/>
      <sheetName val="LOCK Fields"/>
      <sheetName val="INFRASTRUCTURE Fields"/>
      <sheetName val="INSPECTION Fields"/>
      <sheetName val="FACILITIES SERVICE Fields"/>
      <sheetName val="GENERATOR Service Fields"/>
      <sheetName val="E&amp;LP SERVICE Fields"/>
      <sheetName val="AWL Fields"/>
      <sheetName val="POWER SUPPLY Fields"/>
      <sheetName val="POWER USER Fields"/>
      <sheetName val="POWER READING Fields"/>
      <sheetName val="POWER BILL Fields"/>
      <sheetName val="PLANNING Fields"/>
      <sheetName val="Local Authority List"/>
      <sheetName val="LAND Fields"/>
      <sheetName val="ROW Fields"/>
      <sheetName val="CAPACITY REVIEW Fields"/>
      <sheetName val="CUSTOMER PRESENCE Fields "/>
      <sheetName val="Tower Family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399975585192419"/>
  </sheetPr>
  <dimension ref="A1:K104"/>
  <sheetViews>
    <sheetView tabSelected="1" zoomScale="90" zoomScaleNormal="90" topLeftCell="B1" workbookViewId="0">
      <pane ySplit="1" topLeftCell="A21" activePane="bottomLeft" state="frozen"/>
      <selection/>
      <selection pane="bottomLeft" activeCell="D28" sqref="D28"/>
    </sheetView>
  </sheetViews>
  <sheetFormatPr defaultColWidth="10.2857142857143" defaultRowHeight="15"/>
  <cols>
    <col min="1" max="1" width="53.0571428571429" style="6" customWidth="1"/>
    <col min="2" max="4" width="42.7142857142857" style="6" customWidth="1"/>
    <col min="5" max="5" width="14.6" style="6" customWidth="1"/>
    <col min="6" max="6" width="14.1238095238095" style="7" customWidth="1"/>
    <col min="7" max="7" width="13.0095238095238" style="8" customWidth="1"/>
    <col min="8" max="8" width="21.1047619047619" style="9" customWidth="1"/>
    <col min="9" max="9" width="34.7619047619048" style="9" customWidth="1"/>
    <col min="10" max="10" width="62.0380952380952" style="10" customWidth="1"/>
    <col min="11" max="11" width="66.1238095238095" style="10" customWidth="1"/>
    <col min="12" max="16384" width="10.447619047619" style="6"/>
  </cols>
  <sheetData>
    <row r="1" s="4" customFormat="1" ht="47.25" customHeight="1" spans="1:11">
      <c r="A1" s="11" t="s">
        <v>0</v>
      </c>
      <c r="B1" s="12" t="s">
        <v>1</v>
      </c>
      <c r="C1" s="12" t="s">
        <v>2</v>
      </c>
      <c r="D1" s="12" t="s">
        <v>3</v>
      </c>
      <c r="E1" s="12"/>
      <c r="F1" s="13" t="s">
        <v>4</v>
      </c>
      <c r="G1" s="14" t="s">
        <v>5</v>
      </c>
      <c r="H1" s="15" t="s">
        <v>6</v>
      </c>
      <c r="I1" s="15" t="s">
        <v>7</v>
      </c>
      <c r="J1" s="36" t="s">
        <v>8</v>
      </c>
      <c r="K1" s="36" t="s">
        <v>9</v>
      </c>
    </row>
    <row r="2" spans="1:11">
      <c r="A2" s="16" t="s">
        <v>10</v>
      </c>
      <c r="B2" s="16" t="str">
        <f>VLOOKUP(A2,'SITE Fields NS'!B:C,2,FALSE)</f>
        <v>custrecord_twc_site_radix_tbl_entry_no</v>
      </c>
      <c r="C2" s="16" t="str">
        <f>VLOOKUP(B2,'SITE Fields NS'!C:E,3,FALSE)</f>
        <v>Integer Number</v>
      </c>
      <c r="D2" s="16"/>
      <c r="E2" s="16"/>
      <c r="F2" s="17" t="s">
        <v>11</v>
      </c>
      <c r="G2" s="18" t="s">
        <v>12</v>
      </c>
      <c r="H2" s="19" t="s">
        <v>13</v>
      </c>
      <c r="I2" s="19" t="s">
        <v>14</v>
      </c>
      <c r="J2" s="37"/>
      <c r="K2" s="37"/>
    </row>
    <row r="3" spans="1:11">
      <c r="A3" s="16" t="s">
        <v>15</v>
      </c>
      <c r="B3" s="16" t="str">
        <f>VLOOKUP(A3,'SITE Fields NS'!B:C,2,FALSE)</f>
        <v>custrecord_twc_site_id</v>
      </c>
      <c r="C3" s="16" t="str">
        <f>VLOOKUP(B3,'SITE Fields NS'!C:E,3,FALSE)</f>
        <v>Free-Form Text</v>
      </c>
      <c r="D3" s="16"/>
      <c r="E3" s="16"/>
      <c r="F3" s="17" t="s">
        <v>16</v>
      </c>
      <c r="G3" s="18" t="s">
        <v>12</v>
      </c>
      <c r="H3" s="19" t="s">
        <v>13</v>
      </c>
      <c r="I3" s="19" t="s">
        <v>17</v>
      </c>
      <c r="J3" s="37" t="s">
        <v>18</v>
      </c>
      <c r="K3" s="37"/>
    </row>
    <row r="4" spans="1:11">
      <c r="A4" s="16" t="s">
        <v>19</v>
      </c>
      <c r="B4" s="16" t="str">
        <f>VLOOKUP(A4,'SITE Fields NS'!B:C,2,FALSE)</f>
        <v>custrecord_twc_site_name</v>
      </c>
      <c r="C4" s="16" t="str">
        <f>VLOOKUP(B4,'SITE Fields NS'!C:E,3,FALSE)</f>
        <v>Free-Form Text</v>
      </c>
      <c r="D4" s="16"/>
      <c r="E4" s="16"/>
      <c r="F4" s="17" t="s">
        <v>16</v>
      </c>
      <c r="G4" s="18" t="s">
        <v>12</v>
      </c>
      <c r="H4" s="19" t="s">
        <v>13</v>
      </c>
      <c r="I4" s="19" t="s">
        <v>20</v>
      </c>
      <c r="J4" s="37" t="s">
        <v>18</v>
      </c>
      <c r="K4" s="37" t="s">
        <v>18</v>
      </c>
    </row>
    <row r="5" spans="1:11">
      <c r="A5" s="16" t="s">
        <v>21</v>
      </c>
      <c r="B5" s="16" t="str">
        <f>VLOOKUP(A5,'SITE Fields NS'!B:C,2,FALSE)</f>
        <v>custrecord_twc_site_alias</v>
      </c>
      <c r="C5" s="16" t="str">
        <f>VLOOKUP(B5,'SITE Fields NS'!C:E,3,FALSE)</f>
        <v>Free-Form Text</v>
      </c>
      <c r="D5" s="16"/>
      <c r="E5" s="16"/>
      <c r="F5" s="17" t="s">
        <v>11</v>
      </c>
      <c r="G5" s="18" t="s">
        <v>12</v>
      </c>
      <c r="H5" s="19" t="s">
        <v>13</v>
      </c>
      <c r="I5" s="19" t="s">
        <v>20</v>
      </c>
      <c r="J5" s="37" t="s">
        <v>18</v>
      </c>
      <c r="K5" s="37" t="s">
        <v>18</v>
      </c>
    </row>
    <row r="6" spans="1:11">
      <c r="A6" s="16" t="s">
        <v>22</v>
      </c>
      <c r="B6" s="16" t="str">
        <f>VLOOKUP(A6,'SITE Fields NS'!B:C,2,FALSE)</f>
        <v>custrecord_twc_site_status</v>
      </c>
      <c r="C6" s="16" t="str">
        <f>VLOOKUP(B6,'SITE Fields NS'!C:E,3,FALSE)</f>
        <v>List/Record</v>
      </c>
      <c r="D6" s="16"/>
      <c r="E6" s="16"/>
      <c r="F6" s="17" t="s">
        <v>16</v>
      </c>
      <c r="G6" s="18" t="s">
        <v>12</v>
      </c>
      <c r="H6" s="19" t="s">
        <v>13</v>
      </c>
      <c r="I6" s="19" t="s">
        <v>23</v>
      </c>
      <c r="J6" s="37" t="s">
        <v>24</v>
      </c>
      <c r="K6" s="37" t="s">
        <v>18</v>
      </c>
    </row>
    <row r="7" spans="1:11">
      <c r="A7" s="16" t="s">
        <v>25</v>
      </c>
      <c r="B7" s="16" t="str">
        <f>VLOOKUP(A7,'SITE Fields NS'!B:C,2,FALSE)</f>
        <v>custrecord_twc_site_type</v>
      </c>
      <c r="C7" s="16" t="str">
        <f>VLOOKUP(B7,'SITE Fields NS'!C:E,3,FALSE)</f>
        <v>List/Record</v>
      </c>
      <c r="D7" s="16"/>
      <c r="E7" s="16"/>
      <c r="F7" s="17" t="s">
        <v>16</v>
      </c>
      <c r="G7" s="18" t="s">
        <v>12</v>
      </c>
      <c r="H7" s="19" t="s">
        <v>13</v>
      </c>
      <c r="I7" s="19" t="s">
        <v>23</v>
      </c>
      <c r="J7" s="37" t="s">
        <v>26</v>
      </c>
      <c r="K7" s="37" t="s">
        <v>18</v>
      </c>
    </row>
    <row r="8" spans="1:11">
      <c r="A8" s="16" t="s">
        <v>27</v>
      </c>
      <c r="B8" s="16" t="str">
        <f>VLOOKUP(A8,'SITE Fields NS'!B:C,2,FALSE)</f>
        <v>custrecord_twc_site_multi_mast_sites</v>
      </c>
      <c r="C8" s="16" t="str">
        <f>VLOOKUP(B8,'SITE Fields NS'!C:E,3,FALSE)</f>
        <v>Check Box</v>
      </c>
      <c r="D8" s="16"/>
      <c r="E8" s="16"/>
      <c r="F8" s="17" t="s">
        <v>16</v>
      </c>
      <c r="G8" s="18" t="s">
        <v>12</v>
      </c>
      <c r="H8" s="19" t="s">
        <v>13</v>
      </c>
      <c r="I8" s="19" t="s">
        <v>23</v>
      </c>
      <c r="J8" s="37" t="s">
        <v>28</v>
      </c>
      <c r="K8" s="37" t="s">
        <v>18</v>
      </c>
    </row>
    <row r="9" spans="1:11">
      <c r="A9" s="16" t="s">
        <v>29</v>
      </c>
      <c r="B9" s="16" t="str">
        <f>VLOOKUP(A9,'SITE Fields NS'!B:C,2,FALSE)</f>
        <v>custrecord_twc_site_old_id</v>
      </c>
      <c r="C9" s="16" t="str">
        <f>VLOOKUP(B9,'SITE Fields NS'!C:E,3,FALSE)</f>
        <v>Free-Form Text</v>
      </c>
      <c r="D9" s="16"/>
      <c r="E9" s="16"/>
      <c r="F9" s="17" t="s">
        <v>16</v>
      </c>
      <c r="G9" s="18" t="s">
        <v>12</v>
      </c>
      <c r="H9" s="19" t="s">
        <v>13</v>
      </c>
      <c r="I9" s="19" t="s">
        <v>20</v>
      </c>
      <c r="J9" s="37" t="s">
        <v>18</v>
      </c>
      <c r="K9" s="37" t="s">
        <v>18</v>
      </c>
    </row>
    <row r="10" ht="30" spans="1:11">
      <c r="A10" s="16" t="s">
        <v>30</v>
      </c>
      <c r="B10" s="16" t="e">
        <f>VLOOKUP(A10,'SITE Fields NS'!B:C,2,FALSE)</f>
        <v>#N/A</v>
      </c>
      <c r="C10" s="16" t="e">
        <f>VLOOKUP(B10,'SITE Fields NS'!C:E,3,FALSE)</f>
        <v>#N/A</v>
      </c>
      <c r="D10" s="20" t="s">
        <v>31</v>
      </c>
      <c r="E10" s="20"/>
      <c r="F10" s="17" t="s">
        <v>32</v>
      </c>
      <c r="G10" s="18" t="s">
        <v>12</v>
      </c>
      <c r="H10" s="19" t="s">
        <v>33</v>
      </c>
      <c r="I10" s="38" t="s">
        <v>34</v>
      </c>
      <c r="J10" s="37" t="s">
        <v>18</v>
      </c>
      <c r="K10" s="37" t="s">
        <v>35</v>
      </c>
    </row>
    <row r="11" ht="30" spans="1:11">
      <c r="A11" s="16" t="s">
        <v>36</v>
      </c>
      <c r="B11" s="16" t="e">
        <f>VLOOKUP(A11,'SITE Fields NS'!B:C,2,FALSE)</f>
        <v>#N/A</v>
      </c>
      <c r="C11" s="16" t="e">
        <f>VLOOKUP(B11,'SITE Fields NS'!C:E,3,FALSE)</f>
        <v>#N/A</v>
      </c>
      <c r="D11" s="20" t="s">
        <v>31</v>
      </c>
      <c r="E11" s="20"/>
      <c r="F11" s="17" t="s">
        <v>32</v>
      </c>
      <c r="G11" s="18" t="s">
        <v>12</v>
      </c>
      <c r="H11" s="19" t="s">
        <v>33</v>
      </c>
      <c r="I11" s="38" t="s">
        <v>34</v>
      </c>
      <c r="J11" s="37" t="s">
        <v>18</v>
      </c>
      <c r="K11" s="37" t="s">
        <v>37</v>
      </c>
    </row>
    <row r="12" ht="30" spans="1:11">
      <c r="A12" s="16" t="s">
        <v>38</v>
      </c>
      <c r="B12" s="16" t="e">
        <f>VLOOKUP(A12,'SITE Fields NS'!B:C,2,FALSE)</f>
        <v>#N/A</v>
      </c>
      <c r="C12" s="16" t="e">
        <f>VLOOKUP(B12,'SITE Fields NS'!C:E,3,FALSE)</f>
        <v>#N/A</v>
      </c>
      <c r="D12" s="20" t="s">
        <v>31</v>
      </c>
      <c r="E12" s="20"/>
      <c r="F12" s="17" t="s">
        <v>32</v>
      </c>
      <c r="G12" s="18" t="s">
        <v>12</v>
      </c>
      <c r="H12" s="19" t="s">
        <v>33</v>
      </c>
      <c r="I12" s="38" t="s">
        <v>34</v>
      </c>
      <c r="J12" s="37" t="s">
        <v>18</v>
      </c>
      <c r="K12" s="37" t="s">
        <v>39</v>
      </c>
    </row>
    <row r="13" spans="1:11">
      <c r="A13" s="16" t="s">
        <v>40</v>
      </c>
      <c r="B13" s="16" t="str">
        <f>VLOOKUP(A13,'SITE Fields NS'!B:C,2,FALSE)</f>
        <v>custrecord_twc_site_height_asl</v>
      </c>
      <c r="C13" s="16" t="str">
        <f>VLOOKUP(B13,'SITE Fields NS'!C:E,3,FALSE)</f>
        <v>Decimal Number</v>
      </c>
      <c r="D13" s="16"/>
      <c r="E13" s="16"/>
      <c r="F13" s="17" t="s">
        <v>41</v>
      </c>
      <c r="G13" s="18" t="s">
        <v>12</v>
      </c>
      <c r="H13" s="19" t="s">
        <v>13</v>
      </c>
      <c r="I13" s="19" t="s">
        <v>42</v>
      </c>
      <c r="J13" s="37" t="s">
        <v>18</v>
      </c>
      <c r="K13" s="37" t="s">
        <v>18</v>
      </c>
    </row>
    <row r="14" spans="1:11">
      <c r="A14" s="16" t="s">
        <v>43</v>
      </c>
      <c r="B14" s="16" t="str">
        <f>VLOOKUP(A14,'SITE Fields NS'!B:C,2,FALSE)</f>
        <v>custrecord_twc_site_level</v>
      </c>
      <c r="C14" s="16" t="str">
        <f>VLOOKUP(B14,'SITE Fields NS'!C:E,3,FALSE)</f>
        <v>List/Record</v>
      </c>
      <c r="D14" s="16"/>
      <c r="E14" s="16"/>
      <c r="F14" s="17" t="s">
        <v>11</v>
      </c>
      <c r="G14" s="18" t="s">
        <v>12</v>
      </c>
      <c r="H14" s="19" t="s">
        <v>13</v>
      </c>
      <c r="I14" s="19" t="s">
        <v>23</v>
      </c>
      <c r="J14" s="37" t="s">
        <v>44</v>
      </c>
      <c r="K14" s="37" t="s">
        <v>18</v>
      </c>
    </row>
    <row r="15" spans="1:11">
      <c r="A15" s="16" t="s">
        <v>45</v>
      </c>
      <c r="B15" s="16" t="str">
        <f>VLOOKUP(A15,'SITE Fields NS'!B:C,2,FALSE)</f>
        <v>custrecord_twc_site_portfolio</v>
      </c>
      <c r="C15" s="16" t="str">
        <f>VLOOKUP(B15,'SITE Fields NS'!C:E,3,FALSE)</f>
        <v>List/Record</v>
      </c>
      <c r="D15" s="16"/>
      <c r="E15" s="16"/>
      <c r="F15" s="17" t="s">
        <v>16</v>
      </c>
      <c r="G15" s="18" t="s">
        <v>12</v>
      </c>
      <c r="H15" s="19" t="s">
        <v>13</v>
      </c>
      <c r="I15" s="19" t="s">
        <v>23</v>
      </c>
      <c r="J15" s="37" t="s">
        <v>46</v>
      </c>
      <c r="K15" s="37" t="s">
        <v>47</v>
      </c>
    </row>
    <row r="16" s="5" customFormat="1" spans="1:11">
      <c r="A16" s="21" t="s">
        <v>48</v>
      </c>
      <c r="B16" s="21" t="str">
        <f>VLOOKUP(A16,'SITE Fields NS'!B:C,2,FALSE)</f>
        <v>custrecord_twc_site_srf_status</v>
      </c>
      <c r="C16" s="21" t="str">
        <f>VLOOKUP(B16,'SITE Fields NS'!C:E,3,FALSE)</f>
        <v>List/Record</v>
      </c>
      <c r="D16" s="21"/>
      <c r="E16" s="21" t="s">
        <v>49</v>
      </c>
      <c r="F16" s="22" t="s">
        <v>50</v>
      </c>
      <c r="G16" s="23" t="s">
        <v>51</v>
      </c>
      <c r="H16" s="23" t="s">
        <v>52</v>
      </c>
      <c r="I16" s="32" t="s">
        <v>23</v>
      </c>
      <c r="J16" s="39" t="s">
        <v>53</v>
      </c>
      <c r="K16" s="39" t="s">
        <v>18</v>
      </c>
    </row>
    <row r="17" s="5" customFormat="1" ht="30" spans="1:11">
      <c r="A17" s="21" t="s">
        <v>54</v>
      </c>
      <c r="B17" s="21" t="str">
        <f>VLOOKUP(A17,'SITE Fields NS'!B:C,2,FALSE)</f>
        <v>custrecord_twc_site_saf_status</v>
      </c>
      <c r="C17" s="21" t="str">
        <f>VLOOKUP(B17,'SITE Fields NS'!C:E,3,FALSE)</f>
        <v>List/Record</v>
      </c>
      <c r="D17" s="21"/>
      <c r="E17" s="21" t="s">
        <v>55</v>
      </c>
      <c r="F17" s="22" t="s">
        <v>50</v>
      </c>
      <c r="G17" s="23" t="s">
        <v>51</v>
      </c>
      <c r="H17" s="23" t="s">
        <v>52</v>
      </c>
      <c r="I17" s="32" t="s">
        <v>23</v>
      </c>
      <c r="J17" s="39" t="s">
        <v>56</v>
      </c>
      <c r="K17" s="39"/>
    </row>
    <row r="18" spans="1:11">
      <c r="A18" s="16" t="s">
        <v>57</v>
      </c>
      <c r="B18" s="16" t="str">
        <f>VLOOKUP(A18,'SITE Fields NS'!B:C,2,FALSE)</f>
        <v>custrecord_twc_site_public</v>
      </c>
      <c r="C18" s="16" t="str">
        <f>VLOOKUP(B18,'SITE Fields NS'!C:E,3,FALSE)</f>
        <v>List/Record</v>
      </c>
      <c r="D18" s="16"/>
      <c r="E18" s="16"/>
      <c r="F18" s="17" t="s">
        <v>16</v>
      </c>
      <c r="G18" s="18" t="s">
        <v>12</v>
      </c>
      <c r="H18" s="19" t="s">
        <v>13</v>
      </c>
      <c r="I18" s="19" t="s">
        <v>23</v>
      </c>
      <c r="J18" s="37" t="s">
        <v>58</v>
      </c>
      <c r="K18" s="37" t="s">
        <v>18</v>
      </c>
    </row>
    <row r="19" ht="30" spans="1:11">
      <c r="A19" s="16" t="s">
        <v>59</v>
      </c>
      <c r="B19" s="16" t="str">
        <f>VLOOKUP(A19,'SITE Fields NS'!B:C,2,FALSE)</f>
        <v>custrecord_twc_site_bts_status</v>
      </c>
      <c r="C19" s="16" t="str">
        <f>VLOOKUP(B19,'SITE Fields NS'!C:E,3,FALSE)</f>
        <v>List/Record</v>
      </c>
      <c r="D19" s="16"/>
      <c r="E19" s="16"/>
      <c r="F19" s="17" t="s">
        <v>16</v>
      </c>
      <c r="G19" s="18" t="s">
        <v>12</v>
      </c>
      <c r="H19" s="19" t="s">
        <v>13</v>
      </c>
      <c r="I19" s="19" t="s">
        <v>23</v>
      </c>
      <c r="J19" s="37" t="s">
        <v>60</v>
      </c>
      <c r="K19" s="37"/>
    </row>
    <row r="20" spans="1:11">
      <c r="A20" s="16" t="s">
        <v>61</v>
      </c>
      <c r="B20" s="16" t="str">
        <f>VLOOKUP(A20,'SITE Fields NS'!B:C,2,FALSE)</f>
        <v>custrecord_twc_site_address</v>
      </c>
      <c r="C20" s="16" t="str">
        <f>VLOOKUP(B20,'SITE Fields NS'!C:E,3,FALSE)</f>
        <v>Free-Form Text</v>
      </c>
      <c r="D20" s="16"/>
      <c r="E20" s="16"/>
      <c r="F20" s="17" t="s">
        <v>11</v>
      </c>
      <c r="G20" s="18" t="s">
        <v>12</v>
      </c>
      <c r="H20" s="19" t="s">
        <v>62</v>
      </c>
      <c r="I20" s="19" t="s">
        <v>20</v>
      </c>
      <c r="J20" s="37" t="s">
        <v>18</v>
      </c>
      <c r="K20" s="37" t="s">
        <v>63</v>
      </c>
    </row>
    <row r="21" spans="1:11">
      <c r="A21" s="16" t="s">
        <v>64</v>
      </c>
      <c r="B21" s="16" t="str">
        <f>VLOOKUP(A21,'SITE Fields NS'!B:C,2,FALSE)</f>
        <v>custrecord_twc_site_address_zip</v>
      </c>
      <c r="C21" s="16" t="str">
        <f>VLOOKUP(B21,'SITE Fields NS'!C:E,3,FALSE)</f>
        <v>Free-Form Text</v>
      </c>
      <c r="D21" s="16"/>
      <c r="E21" s="16"/>
      <c r="F21" s="17" t="s">
        <v>65</v>
      </c>
      <c r="G21" s="18" t="s">
        <v>12</v>
      </c>
      <c r="H21" s="19" t="s">
        <v>62</v>
      </c>
      <c r="I21" s="19" t="s">
        <v>20</v>
      </c>
      <c r="J21" s="37" t="s">
        <v>18</v>
      </c>
      <c r="K21" s="37" t="s">
        <v>66</v>
      </c>
    </row>
    <row r="22" spans="1:11">
      <c r="A22" s="24" t="s">
        <v>67</v>
      </c>
      <c r="B22" s="24" t="str">
        <f>VLOOKUP(A22,'SITE Fields NS'!B:C,2,FALSE)</f>
        <v>custrecord_twc_site_what3words</v>
      </c>
      <c r="C22" s="24" t="str">
        <f>VLOOKUP(B22,'SITE Fields NS'!C:E,3,FALSE)</f>
        <v>Free-Form Text</v>
      </c>
      <c r="D22" s="24"/>
      <c r="E22" s="24"/>
      <c r="F22" s="25" t="s">
        <v>65</v>
      </c>
      <c r="G22" s="26" t="s">
        <v>12</v>
      </c>
      <c r="H22" s="27" t="s">
        <v>62</v>
      </c>
      <c r="I22" s="27" t="s">
        <v>20</v>
      </c>
      <c r="J22" s="40" t="s">
        <v>18</v>
      </c>
      <c r="K22" s="40"/>
    </row>
    <row r="23" spans="1:11">
      <c r="A23" s="16" t="s">
        <v>68</v>
      </c>
      <c r="B23" s="16" t="str">
        <f>VLOOKUP(A23,'SITE Fields NS'!B:C,2,FALSE)</f>
        <v>custrecord_twc_site_address_county</v>
      </c>
      <c r="C23" s="16" t="str">
        <f>VLOOKUP(B23,'SITE Fields NS'!C:E,3,FALSE)</f>
        <v>List/Record</v>
      </c>
      <c r="D23" s="16"/>
      <c r="E23" s="16"/>
      <c r="F23" s="17" t="s">
        <v>11</v>
      </c>
      <c r="G23" s="18" t="s">
        <v>12</v>
      </c>
      <c r="H23" s="19" t="s">
        <v>62</v>
      </c>
      <c r="I23" s="19" t="s">
        <v>23</v>
      </c>
      <c r="J23" s="37" t="s">
        <v>18</v>
      </c>
      <c r="K23" s="37" t="s">
        <v>18</v>
      </c>
    </row>
    <row r="24" spans="1:11">
      <c r="A24" s="16" t="s">
        <v>69</v>
      </c>
      <c r="B24" s="16" t="str">
        <f>VLOOKUP(A24,'SITE Fields NS'!B:C,2,FALSE)</f>
        <v>custrecord_twc_site_easting</v>
      </c>
      <c r="C24" s="16" t="str">
        <f>VLOOKUP(B24,'SITE Fields NS'!C:E,3,FALSE)</f>
        <v>Decimal Number</v>
      </c>
      <c r="D24" s="16"/>
      <c r="E24" s="16"/>
      <c r="F24" s="17" t="s">
        <v>11</v>
      </c>
      <c r="G24" s="18" t="s">
        <v>12</v>
      </c>
      <c r="H24" s="19" t="s">
        <v>62</v>
      </c>
      <c r="I24" s="19" t="s">
        <v>70</v>
      </c>
      <c r="J24" s="37" t="s">
        <v>18</v>
      </c>
      <c r="K24" s="41" t="s">
        <v>71</v>
      </c>
    </row>
    <row r="25" spans="1:11">
      <c r="A25" s="16" t="s">
        <v>72</v>
      </c>
      <c r="B25" s="16" t="str">
        <f>VLOOKUP(A25,'SITE Fields NS'!B:C,2,FALSE)</f>
        <v>custrecord_twc_site_northing</v>
      </c>
      <c r="C25" s="16" t="str">
        <f>VLOOKUP(B25,'SITE Fields NS'!C:E,3,FALSE)</f>
        <v>Decimal Number</v>
      </c>
      <c r="D25" s="16"/>
      <c r="E25" s="16"/>
      <c r="F25" s="17" t="s">
        <v>11</v>
      </c>
      <c r="G25" s="18" t="s">
        <v>12</v>
      </c>
      <c r="H25" s="19" t="s">
        <v>62</v>
      </c>
      <c r="I25" s="19" t="s">
        <v>70</v>
      </c>
      <c r="J25" s="37" t="s">
        <v>18</v>
      </c>
      <c r="K25" s="41"/>
    </row>
    <row r="26" spans="1:11">
      <c r="A26" s="16" t="s">
        <v>73</v>
      </c>
      <c r="B26" s="16" t="str">
        <f>VLOOKUP(A26,'SITE Fields NS'!B:C,2,FALSE)</f>
        <v>custrecord_twc_site_longitude</v>
      </c>
      <c r="C26" s="16" t="str">
        <f>VLOOKUP(B26,'SITE Fields NS'!C:E,3,FALSE)</f>
        <v>Decimal Number</v>
      </c>
      <c r="D26" s="16"/>
      <c r="E26" s="16"/>
      <c r="F26" s="17" t="s">
        <v>11</v>
      </c>
      <c r="G26" s="18" t="s">
        <v>12</v>
      </c>
      <c r="H26" s="19" t="s">
        <v>62</v>
      </c>
      <c r="I26" s="19" t="s">
        <v>74</v>
      </c>
      <c r="J26" s="37" t="s">
        <v>18</v>
      </c>
      <c r="K26" s="41"/>
    </row>
    <row r="27" spans="1:11">
      <c r="A27" s="16" t="s">
        <v>75</v>
      </c>
      <c r="B27" s="16" t="str">
        <f>VLOOKUP(A27,'SITE Fields NS'!B:C,2,FALSE)</f>
        <v>custrecord_twc_site_latitude</v>
      </c>
      <c r="C27" s="16" t="str">
        <f>VLOOKUP(B27,'SITE Fields NS'!C:E,3,FALSE)</f>
        <v>Decimal Number</v>
      </c>
      <c r="D27" s="16"/>
      <c r="E27" s="16"/>
      <c r="F27" s="17" t="s">
        <v>11</v>
      </c>
      <c r="G27" s="18" t="s">
        <v>12</v>
      </c>
      <c r="H27" s="19" t="s">
        <v>62</v>
      </c>
      <c r="I27" s="19" t="s">
        <v>74</v>
      </c>
      <c r="J27" s="37" t="s">
        <v>18</v>
      </c>
      <c r="K27" s="41"/>
    </row>
    <row r="28" spans="1:11">
      <c r="A28" s="16" t="s">
        <v>76</v>
      </c>
      <c r="B28" s="16" t="str">
        <f>VLOOKUP(A28,'SITE Fields NS'!B:C,2,FALSE)</f>
        <v>custrecord_twc_site_saf_auto_approve</v>
      </c>
      <c r="C28" s="16" t="str">
        <f>VLOOKUP(B28,'SITE Fields NS'!C:E,3,FALSE)</f>
        <v>Check Box</v>
      </c>
      <c r="D28" s="16"/>
      <c r="E28" s="16"/>
      <c r="F28" s="17" t="s">
        <v>11</v>
      </c>
      <c r="G28" s="18" t="s">
        <v>12</v>
      </c>
      <c r="H28" s="19" t="s">
        <v>77</v>
      </c>
      <c r="I28" s="19" t="s">
        <v>23</v>
      </c>
      <c r="J28" s="37" t="s">
        <v>78</v>
      </c>
      <c r="K28" s="37" t="s">
        <v>18</v>
      </c>
    </row>
    <row r="29" spans="1:11">
      <c r="A29" s="16" t="s">
        <v>79</v>
      </c>
      <c r="B29" s="16" t="str">
        <f>VLOOKUP(A29,'SITE Fields NS'!B:C,2,FALSE)</f>
        <v>custrecord_twc_site_track_type</v>
      </c>
      <c r="C29" s="16" t="str">
        <f>VLOOKUP(B29,'SITE Fields NS'!C:E,3,FALSE)</f>
        <v>List/Record</v>
      </c>
      <c r="D29" s="16"/>
      <c r="E29" s="16"/>
      <c r="F29" s="17" t="s">
        <v>11</v>
      </c>
      <c r="G29" s="19" t="s">
        <v>77</v>
      </c>
      <c r="H29" s="19" t="s">
        <v>77</v>
      </c>
      <c r="I29" s="19" t="s">
        <v>23</v>
      </c>
      <c r="J29" s="37" t="s">
        <v>80</v>
      </c>
      <c r="K29" s="37" t="s">
        <v>18</v>
      </c>
    </row>
    <row r="30" customHeight="1" spans="1:11">
      <c r="A30" s="16" t="s">
        <v>81</v>
      </c>
      <c r="B30" s="16" t="str">
        <f>VLOOKUP(A30,'SITE Fields NS'!B:C,2,FALSE)</f>
        <v>custrecord_twc_site_easting_access</v>
      </c>
      <c r="C30" s="16" t="str">
        <f>VLOOKUP(B30,'SITE Fields NS'!C:E,3,FALSE)</f>
        <v>Decimal Number</v>
      </c>
      <c r="D30" s="16"/>
      <c r="E30" s="16"/>
      <c r="F30" s="17" t="s">
        <v>11</v>
      </c>
      <c r="G30" s="19" t="s">
        <v>77</v>
      </c>
      <c r="H30" s="19" t="s">
        <v>77</v>
      </c>
      <c r="I30" s="19" t="s">
        <v>70</v>
      </c>
      <c r="J30" s="37" t="s">
        <v>18</v>
      </c>
      <c r="K30" s="37" t="s">
        <v>18</v>
      </c>
    </row>
    <row r="31" spans="1:11">
      <c r="A31" s="16" t="s">
        <v>82</v>
      </c>
      <c r="B31" s="16" t="str">
        <f>VLOOKUP(A31,'SITE Fields NS'!B:C,2,FALSE)</f>
        <v>custrecord_twc_site_northing_access</v>
      </c>
      <c r="C31" s="16" t="str">
        <f>VLOOKUP(B31,'SITE Fields NS'!C:E,3,FALSE)</f>
        <v>Decimal Number</v>
      </c>
      <c r="D31" s="16"/>
      <c r="E31" s="16"/>
      <c r="F31" s="17" t="s">
        <v>11</v>
      </c>
      <c r="G31" s="19" t="s">
        <v>77</v>
      </c>
      <c r="H31" s="19" t="s">
        <v>77</v>
      </c>
      <c r="I31" s="19" t="s">
        <v>70</v>
      </c>
      <c r="J31" s="37" t="s">
        <v>18</v>
      </c>
      <c r="K31" s="37" t="s">
        <v>18</v>
      </c>
    </row>
    <row r="32" spans="1:11">
      <c r="A32" s="16" t="s">
        <v>83</v>
      </c>
      <c r="B32" s="16" t="str">
        <f>VLOOKUP(A32,'SITE Fields NS'!B:C,2,FALSE)</f>
        <v>custrecord_twc_site_longitude_access</v>
      </c>
      <c r="C32" s="16" t="str">
        <f>VLOOKUP(B32,'SITE Fields NS'!C:E,3,FALSE)</f>
        <v>Decimal Number</v>
      </c>
      <c r="D32" s="16"/>
      <c r="E32" s="16"/>
      <c r="F32" s="17" t="s">
        <v>11</v>
      </c>
      <c r="G32" s="19" t="s">
        <v>77</v>
      </c>
      <c r="H32" s="19" t="s">
        <v>77</v>
      </c>
      <c r="I32" s="19" t="s">
        <v>74</v>
      </c>
      <c r="J32" s="37" t="s">
        <v>18</v>
      </c>
      <c r="K32" s="37" t="s">
        <v>18</v>
      </c>
    </row>
    <row r="33" spans="1:11">
      <c r="A33" s="16" t="s">
        <v>84</v>
      </c>
      <c r="B33" s="16" t="str">
        <f>VLOOKUP(A33,'SITE Fields NS'!B:C,2,FALSE)</f>
        <v>custrecord_twc_site_latitude_access</v>
      </c>
      <c r="C33" s="16" t="str">
        <f>VLOOKUP(B33,'SITE Fields NS'!C:E,3,FALSE)</f>
        <v>Decimal Number</v>
      </c>
      <c r="D33" s="16"/>
      <c r="E33" s="16"/>
      <c r="F33" s="17" t="s">
        <v>11</v>
      </c>
      <c r="G33" s="19" t="s">
        <v>77</v>
      </c>
      <c r="H33" s="19" t="s">
        <v>77</v>
      </c>
      <c r="I33" s="19" t="s">
        <v>74</v>
      </c>
      <c r="J33" s="37" t="s">
        <v>18</v>
      </c>
      <c r="K33" s="37" t="s">
        <v>18</v>
      </c>
    </row>
    <row r="34" spans="1:11">
      <c r="A34" s="24" t="s">
        <v>85</v>
      </c>
      <c r="B34" s="24" t="str">
        <f>VLOOKUP(A34,'SITE Fields NS'!B:C,2,FALSE)</f>
        <v>custrecord_twc_site_acc_wt3words</v>
      </c>
      <c r="C34" s="24" t="str">
        <f>VLOOKUP(B34,'SITE Fields NS'!C:E,3,FALSE)</f>
        <v>Free-Form Text</v>
      </c>
      <c r="D34" s="24"/>
      <c r="E34" s="24"/>
      <c r="F34" s="25" t="s">
        <v>65</v>
      </c>
      <c r="G34" s="27" t="s">
        <v>77</v>
      </c>
      <c r="H34" s="27" t="s">
        <v>77</v>
      </c>
      <c r="I34" s="27" t="s">
        <v>20</v>
      </c>
      <c r="J34" s="40" t="s">
        <v>18</v>
      </c>
      <c r="K34" s="40"/>
    </row>
    <row r="35" spans="1:11">
      <c r="A35" s="16" t="s">
        <v>86</v>
      </c>
      <c r="B35" s="16" t="str">
        <f>VLOOKUP(A35,'SITE Fields NS'!B:C,2,FALSE)</f>
        <v>custrecord_twc_site_directions</v>
      </c>
      <c r="C35" s="16" t="str">
        <f>VLOOKUP(B35,'SITE Fields NS'!C:E,3,FALSE)</f>
        <v>Long Text</v>
      </c>
      <c r="D35" s="16"/>
      <c r="E35" s="16"/>
      <c r="F35" s="17" t="s">
        <v>11</v>
      </c>
      <c r="G35" s="19" t="s">
        <v>77</v>
      </c>
      <c r="H35" s="19" t="s">
        <v>77</v>
      </c>
      <c r="I35" s="19" t="s">
        <v>87</v>
      </c>
      <c r="J35" s="37" t="s">
        <v>18</v>
      </c>
      <c r="K35" s="37" t="s">
        <v>18</v>
      </c>
    </row>
    <row r="36" spans="1:11">
      <c r="A36" s="16" t="s">
        <v>88</v>
      </c>
      <c r="B36" s="16" t="str">
        <f>VLOOKUP(A36,'SITE Fields NS'!B:C,2,FALSE)</f>
        <v>custrecord_twc_site_instructions</v>
      </c>
      <c r="C36" s="16" t="str">
        <f>VLOOKUP(B36,'SITE Fields NS'!C:E,3,FALSE)</f>
        <v>Long Text</v>
      </c>
      <c r="D36" s="16"/>
      <c r="E36" s="16"/>
      <c r="F36" s="17" t="s">
        <v>11</v>
      </c>
      <c r="G36" s="19" t="s">
        <v>77</v>
      </c>
      <c r="H36" s="19" t="s">
        <v>77</v>
      </c>
      <c r="I36" s="19" t="s">
        <v>87</v>
      </c>
      <c r="J36" s="37" t="s">
        <v>18</v>
      </c>
      <c r="K36" s="37" t="s">
        <v>18</v>
      </c>
    </row>
    <row r="37" spans="1:11">
      <c r="A37" s="16" t="s">
        <v>89</v>
      </c>
      <c r="B37" s="16" t="str">
        <f>VLOOKUP(A37,'SITE Fields NS'!B:C,2,FALSE)</f>
        <v>custrecord_twc_site_tenant_card_req</v>
      </c>
      <c r="C37" s="16" t="str">
        <f>VLOOKUP(B37,'SITE Fields NS'!C:E,3,FALSE)</f>
        <v>Check Box</v>
      </c>
      <c r="D37" s="16"/>
      <c r="E37" s="16"/>
      <c r="F37" s="17" t="s">
        <v>11</v>
      </c>
      <c r="G37" s="19" t="s">
        <v>77</v>
      </c>
      <c r="H37" s="19" t="s">
        <v>77</v>
      </c>
      <c r="I37" s="19" t="s">
        <v>23</v>
      </c>
      <c r="J37" s="37" t="s">
        <v>78</v>
      </c>
      <c r="K37" s="37" t="s">
        <v>18</v>
      </c>
    </row>
    <row r="38" spans="1:11">
      <c r="A38" s="16" t="s">
        <v>90</v>
      </c>
      <c r="B38" s="16" t="str">
        <f>VLOOKUP(A38,'SITE Fields NS'!B:C,2,FALSE)</f>
        <v>custrecord_twc_site_4x4_req</v>
      </c>
      <c r="C38" s="16" t="str">
        <f>VLOOKUP(B38,'SITE Fields NS'!C:E,3,FALSE)</f>
        <v>Check Box</v>
      </c>
      <c r="D38" s="16"/>
      <c r="E38" s="16"/>
      <c r="F38" s="17" t="s">
        <v>11</v>
      </c>
      <c r="G38" s="19" t="s">
        <v>77</v>
      </c>
      <c r="H38" s="19" t="s">
        <v>77</v>
      </c>
      <c r="I38" s="19" t="s">
        <v>23</v>
      </c>
      <c r="J38" s="37" t="s">
        <v>78</v>
      </c>
      <c r="K38" s="37" t="s">
        <v>18</v>
      </c>
    </row>
    <row r="39" spans="1:11">
      <c r="A39" s="16" t="s">
        <v>91</v>
      </c>
      <c r="B39" s="16" t="str">
        <f>VLOOKUP(A39,'SITE Fields NS'!B:C,2,FALSE)</f>
        <v>custrecord_twc_site_parking_restr</v>
      </c>
      <c r="C39" s="16" t="str">
        <f>VLOOKUP(B39,'SITE Fields NS'!C:E,3,FALSE)</f>
        <v>Free-Form Text</v>
      </c>
      <c r="D39" s="16"/>
      <c r="E39" s="16"/>
      <c r="F39" s="17" t="s">
        <v>11</v>
      </c>
      <c r="G39" s="19" t="s">
        <v>77</v>
      </c>
      <c r="H39" s="19" t="s">
        <v>77</v>
      </c>
      <c r="I39" s="19" t="s">
        <v>20</v>
      </c>
      <c r="J39" s="37" t="s">
        <v>18</v>
      </c>
      <c r="K39" s="37" t="s">
        <v>18</v>
      </c>
    </row>
    <row r="40" spans="1:11">
      <c r="A40" s="16" t="s">
        <v>92</v>
      </c>
      <c r="B40" s="16" t="str">
        <f>VLOOKUP(A40,'SITE Fields NS'!B:C,2,FALSE)</f>
        <v>custrecord_twc_site_crane_mewp_access</v>
      </c>
      <c r="C40" s="16" t="str">
        <f>VLOOKUP(B40,'SITE Fields NS'!C:E,3,FALSE)</f>
        <v>Check Box</v>
      </c>
      <c r="D40" s="16"/>
      <c r="E40" s="16"/>
      <c r="F40" s="17" t="s">
        <v>11</v>
      </c>
      <c r="G40" s="19" t="s">
        <v>77</v>
      </c>
      <c r="H40" s="19" t="s">
        <v>77</v>
      </c>
      <c r="I40" s="19" t="s">
        <v>23</v>
      </c>
      <c r="J40" s="37" t="s">
        <v>78</v>
      </c>
      <c r="K40" s="37" t="s">
        <v>18</v>
      </c>
    </row>
    <row r="41" spans="1:11">
      <c r="A41" s="28" t="s">
        <v>93</v>
      </c>
      <c r="B41" s="28" t="e">
        <f>VLOOKUP(A41,'SITE Fields NS'!B:C,2,FALSE)</f>
        <v>#N/A</v>
      </c>
      <c r="C41" s="28" t="e">
        <f>VLOOKUP(B41,'SITE Fields NS'!C:E,3,FALSE)</f>
        <v>#N/A</v>
      </c>
      <c r="D41" s="28" t="s">
        <v>94</v>
      </c>
      <c r="E41" s="28"/>
      <c r="F41" s="29" t="s">
        <v>11</v>
      </c>
      <c r="G41" s="30" t="s">
        <v>77</v>
      </c>
      <c r="H41" s="30" t="s">
        <v>77</v>
      </c>
      <c r="I41" s="30" t="s">
        <v>23</v>
      </c>
      <c r="J41" s="42" t="s">
        <v>78</v>
      </c>
      <c r="K41" s="42" t="s">
        <v>94</v>
      </c>
    </row>
    <row r="42" spans="1:11">
      <c r="A42" s="16" t="s">
        <v>95</v>
      </c>
      <c r="B42" s="16" t="e">
        <f>VLOOKUP(A42,'SITE Fields NS'!B:C,2,FALSE)</f>
        <v>#N/A</v>
      </c>
      <c r="C42" s="16" t="e">
        <f>VLOOKUP(B42,'SITE Fields NS'!C:E,3,FALSE)</f>
        <v>#N/A</v>
      </c>
      <c r="D42" s="24" t="s">
        <v>31</v>
      </c>
      <c r="E42" s="24"/>
      <c r="F42" s="17" t="s">
        <v>96</v>
      </c>
      <c r="G42" s="19" t="s">
        <v>77</v>
      </c>
      <c r="H42" s="19" t="s">
        <v>77</v>
      </c>
      <c r="I42" s="38" t="s">
        <v>97</v>
      </c>
      <c r="J42" s="37" t="s">
        <v>18</v>
      </c>
      <c r="K42" s="37" t="s">
        <v>98</v>
      </c>
    </row>
    <row r="43" spans="1:11">
      <c r="A43" s="16" t="s">
        <v>99</v>
      </c>
      <c r="B43" s="16" t="str">
        <f>VLOOKUP(A43,'SITE Fields NS'!B:C,2,FALSE)</f>
        <v>custrecord_twc_site_safety_spl_notes</v>
      </c>
      <c r="C43" s="16" t="str">
        <f>VLOOKUP(B43,'SITE Fields NS'!C:E,3,FALSE)</f>
        <v>Long Text</v>
      </c>
      <c r="D43" s="16"/>
      <c r="E43" s="16"/>
      <c r="F43" s="17" t="s">
        <v>11</v>
      </c>
      <c r="G43" s="19" t="s">
        <v>77</v>
      </c>
      <c r="H43" s="19" t="s">
        <v>77</v>
      </c>
      <c r="I43" s="19" t="s">
        <v>87</v>
      </c>
      <c r="J43" s="37" t="s">
        <v>18</v>
      </c>
      <c r="K43" s="37" t="s">
        <v>18</v>
      </c>
    </row>
    <row r="44" spans="1:11">
      <c r="A44" s="24" t="s">
        <v>100</v>
      </c>
      <c r="B44" s="24" t="e">
        <f>VLOOKUP(A44,'SITE Fields NS'!B:C,2,FALSE)</f>
        <v>#N/A</v>
      </c>
      <c r="C44" s="24" t="e">
        <f>VLOOKUP(B44,'SITE Fields NS'!C:E,3,FALSE)</f>
        <v>#N/A</v>
      </c>
      <c r="D44" s="24" t="s">
        <v>31</v>
      </c>
      <c r="E44" s="24"/>
      <c r="F44" s="25"/>
      <c r="G44" s="27" t="s">
        <v>101</v>
      </c>
      <c r="H44" s="27" t="s">
        <v>102</v>
      </c>
      <c r="I44" s="38" t="s">
        <v>103</v>
      </c>
      <c r="J44" s="40"/>
      <c r="K44" s="40"/>
    </row>
    <row r="45" spans="1:11">
      <c r="A45" s="24" t="s">
        <v>104</v>
      </c>
      <c r="B45" s="24" t="e">
        <f>VLOOKUP(A45,'SITE Fields NS'!B:C,2,FALSE)</f>
        <v>#N/A</v>
      </c>
      <c r="C45" s="24" t="e">
        <f>VLOOKUP(B45,'SITE Fields NS'!C:E,3,FALSE)</f>
        <v>#N/A</v>
      </c>
      <c r="D45" s="24" t="s">
        <v>31</v>
      </c>
      <c r="E45" s="24"/>
      <c r="F45" s="25"/>
      <c r="G45" s="27" t="s">
        <v>101</v>
      </c>
      <c r="H45" s="27" t="s">
        <v>102</v>
      </c>
      <c r="I45" s="38" t="s">
        <v>105</v>
      </c>
      <c r="J45" s="40"/>
      <c r="K45" s="40"/>
    </row>
    <row r="46" spans="1:11">
      <c r="A46" s="28" t="s">
        <v>106</v>
      </c>
      <c r="B46" s="28" t="e">
        <f>VLOOKUP(A46,'SITE Fields NS'!B:C,2,FALSE)</f>
        <v>#N/A</v>
      </c>
      <c r="C46" s="28" t="e">
        <f>VLOOKUP(B46,'SITE Fields NS'!C:E,3,FALSE)</f>
        <v>#N/A</v>
      </c>
      <c r="D46" s="28" t="s">
        <v>94</v>
      </c>
      <c r="E46" s="28"/>
      <c r="F46" s="29" t="s">
        <v>16</v>
      </c>
      <c r="G46" s="31" t="s">
        <v>101</v>
      </c>
      <c r="H46" s="30" t="s">
        <v>102</v>
      </c>
      <c r="I46" s="30" t="s">
        <v>107</v>
      </c>
      <c r="J46" s="42" t="s">
        <v>18</v>
      </c>
      <c r="K46" s="42" t="s">
        <v>94</v>
      </c>
    </row>
    <row r="47" spans="1:11">
      <c r="A47" s="28" t="s">
        <v>108</v>
      </c>
      <c r="B47" s="28" t="e">
        <f>VLOOKUP(A47,'SITE Fields NS'!B:C,2,FALSE)</f>
        <v>#N/A</v>
      </c>
      <c r="C47" s="28" t="e">
        <f>VLOOKUP(B47,'SITE Fields NS'!C:E,3,FALSE)</f>
        <v>#N/A</v>
      </c>
      <c r="D47" s="28" t="s">
        <v>94</v>
      </c>
      <c r="E47" s="28"/>
      <c r="F47" s="29" t="s">
        <v>16</v>
      </c>
      <c r="G47" s="31" t="s">
        <v>101</v>
      </c>
      <c r="H47" s="30" t="s">
        <v>102</v>
      </c>
      <c r="I47" s="30" t="s">
        <v>107</v>
      </c>
      <c r="J47" s="42" t="s">
        <v>18</v>
      </c>
      <c r="K47" s="42" t="s">
        <v>94</v>
      </c>
    </row>
    <row r="48" spans="1:11">
      <c r="A48" s="28" t="s">
        <v>109</v>
      </c>
      <c r="B48" s="28" t="e">
        <f>VLOOKUP(A48,'SITE Fields NS'!B:C,2,FALSE)</f>
        <v>#N/A</v>
      </c>
      <c r="C48" s="28" t="e">
        <f>VLOOKUP(B48,'SITE Fields NS'!C:E,3,FALSE)</f>
        <v>#N/A</v>
      </c>
      <c r="D48" s="28" t="s">
        <v>94</v>
      </c>
      <c r="E48" s="28"/>
      <c r="F48" s="29" t="s">
        <v>32</v>
      </c>
      <c r="G48" s="31" t="s">
        <v>101</v>
      </c>
      <c r="H48" s="30" t="s">
        <v>102</v>
      </c>
      <c r="I48" s="30" t="s">
        <v>107</v>
      </c>
      <c r="J48" s="42" t="s">
        <v>18</v>
      </c>
      <c r="K48" s="42" t="s">
        <v>94</v>
      </c>
    </row>
    <row r="49" spans="1:11">
      <c r="A49" s="28" t="s">
        <v>110</v>
      </c>
      <c r="B49" s="28" t="e">
        <f>VLOOKUP(A49,'SITE Fields NS'!B:C,2,FALSE)</f>
        <v>#N/A</v>
      </c>
      <c r="C49" s="28" t="e">
        <f>VLOOKUP(B49,'SITE Fields NS'!C:E,3,FALSE)</f>
        <v>#N/A</v>
      </c>
      <c r="D49" s="28" t="s">
        <v>94</v>
      </c>
      <c r="E49" s="28"/>
      <c r="F49" s="29" t="s">
        <v>16</v>
      </c>
      <c r="G49" s="31" t="s">
        <v>101</v>
      </c>
      <c r="H49" s="30" t="s">
        <v>111</v>
      </c>
      <c r="I49" s="30" t="s">
        <v>112</v>
      </c>
      <c r="J49" s="42" t="s">
        <v>18</v>
      </c>
      <c r="K49" s="42" t="s">
        <v>94</v>
      </c>
    </row>
    <row r="50" spans="1:11">
      <c r="A50" s="28" t="s">
        <v>113</v>
      </c>
      <c r="B50" s="28" t="e">
        <f>VLOOKUP(A50,'SITE Fields NS'!B:C,2,FALSE)</f>
        <v>#N/A</v>
      </c>
      <c r="C50" s="28" t="e">
        <f>VLOOKUP(B50,'SITE Fields NS'!C:E,3,FALSE)</f>
        <v>#N/A</v>
      </c>
      <c r="D50" s="28" t="s">
        <v>94</v>
      </c>
      <c r="E50" s="28"/>
      <c r="F50" s="29" t="s">
        <v>16</v>
      </c>
      <c r="G50" s="31" t="s">
        <v>101</v>
      </c>
      <c r="H50" s="30" t="s">
        <v>111</v>
      </c>
      <c r="I50" s="30" t="s">
        <v>112</v>
      </c>
      <c r="J50" s="42" t="s">
        <v>18</v>
      </c>
      <c r="K50" s="42" t="s">
        <v>94</v>
      </c>
    </row>
    <row r="51" spans="1:11">
      <c r="A51" s="28" t="s">
        <v>114</v>
      </c>
      <c r="B51" s="28" t="e">
        <f>VLOOKUP(A51,'SITE Fields NS'!B:C,2,FALSE)</f>
        <v>#N/A</v>
      </c>
      <c r="C51" s="28" t="e">
        <f>VLOOKUP(B51,'SITE Fields NS'!C:E,3,FALSE)</f>
        <v>#N/A</v>
      </c>
      <c r="D51" s="28" t="s">
        <v>94</v>
      </c>
      <c r="E51" s="28"/>
      <c r="F51" s="29" t="s">
        <v>32</v>
      </c>
      <c r="G51" s="31" t="s">
        <v>101</v>
      </c>
      <c r="H51" s="30" t="s">
        <v>111</v>
      </c>
      <c r="I51" s="30" t="s">
        <v>112</v>
      </c>
      <c r="J51" s="42" t="s">
        <v>18</v>
      </c>
      <c r="K51" s="42" t="s">
        <v>94</v>
      </c>
    </row>
    <row r="52" spans="1:11">
      <c r="A52" s="16" t="s">
        <v>115</v>
      </c>
      <c r="B52" s="16" t="str">
        <f>VLOOKUP(A52,'SITE Fields NS'!B:C,2,FALSE)</f>
        <v>custrecord_twc_site_full_dmed_area_fncd</v>
      </c>
      <c r="C52" s="16" t="str">
        <f>VLOOKUP(B52,'SITE Fields NS'!C:E,3,FALSE)</f>
        <v>Check Box</v>
      </c>
      <c r="D52" s="16"/>
      <c r="E52" s="16"/>
      <c r="F52" s="17" t="s">
        <v>11</v>
      </c>
      <c r="G52" s="18" t="s">
        <v>101</v>
      </c>
      <c r="H52" s="19" t="s">
        <v>116</v>
      </c>
      <c r="I52" s="19" t="s">
        <v>23</v>
      </c>
      <c r="J52" s="37" t="s">
        <v>78</v>
      </c>
      <c r="K52" s="37" t="s">
        <v>18</v>
      </c>
    </row>
    <row r="53" spans="1:11">
      <c r="A53" s="16" t="s">
        <v>117</v>
      </c>
      <c r="B53" s="16" t="str">
        <f>VLOOKUP(A53,'SITE Fields NS'!B:C,2,FALSE)</f>
        <v>custrecord_twc_site_adj_grnd_space</v>
      </c>
      <c r="C53" s="16" t="str">
        <f>VLOOKUP(B53,'SITE Fields NS'!C:E,3,FALSE)</f>
        <v>Check Box</v>
      </c>
      <c r="D53" s="16"/>
      <c r="E53" s="16"/>
      <c r="F53" s="17" t="s">
        <v>11</v>
      </c>
      <c r="G53" s="18" t="s">
        <v>101</v>
      </c>
      <c r="H53" s="19" t="s">
        <v>116</v>
      </c>
      <c r="I53" s="19" t="s">
        <v>23</v>
      </c>
      <c r="J53" s="37" t="s">
        <v>78</v>
      </c>
      <c r="K53" s="37" t="s">
        <v>18</v>
      </c>
    </row>
    <row r="54" spans="1:11">
      <c r="A54" s="16" t="s">
        <v>118</v>
      </c>
      <c r="B54" s="16" t="str">
        <f>VLOOKUP(A54,'SITE Fields NS'!B:C,2,FALSE)</f>
        <v>custrecord_twc_site_adj_grnd_owner</v>
      </c>
      <c r="C54" s="16" t="str">
        <f>VLOOKUP(B54,'SITE Fields NS'!C:E,3,FALSE)</f>
        <v>Free-Form Text</v>
      </c>
      <c r="D54" s="16"/>
      <c r="E54" s="16"/>
      <c r="F54" s="17" t="s">
        <v>11</v>
      </c>
      <c r="G54" s="18" t="s">
        <v>101</v>
      </c>
      <c r="H54" s="19" t="s">
        <v>116</v>
      </c>
      <c r="I54" s="19" t="s">
        <v>20</v>
      </c>
      <c r="J54" s="37" t="s">
        <v>18</v>
      </c>
      <c r="K54" s="37" t="s">
        <v>18</v>
      </c>
    </row>
    <row r="55" ht="60" spans="1:11">
      <c r="A55" s="16" t="s">
        <v>119</v>
      </c>
      <c r="B55" s="16" t="str">
        <f>VLOOKUP(A55,'SITE Fields NS'!B:C,2,FALSE)</f>
        <v>custrecord_twc_site_perimeter_type</v>
      </c>
      <c r="C55" s="16" t="str">
        <f>VLOOKUP(B55,'SITE Fields NS'!C:E,3,FALSE)</f>
        <v>List/Record</v>
      </c>
      <c r="D55" s="16"/>
      <c r="E55" s="16"/>
      <c r="F55" s="17" t="s">
        <v>11</v>
      </c>
      <c r="G55" s="18" t="s">
        <v>101</v>
      </c>
      <c r="H55" s="19" t="s">
        <v>116</v>
      </c>
      <c r="I55" s="19" t="s">
        <v>23</v>
      </c>
      <c r="J55" s="37" t="s">
        <v>120</v>
      </c>
      <c r="K55" s="37" t="s">
        <v>47</v>
      </c>
    </row>
    <row r="56" spans="1:11">
      <c r="A56" s="16" t="s">
        <v>121</v>
      </c>
      <c r="B56" s="16" t="str">
        <f>VLOOKUP(A56,'SITE Fields NS'!B:C,2,FALSE)</f>
        <v>custrecord_twc_site_fence_height_m</v>
      </c>
      <c r="C56" s="16" t="str">
        <f>VLOOKUP(B56,'SITE Fields NS'!C:E,3,FALSE)</f>
        <v>Integer Number</v>
      </c>
      <c r="D56" s="16"/>
      <c r="E56" s="16"/>
      <c r="F56" s="17" t="s">
        <v>11</v>
      </c>
      <c r="G56" s="18" t="s">
        <v>101</v>
      </c>
      <c r="H56" s="19" t="s">
        <v>116</v>
      </c>
      <c r="I56" s="19" t="s">
        <v>14</v>
      </c>
      <c r="J56" s="37" t="s">
        <v>18</v>
      </c>
      <c r="K56" s="37" t="s">
        <v>18</v>
      </c>
    </row>
    <row r="57" s="5" customFormat="1" spans="1:11">
      <c r="A57" s="21" t="s">
        <v>122</v>
      </c>
      <c r="B57" s="21" t="str">
        <f>VLOOKUP(A57,'SITE Fields NS'!B:C,2,FALSE)</f>
        <v>custrecord_twc_site_indep_pwr_supp</v>
      </c>
      <c r="C57" s="21" t="str">
        <f>VLOOKUP(B57,'SITE Fields NS'!C:E,3,FALSE)</f>
        <v>Integer Number</v>
      </c>
      <c r="D57" s="21"/>
      <c r="E57" s="21" t="s">
        <v>123</v>
      </c>
      <c r="F57" s="22" t="s">
        <v>32</v>
      </c>
      <c r="G57" s="23" t="s">
        <v>124</v>
      </c>
      <c r="H57" s="32" t="s">
        <v>124</v>
      </c>
      <c r="I57" s="32" t="s">
        <v>125</v>
      </c>
      <c r="J57" s="39" t="s">
        <v>18</v>
      </c>
      <c r="K57" s="39" t="s">
        <v>126</v>
      </c>
    </row>
    <row r="58" spans="1:11">
      <c r="A58" s="28" t="s">
        <v>127</v>
      </c>
      <c r="B58" s="28" t="e">
        <f>VLOOKUP(A58,'SITE Fields NS'!B:C,2,FALSE)</f>
        <v>#N/A</v>
      </c>
      <c r="C58" s="28" t="e">
        <f>VLOOKUP(B58,'SITE Fields NS'!C:E,3,FALSE)</f>
        <v>#N/A</v>
      </c>
      <c r="D58" s="28" t="s">
        <v>94</v>
      </c>
      <c r="E58" s="28"/>
      <c r="F58" s="29" t="s">
        <v>128</v>
      </c>
      <c r="G58" s="31" t="s">
        <v>124</v>
      </c>
      <c r="H58" s="30" t="s">
        <v>124</v>
      </c>
      <c r="I58" s="30" t="s">
        <v>14</v>
      </c>
      <c r="J58" s="42" t="s">
        <v>18</v>
      </c>
      <c r="K58" s="42" t="s">
        <v>94</v>
      </c>
    </row>
    <row r="59" ht="30" spans="1:11">
      <c r="A59" s="24" t="s">
        <v>129</v>
      </c>
      <c r="B59" s="24" t="e">
        <f>VLOOKUP(A59,'SITE Fields NS'!B:C,2,FALSE)</f>
        <v>#N/A</v>
      </c>
      <c r="C59" s="24" t="e">
        <f>VLOOKUP(B59,'SITE Fields NS'!C:E,3,FALSE)</f>
        <v>#N/A</v>
      </c>
      <c r="D59" s="24" t="s">
        <v>31</v>
      </c>
      <c r="E59" s="24"/>
      <c r="F59" s="17" t="s">
        <v>128</v>
      </c>
      <c r="G59" s="18" t="s">
        <v>124</v>
      </c>
      <c r="H59" s="19" t="s">
        <v>124</v>
      </c>
      <c r="I59" s="38" t="s">
        <v>130</v>
      </c>
      <c r="J59" s="37" t="s">
        <v>18</v>
      </c>
      <c r="K59" s="37" t="s">
        <v>131</v>
      </c>
    </row>
    <row r="60" ht="30" spans="1:11">
      <c r="A60" s="24" t="s">
        <v>132</v>
      </c>
      <c r="B60" s="24" t="e">
        <f>VLOOKUP(A60,'SITE Fields NS'!B:C,2,FALSE)</f>
        <v>#N/A</v>
      </c>
      <c r="C60" s="24" t="e">
        <f>VLOOKUP(B60,'SITE Fields NS'!C:E,3,FALSE)</f>
        <v>#N/A</v>
      </c>
      <c r="D60" s="24" t="s">
        <v>31</v>
      </c>
      <c r="E60" s="24"/>
      <c r="F60" s="33" t="s">
        <v>128</v>
      </c>
      <c r="G60" s="18" t="s">
        <v>124</v>
      </c>
      <c r="H60" s="19" t="s">
        <v>124</v>
      </c>
      <c r="I60" s="38" t="s">
        <v>34</v>
      </c>
      <c r="J60" s="37" t="s">
        <v>18</v>
      </c>
      <c r="K60" s="37" t="s">
        <v>133</v>
      </c>
    </row>
    <row r="61" spans="1:11">
      <c r="A61" s="16" t="s">
        <v>134</v>
      </c>
      <c r="B61" s="16" t="str">
        <f>VLOOKUP(A61,'SITE Fields NS'!B:C,2,FALSE)</f>
        <v>custrecord_twc_site_nxt_gen_svc</v>
      </c>
      <c r="C61" s="16" t="str">
        <f>VLOOKUP(B61,'SITE Fields NS'!C:E,3,FALSE)</f>
        <v>Date</v>
      </c>
      <c r="D61" s="16"/>
      <c r="E61" s="16"/>
      <c r="F61" s="17" t="s">
        <v>135</v>
      </c>
      <c r="G61" s="18" t="s">
        <v>136</v>
      </c>
      <c r="H61" s="19" t="s">
        <v>124</v>
      </c>
      <c r="I61" s="19" t="s">
        <v>137</v>
      </c>
      <c r="J61" s="37"/>
      <c r="K61" s="41" t="s">
        <v>138</v>
      </c>
    </row>
    <row r="62" spans="1:11">
      <c r="A62" s="16" t="s">
        <v>139</v>
      </c>
      <c r="B62" s="16" t="str">
        <f>VLOOKUP(A62,'SITE Fields NS'!B:C,2,FALSE)</f>
        <v>custrecord_twc_site_nxt_earth_lp_test</v>
      </c>
      <c r="C62" s="16" t="str">
        <f>VLOOKUP(B62,'SITE Fields NS'!C:E,3,FALSE)</f>
        <v>Date</v>
      </c>
      <c r="D62" s="16"/>
      <c r="E62" s="16"/>
      <c r="F62" s="17" t="s">
        <v>135</v>
      </c>
      <c r="G62" s="18" t="s">
        <v>136</v>
      </c>
      <c r="H62" s="19" t="s">
        <v>124</v>
      </c>
      <c r="I62" s="19" t="s">
        <v>137</v>
      </c>
      <c r="J62" s="37"/>
      <c r="K62" s="37"/>
    </row>
    <row r="63" ht="30" spans="1:11">
      <c r="A63" s="24" t="s">
        <v>140</v>
      </c>
      <c r="B63" s="24" t="e">
        <f>VLOOKUP(A63,'SITE Fields NS'!B:C,2,FALSE)</f>
        <v>#N/A</v>
      </c>
      <c r="C63" s="24" t="e">
        <f>VLOOKUP(B63,'SITE Fields NS'!C:E,3,FALSE)</f>
        <v>#N/A</v>
      </c>
      <c r="D63" s="24" t="s">
        <v>31</v>
      </c>
      <c r="E63" s="24"/>
      <c r="F63" s="17" t="s">
        <v>135</v>
      </c>
      <c r="G63" s="18" t="s">
        <v>136</v>
      </c>
      <c r="H63" s="19" t="s">
        <v>124</v>
      </c>
      <c r="I63" s="38" t="s">
        <v>141</v>
      </c>
      <c r="J63" s="37"/>
      <c r="K63" s="37" t="s">
        <v>142</v>
      </c>
    </row>
    <row r="64" s="5" customFormat="1" spans="1:11">
      <c r="A64" s="21" t="s">
        <v>143</v>
      </c>
      <c r="B64" s="21" t="str">
        <f>VLOOKUP(A64,'SITE Fields NS'!B:C,2,FALSE)</f>
        <v>custrecord_twc_site_nxt_str_insp_date</v>
      </c>
      <c r="C64" s="21" t="str">
        <f>VLOOKUP(B64,'SITE Fields NS'!C:E,3,FALSE)</f>
        <v>Date</v>
      </c>
      <c r="D64" s="21"/>
      <c r="E64" s="34" t="s">
        <v>144</v>
      </c>
      <c r="F64" s="35"/>
      <c r="G64" s="23" t="s">
        <v>136</v>
      </c>
      <c r="H64" s="32" t="s">
        <v>51</v>
      </c>
      <c r="I64" s="32" t="s">
        <v>145</v>
      </c>
      <c r="J64" s="39"/>
      <c r="K64" s="43" t="s">
        <v>146</v>
      </c>
    </row>
    <row r="65" s="5" customFormat="1" spans="1:11">
      <c r="A65" s="21" t="s">
        <v>147</v>
      </c>
      <c r="B65" s="21" t="str">
        <f>VLOOKUP(A65,'SITE Fields NS'!B:C,2,FALSE)</f>
        <v>custrecord_twc_site_nxt_fall_cert_date</v>
      </c>
      <c r="C65" s="21" t="str">
        <f>VLOOKUP(B65,'SITE Fields NS'!C:E,3,FALSE)</f>
        <v>Date</v>
      </c>
      <c r="D65" s="21"/>
      <c r="E65" s="34" t="s">
        <v>144</v>
      </c>
      <c r="F65" s="35" t="s">
        <v>32</v>
      </c>
      <c r="G65" s="23" t="s">
        <v>136</v>
      </c>
      <c r="H65" s="32" t="s">
        <v>51</v>
      </c>
      <c r="I65" s="32" t="s">
        <v>145</v>
      </c>
      <c r="J65" s="39"/>
      <c r="K65" s="44"/>
    </row>
    <row r="66" s="5" customFormat="1" spans="1:11">
      <c r="A66" s="21" t="s">
        <v>148</v>
      </c>
      <c r="B66" s="21" t="str">
        <f>VLOOKUP(A66,'SITE Fields NS'!B:C,2,FALSE)</f>
        <v>custrecord_twc_site_nxt_twr_pnt_date</v>
      </c>
      <c r="C66" s="21" t="str">
        <f>VLOOKUP(B66,'SITE Fields NS'!C:E,3,FALSE)</f>
        <v>Date</v>
      </c>
      <c r="D66" s="21"/>
      <c r="E66" s="34" t="s">
        <v>144</v>
      </c>
      <c r="F66" s="35" t="s">
        <v>32</v>
      </c>
      <c r="G66" s="23" t="s">
        <v>136</v>
      </c>
      <c r="H66" s="32" t="s">
        <v>51</v>
      </c>
      <c r="I66" s="32" t="s">
        <v>145</v>
      </c>
      <c r="J66" s="39"/>
      <c r="K66" s="45"/>
    </row>
    <row r="67" spans="1:11">
      <c r="A67" s="24" t="s">
        <v>149</v>
      </c>
      <c r="B67" s="24" t="e">
        <f>VLOOKUP(A67,'SITE Fields NS'!B:C,2,FALSE)</f>
        <v>#N/A</v>
      </c>
      <c r="C67" s="24" t="e">
        <f>VLOOKUP(B67,'SITE Fields NS'!C:E,3,FALSE)</f>
        <v>#N/A</v>
      </c>
      <c r="D67" s="24" t="s">
        <v>31</v>
      </c>
      <c r="E67" s="24"/>
      <c r="F67" s="17" t="s">
        <v>135</v>
      </c>
      <c r="G67" s="18" t="s">
        <v>136</v>
      </c>
      <c r="H67" s="19" t="s">
        <v>51</v>
      </c>
      <c r="I67" s="38" t="s">
        <v>150</v>
      </c>
      <c r="J67" s="37"/>
      <c r="K67" s="37" t="s">
        <v>151</v>
      </c>
    </row>
    <row r="68" spans="1:11">
      <c r="A68" s="16" t="s">
        <v>152</v>
      </c>
      <c r="B68" s="16" t="str">
        <f>VLOOKUP(A68,'SITE Fields NS'!B:C,2,FALSE)</f>
        <v>custrecord_twc_site_nxt_aircon_svc_date</v>
      </c>
      <c r="C68" s="16" t="str">
        <f>VLOOKUP(B68,'SITE Fields NS'!C:E,3,FALSE)</f>
        <v>Date</v>
      </c>
      <c r="D68" s="16"/>
      <c r="E68" s="16"/>
      <c r="F68" s="33" t="s">
        <v>32</v>
      </c>
      <c r="G68" s="18" t="s">
        <v>136</v>
      </c>
      <c r="H68" s="19" t="s">
        <v>153</v>
      </c>
      <c r="I68" s="19" t="s">
        <v>137</v>
      </c>
      <c r="J68" s="37"/>
      <c r="K68" s="41" t="s">
        <v>154</v>
      </c>
    </row>
    <row r="69" spans="1:11">
      <c r="A69" s="16" t="s">
        <v>155</v>
      </c>
      <c r="B69" s="16" t="str">
        <f>VLOOKUP(A69,'SITE Fields NS'!B:C,2,FALSE)</f>
        <v>custrecord_twc_site_nxt_fire_svc_date</v>
      </c>
      <c r="C69" s="16" t="str">
        <f>VLOOKUP(B69,'SITE Fields NS'!C:E,3,FALSE)</f>
        <v>Date</v>
      </c>
      <c r="D69" s="16"/>
      <c r="E69" s="16"/>
      <c r="F69" s="33" t="s">
        <v>32</v>
      </c>
      <c r="G69" s="18" t="s">
        <v>136</v>
      </c>
      <c r="H69" s="19" t="s">
        <v>153</v>
      </c>
      <c r="I69" s="19" t="s">
        <v>137</v>
      </c>
      <c r="J69" s="37"/>
      <c r="K69" s="41" t="s">
        <v>154</v>
      </c>
    </row>
    <row r="70" spans="1:11">
      <c r="A70" s="16" t="s">
        <v>156</v>
      </c>
      <c r="B70" s="16" t="str">
        <f>VLOOKUP(A70,'SITE Fields NS'!B:C,2,FALSE)</f>
        <v>custrecord_twc_site_nxt_alarm_svc_date</v>
      </c>
      <c r="C70" s="16" t="str">
        <f>VLOOKUP(B70,'SITE Fields NS'!C:E,3,FALSE)</f>
        <v>Date</v>
      </c>
      <c r="D70" s="16"/>
      <c r="E70" s="16"/>
      <c r="F70" s="33" t="s">
        <v>32</v>
      </c>
      <c r="G70" s="18" t="s">
        <v>136</v>
      </c>
      <c r="H70" s="19" t="s">
        <v>153</v>
      </c>
      <c r="I70" s="19" t="s">
        <v>137</v>
      </c>
      <c r="J70" s="37" t="s">
        <v>18</v>
      </c>
      <c r="K70" s="41" t="s">
        <v>154</v>
      </c>
    </row>
    <row r="71" ht="30" spans="1:11">
      <c r="A71" s="24" t="s">
        <v>157</v>
      </c>
      <c r="B71" s="24" t="e">
        <f>VLOOKUP(A71,'SITE Fields NS'!B:C,2,FALSE)</f>
        <v>#N/A</v>
      </c>
      <c r="C71" s="24" t="e">
        <f>VLOOKUP(B71,'SITE Fields NS'!C:E,3,FALSE)</f>
        <v>#N/A</v>
      </c>
      <c r="D71" s="24" t="s">
        <v>31</v>
      </c>
      <c r="E71" s="24"/>
      <c r="F71" s="17" t="s">
        <v>135</v>
      </c>
      <c r="G71" s="18" t="s">
        <v>136</v>
      </c>
      <c r="H71" s="19" t="s">
        <v>153</v>
      </c>
      <c r="I71" s="38" t="s">
        <v>158</v>
      </c>
      <c r="J71" s="37" t="s">
        <v>18</v>
      </c>
      <c r="K71" s="37" t="s">
        <v>159</v>
      </c>
    </row>
    <row r="72" spans="1:11">
      <c r="A72" s="16" t="s">
        <v>160</v>
      </c>
      <c r="B72" s="16" t="str">
        <f>VLOOKUP(A72,'SITE Fields NS'!B:C,2,FALSE)</f>
        <v>custrecord_twc_site_mktg_sts</v>
      </c>
      <c r="C72" s="16" t="str">
        <f>VLOOKUP(B72,'SITE Fields NS'!C:E,3,FALSE)</f>
        <v>Check Box</v>
      </c>
      <c r="D72" s="16"/>
      <c r="E72" s="16"/>
      <c r="F72" s="17" t="s">
        <v>50</v>
      </c>
      <c r="G72" s="18" t="s">
        <v>161</v>
      </c>
      <c r="H72" s="18" t="s">
        <v>52</v>
      </c>
      <c r="I72" s="19" t="s">
        <v>23</v>
      </c>
      <c r="J72" s="37" t="s">
        <v>28</v>
      </c>
      <c r="K72" s="43" t="s">
        <v>162</v>
      </c>
    </row>
    <row r="73" spans="1:11">
      <c r="A73" s="21" t="s">
        <v>163</v>
      </c>
      <c r="B73" s="21" t="e">
        <f>VLOOKUP(A73,'SITE Fields NS'!B:C,2,FALSE)</f>
        <v>#N/A</v>
      </c>
      <c r="C73" s="21" t="e">
        <f>VLOOKUP(B73,'SITE Fields NS'!C:E,3,FALSE)</f>
        <v>#N/A</v>
      </c>
      <c r="D73" s="34" t="s">
        <v>164</v>
      </c>
      <c r="E73" s="34"/>
      <c r="F73" s="17"/>
      <c r="G73" s="18" t="s">
        <v>161</v>
      </c>
      <c r="H73" s="19" t="s">
        <v>165</v>
      </c>
      <c r="I73" s="19" t="s">
        <v>23</v>
      </c>
      <c r="J73" s="37" t="s">
        <v>166</v>
      </c>
      <c r="K73" s="44"/>
    </row>
    <row r="74" spans="1:11">
      <c r="A74" s="21" t="s">
        <v>167</v>
      </c>
      <c r="B74" s="21" t="e">
        <f>VLOOKUP(A74,'SITE Fields NS'!B:C,2,FALSE)</f>
        <v>#N/A</v>
      </c>
      <c r="C74" s="21" t="e">
        <f>VLOOKUP(B74,'SITE Fields NS'!C:E,3,FALSE)</f>
        <v>#N/A</v>
      </c>
      <c r="D74" s="34" t="s">
        <v>164</v>
      </c>
      <c r="E74" s="34"/>
      <c r="F74" s="17"/>
      <c r="G74" s="18" t="s">
        <v>161</v>
      </c>
      <c r="H74" s="19" t="s">
        <v>165</v>
      </c>
      <c r="I74" s="19" t="s">
        <v>23</v>
      </c>
      <c r="J74" s="37" t="s">
        <v>28</v>
      </c>
      <c r="K74" s="44"/>
    </row>
    <row r="75" spans="1:11">
      <c r="A75" s="21" t="s">
        <v>168</v>
      </c>
      <c r="B75" s="21" t="e">
        <f>VLOOKUP(A75,'SITE Fields NS'!B:C,2,FALSE)</f>
        <v>#N/A</v>
      </c>
      <c r="C75" s="21" t="e">
        <f>VLOOKUP(B75,'SITE Fields NS'!C:E,3,FALSE)</f>
        <v>#N/A</v>
      </c>
      <c r="D75" s="34" t="s">
        <v>164</v>
      </c>
      <c r="E75" s="34"/>
      <c r="F75" s="17"/>
      <c r="G75" s="18" t="s">
        <v>161</v>
      </c>
      <c r="H75" s="19" t="s">
        <v>165</v>
      </c>
      <c r="I75" s="19" t="s">
        <v>20</v>
      </c>
      <c r="J75" s="37"/>
      <c r="K75" s="44"/>
    </row>
    <row r="76" spans="1:11">
      <c r="A76" s="21" t="s">
        <v>169</v>
      </c>
      <c r="B76" s="21" t="e">
        <f>VLOOKUP(A76,'SITE Fields NS'!B:C,2,FALSE)</f>
        <v>#N/A</v>
      </c>
      <c r="C76" s="21" t="e">
        <f>VLOOKUP(B76,'SITE Fields NS'!C:E,3,FALSE)</f>
        <v>#N/A</v>
      </c>
      <c r="D76" s="34" t="s">
        <v>164</v>
      </c>
      <c r="E76" s="34"/>
      <c r="F76" s="17"/>
      <c r="G76" s="18" t="s">
        <v>161</v>
      </c>
      <c r="H76" s="19" t="s">
        <v>165</v>
      </c>
      <c r="I76" s="19" t="s">
        <v>23</v>
      </c>
      <c r="J76" s="37" t="s">
        <v>28</v>
      </c>
      <c r="K76" s="44"/>
    </row>
    <row r="77" spans="1:11">
      <c r="A77" s="21" t="s">
        <v>170</v>
      </c>
      <c r="B77" s="21" t="e">
        <f>VLOOKUP(A77,'SITE Fields NS'!B:C,2,FALSE)</f>
        <v>#N/A</v>
      </c>
      <c r="C77" s="21" t="e">
        <f>VLOOKUP(B77,'SITE Fields NS'!C:E,3,FALSE)</f>
        <v>#N/A</v>
      </c>
      <c r="D77" s="34" t="s">
        <v>164</v>
      </c>
      <c r="E77" s="34"/>
      <c r="F77" s="17"/>
      <c r="G77" s="18" t="s">
        <v>161</v>
      </c>
      <c r="H77" s="19" t="s">
        <v>165</v>
      </c>
      <c r="I77" s="19" t="s">
        <v>20</v>
      </c>
      <c r="J77" s="37"/>
      <c r="K77" s="44"/>
    </row>
    <row r="78" spans="1:11">
      <c r="A78" s="21" t="s">
        <v>171</v>
      </c>
      <c r="B78" s="21" t="e">
        <f>VLOOKUP(A78,'SITE Fields NS'!B:C,2,FALSE)</f>
        <v>#N/A</v>
      </c>
      <c r="C78" s="21" t="e">
        <f>VLOOKUP(B78,'SITE Fields NS'!C:E,3,FALSE)</f>
        <v>#N/A</v>
      </c>
      <c r="D78" s="34" t="s">
        <v>164</v>
      </c>
      <c r="E78" s="34"/>
      <c r="F78" s="17"/>
      <c r="G78" s="18" t="s">
        <v>161</v>
      </c>
      <c r="H78" s="19" t="s">
        <v>165</v>
      </c>
      <c r="I78" s="19" t="s">
        <v>23</v>
      </c>
      <c r="J78" s="37" t="s">
        <v>28</v>
      </c>
      <c r="K78" s="44"/>
    </row>
    <row r="79" spans="1:11">
      <c r="A79" s="21" t="s">
        <v>172</v>
      </c>
      <c r="B79" s="21" t="e">
        <f>VLOOKUP(A79,'SITE Fields NS'!B:C,2,FALSE)</f>
        <v>#N/A</v>
      </c>
      <c r="C79" s="21" t="e">
        <f>VLOOKUP(B79,'SITE Fields NS'!C:E,3,FALSE)</f>
        <v>#N/A</v>
      </c>
      <c r="D79" s="34" t="s">
        <v>164</v>
      </c>
      <c r="E79" s="34"/>
      <c r="F79" s="17"/>
      <c r="G79" s="18" t="s">
        <v>161</v>
      </c>
      <c r="H79" s="19" t="s">
        <v>165</v>
      </c>
      <c r="I79" s="19" t="s">
        <v>23</v>
      </c>
      <c r="J79" s="37" t="s">
        <v>28</v>
      </c>
      <c r="K79" s="44"/>
    </row>
    <row r="80" ht="30" spans="1:11">
      <c r="A80" s="21" t="s">
        <v>173</v>
      </c>
      <c r="B80" s="21" t="e">
        <f>VLOOKUP(A80,'SITE Fields NS'!B:C,2,FALSE)</f>
        <v>#N/A</v>
      </c>
      <c r="C80" s="21" t="e">
        <f>VLOOKUP(B80,'SITE Fields NS'!C:E,3,FALSE)</f>
        <v>#N/A</v>
      </c>
      <c r="D80" s="34" t="s">
        <v>164</v>
      </c>
      <c r="E80" s="34"/>
      <c r="F80" s="17"/>
      <c r="G80" s="18" t="s">
        <v>161</v>
      </c>
      <c r="H80" s="19" t="s">
        <v>165</v>
      </c>
      <c r="I80" s="19" t="s">
        <v>23</v>
      </c>
      <c r="J80" s="37" t="s">
        <v>174</v>
      </c>
      <c r="K80" s="44"/>
    </row>
    <row r="81" spans="1:11">
      <c r="A81" s="21" t="s">
        <v>175</v>
      </c>
      <c r="B81" s="21" t="e">
        <f>VLOOKUP(A81,'SITE Fields NS'!B:C,2,FALSE)</f>
        <v>#N/A</v>
      </c>
      <c r="C81" s="21" t="e">
        <f>VLOOKUP(B81,'SITE Fields NS'!C:E,3,FALSE)</f>
        <v>#N/A</v>
      </c>
      <c r="D81" s="34" t="s">
        <v>164</v>
      </c>
      <c r="E81" s="34"/>
      <c r="F81" s="17"/>
      <c r="G81" s="18" t="s">
        <v>161</v>
      </c>
      <c r="H81" s="19" t="s">
        <v>165</v>
      </c>
      <c r="I81" s="19" t="s">
        <v>176</v>
      </c>
      <c r="J81" s="37" t="s">
        <v>177</v>
      </c>
      <c r="K81" s="44"/>
    </row>
    <row r="82" ht="30" spans="1:11">
      <c r="A82" s="21" t="s">
        <v>178</v>
      </c>
      <c r="B82" s="21" t="e">
        <f>VLOOKUP(A82,'SITE Fields NS'!B:C,2,FALSE)</f>
        <v>#N/A</v>
      </c>
      <c r="C82" s="21" t="e">
        <f>VLOOKUP(B82,'SITE Fields NS'!C:E,3,FALSE)</f>
        <v>#N/A</v>
      </c>
      <c r="D82" s="34" t="s">
        <v>164</v>
      </c>
      <c r="E82" s="34"/>
      <c r="F82" s="17"/>
      <c r="G82" s="18" t="s">
        <v>161</v>
      </c>
      <c r="H82" s="19" t="s">
        <v>165</v>
      </c>
      <c r="I82" s="19" t="s">
        <v>176</v>
      </c>
      <c r="J82" s="37" t="s">
        <v>179</v>
      </c>
      <c r="K82" s="44"/>
    </row>
    <row r="83" spans="1:11">
      <c r="A83" s="21" t="s">
        <v>180</v>
      </c>
      <c r="B83" s="21" t="e">
        <f>VLOOKUP(A83,'SITE Fields NS'!B:C,2,FALSE)</f>
        <v>#N/A</v>
      </c>
      <c r="C83" s="21" t="e">
        <f>VLOOKUP(B83,'SITE Fields NS'!C:E,3,FALSE)</f>
        <v>#N/A</v>
      </c>
      <c r="D83" s="34" t="s">
        <v>164</v>
      </c>
      <c r="E83" s="34"/>
      <c r="F83" s="17"/>
      <c r="G83" s="18" t="s">
        <v>161</v>
      </c>
      <c r="H83" s="19" t="s">
        <v>165</v>
      </c>
      <c r="I83" s="19" t="s">
        <v>14</v>
      </c>
      <c r="J83" s="37"/>
      <c r="K83" s="44"/>
    </row>
    <row r="84" spans="1:11">
      <c r="A84" s="21" t="s">
        <v>181</v>
      </c>
      <c r="B84" s="21" t="e">
        <f>VLOOKUP(A84,'SITE Fields NS'!B:C,2,FALSE)</f>
        <v>#N/A</v>
      </c>
      <c r="C84" s="21" t="e">
        <f>VLOOKUP(B84,'SITE Fields NS'!C:E,3,FALSE)</f>
        <v>#N/A</v>
      </c>
      <c r="D84" s="34" t="s">
        <v>164</v>
      </c>
      <c r="E84" s="34"/>
      <c r="F84" s="17"/>
      <c r="G84" s="18" t="s">
        <v>161</v>
      </c>
      <c r="H84" s="19" t="s">
        <v>165</v>
      </c>
      <c r="I84" s="19" t="s">
        <v>23</v>
      </c>
      <c r="J84" s="37" t="s">
        <v>28</v>
      </c>
      <c r="K84" s="45"/>
    </row>
    <row r="85" ht="30" spans="1:11">
      <c r="A85" s="24" t="s">
        <v>182</v>
      </c>
      <c r="B85" s="24" t="e">
        <f>VLOOKUP(A85,'SITE Fields NS'!B:C,2,FALSE)</f>
        <v>#N/A</v>
      </c>
      <c r="C85" s="24" t="e">
        <f>VLOOKUP(B85,'SITE Fields NS'!C:E,3,FALSE)</f>
        <v>#N/A</v>
      </c>
      <c r="D85" s="24" t="s">
        <v>31</v>
      </c>
      <c r="E85" s="24"/>
      <c r="F85" s="25"/>
      <c r="G85" s="26" t="s">
        <v>161</v>
      </c>
      <c r="H85" s="27" t="s">
        <v>52</v>
      </c>
      <c r="I85" s="38" t="s">
        <v>183</v>
      </c>
      <c r="J85" s="40"/>
      <c r="K85" s="40"/>
    </row>
    <row r="86" ht="30" spans="1:11">
      <c r="A86" s="28" t="s">
        <v>184</v>
      </c>
      <c r="B86" s="28" t="e">
        <f>VLOOKUP(A86,'SITE Fields NS'!B:C,2,FALSE)</f>
        <v>#N/A</v>
      </c>
      <c r="C86" s="28" t="e">
        <f>VLOOKUP(B86,'SITE Fields NS'!C:E,3,FALSE)</f>
        <v>#N/A</v>
      </c>
      <c r="D86" s="28" t="s">
        <v>94</v>
      </c>
      <c r="E86" s="28"/>
      <c r="F86" s="29" t="s">
        <v>185</v>
      </c>
      <c r="G86" s="31" t="s">
        <v>161</v>
      </c>
      <c r="H86" s="30" t="s">
        <v>186</v>
      </c>
      <c r="I86" s="30" t="s">
        <v>176</v>
      </c>
      <c r="J86" s="42" t="s">
        <v>187</v>
      </c>
      <c r="K86" s="42" t="s">
        <v>94</v>
      </c>
    </row>
    <row r="87" ht="30" spans="1:11">
      <c r="A87" s="28" t="s">
        <v>188</v>
      </c>
      <c r="B87" s="28" t="e">
        <f>VLOOKUP(A87,'SITE Fields NS'!B:C,2,FALSE)</f>
        <v>#N/A</v>
      </c>
      <c r="C87" s="28" t="e">
        <f>VLOOKUP(B87,'SITE Fields NS'!C:E,3,FALSE)</f>
        <v>#N/A</v>
      </c>
      <c r="D87" s="28" t="s">
        <v>94</v>
      </c>
      <c r="E87" s="28"/>
      <c r="F87" s="29" t="s">
        <v>185</v>
      </c>
      <c r="G87" s="31" t="s">
        <v>161</v>
      </c>
      <c r="H87" s="30" t="s">
        <v>186</v>
      </c>
      <c r="I87" s="30" t="s">
        <v>20</v>
      </c>
      <c r="J87" s="42"/>
      <c r="K87" s="42" t="s">
        <v>94</v>
      </c>
    </row>
    <row r="88" ht="30" spans="1:11">
      <c r="A88" s="28" t="s">
        <v>189</v>
      </c>
      <c r="B88" s="28" t="e">
        <f>VLOOKUP(A88,'SITE Fields NS'!B:C,2,FALSE)</f>
        <v>#N/A</v>
      </c>
      <c r="C88" s="28" t="e">
        <f>VLOOKUP(B88,'SITE Fields NS'!C:E,3,FALSE)</f>
        <v>#N/A</v>
      </c>
      <c r="D88" s="28" t="s">
        <v>94</v>
      </c>
      <c r="E88" s="28"/>
      <c r="F88" s="29" t="s">
        <v>185</v>
      </c>
      <c r="G88" s="31" t="s">
        <v>161</v>
      </c>
      <c r="H88" s="30" t="s">
        <v>186</v>
      </c>
      <c r="I88" s="30" t="s">
        <v>20</v>
      </c>
      <c r="J88" s="42"/>
      <c r="K88" s="42" t="s">
        <v>94</v>
      </c>
    </row>
    <row r="89" ht="30" spans="1:11">
      <c r="A89" s="28" t="s">
        <v>190</v>
      </c>
      <c r="B89" s="28" t="e">
        <f>VLOOKUP(A89,'SITE Fields NS'!B:C,2,FALSE)</f>
        <v>#N/A</v>
      </c>
      <c r="C89" s="28" t="e">
        <f>VLOOKUP(B89,'SITE Fields NS'!C:E,3,FALSE)</f>
        <v>#N/A</v>
      </c>
      <c r="D89" s="28" t="s">
        <v>94</v>
      </c>
      <c r="E89" s="28"/>
      <c r="F89" s="29" t="s">
        <v>185</v>
      </c>
      <c r="G89" s="31" t="s">
        <v>161</v>
      </c>
      <c r="H89" s="30" t="s">
        <v>186</v>
      </c>
      <c r="I89" s="30" t="s">
        <v>20</v>
      </c>
      <c r="J89" s="42"/>
      <c r="K89" s="42" t="s">
        <v>94</v>
      </c>
    </row>
    <row r="90" ht="30" spans="1:11">
      <c r="A90" s="28" t="s">
        <v>191</v>
      </c>
      <c r="B90" s="28" t="e">
        <f>VLOOKUP(A90,'SITE Fields NS'!B:C,2,FALSE)</f>
        <v>#N/A</v>
      </c>
      <c r="C90" s="28" t="e">
        <f>VLOOKUP(B90,'SITE Fields NS'!C:E,3,FALSE)</f>
        <v>#N/A</v>
      </c>
      <c r="D90" s="28" t="s">
        <v>94</v>
      </c>
      <c r="E90" s="28"/>
      <c r="F90" s="29" t="s">
        <v>185</v>
      </c>
      <c r="G90" s="31" t="s">
        <v>161</v>
      </c>
      <c r="H90" s="30" t="s">
        <v>186</v>
      </c>
      <c r="I90" s="30" t="s">
        <v>20</v>
      </c>
      <c r="J90" s="42"/>
      <c r="K90" s="42" t="s">
        <v>94</v>
      </c>
    </row>
    <row r="91" ht="45" spans="1:11">
      <c r="A91" s="16" t="s">
        <v>192</v>
      </c>
      <c r="B91" s="16" t="str">
        <f>VLOOKUP(A91,'SITE Fields NS'!B:C,2,FALSE)</f>
        <v>custrecord_twc_site_mno_occ</v>
      </c>
      <c r="C91" s="16" t="str">
        <f>VLOOKUP(B91,'SITE Fields NS'!C:E,3,FALSE)</f>
        <v>Integer Number</v>
      </c>
      <c r="D91" s="16"/>
      <c r="E91" s="16"/>
      <c r="F91" s="17"/>
      <c r="G91" s="18" t="s">
        <v>161</v>
      </c>
      <c r="H91" s="19" t="s">
        <v>186</v>
      </c>
      <c r="I91" s="19" t="s">
        <v>14</v>
      </c>
      <c r="J91" s="40" t="s">
        <v>193</v>
      </c>
      <c r="K91" s="37"/>
    </row>
    <row r="92" ht="45" spans="1:11">
      <c r="A92" s="16" t="s">
        <v>194</v>
      </c>
      <c r="B92" s="16" t="str">
        <f>VLOOKUP(A92,'SITE Fields NS'!B:C,2,FALSE)</f>
        <v>custrecord_twc_site_non_mno_occ</v>
      </c>
      <c r="C92" s="16" t="str">
        <f>VLOOKUP(B92,'SITE Fields NS'!C:E,3,FALSE)</f>
        <v>Integer Number</v>
      </c>
      <c r="D92" s="16"/>
      <c r="E92" s="16"/>
      <c r="F92" s="17"/>
      <c r="G92" s="18" t="s">
        <v>161</v>
      </c>
      <c r="H92" s="19" t="s">
        <v>186</v>
      </c>
      <c r="I92" s="19" t="s">
        <v>14</v>
      </c>
      <c r="J92" s="40" t="s">
        <v>195</v>
      </c>
      <c r="K92" s="37"/>
    </row>
    <row r="93" ht="30" spans="1:11">
      <c r="A93" s="16" t="s">
        <v>196</v>
      </c>
      <c r="B93" s="16" t="str">
        <f>VLOOKUP(A93,'SITE Fields NS'!B:C,2,FALSE)</f>
        <v>custrecord_twc_site_occ</v>
      </c>
      <c r="C93" s="16" t="str">
        <f>VLOOKUP(B93,'SITE Fields NS'!C:E,3,FALSE)</f>
        <v>Integer Number</v>
      </c>
      <c r="D93" s="16"/>
      <c r="E93" s="16"/>
      <c r="F93" s="17"/>
      <c r="G93" s="18" t="s">
        <v>161</v>
      </c>
      <c r="H93" s="19" t="s">
        <v>186</v>
      </c>
      <c r="I93" s="19" t="s">
        <v>14</v>
      </c>
      <c r="J93" s="40" t="s">
        <v>197</v>
      </c>
      <c r="K93" s="37"/>
    </row>
    <row r="94" ht="30" spans="1:11">
      <c r="A94" s="21" t="s">
        <v>77</v>
      </c>
      <c r="B94" s="21" t="e">
        <f>VLOOKUP(A94,'SITE Fields NS'!B:C,2,FALSE)</f>
        <v>#N/A</v>
      </c>
      <c r="C94" s="21" t="e">
        <f>VLOOKUP(B94,'SITE Fields NS'!C:E,3,FALSE)</f>
        <v>#N/A</v>
      </c>
      <c r="D94" s="34" t="s">
        <v>164</v>
      </c>
      <c r="E94" s="34"/>
      <c r="F94" s="17"/>
      <c r="G94" s="19" t="s">
        <v>198</v>
      </c>
      <c r="H94" s="19" t="s">
        <v>198</v>
      </c>
      <c r="I94" s="46" t="s">
        <v>199</v>
      </c>
      <c r="J94" s="37" t="s">
        <v>18</v>
      </c>
      <c r="K94" s="43" t="s">
        <v>200</v>
      </c>
    </row>
    <row r="95" ht="30" spans="1:11">
      <c r="A95" s="21" t="s">
        <v>201</v>
      </c>
      <c r="B95" s="21" t="e">
        <f>VLOOKUP(A95,'SITE Fields NS'!B:C,2,FALSE)</f>
        <v>#N/A</v>
      </c>
      <c r="C95" s="21" t="e">
        <f>VLOOKUP(B95,'SITE Fields NS'!C:E,3,FALSE)</f>
        <v>#N/A</v>
      </c>
      <c r="D95" s="34" t="s">
        <v>164</v>
      </c>
      <c r="E95" s="34"/>
      <c r="F95" s="17"/>
      <c r="G95" s="19" t="s">
        <v>198</v>
      </c>
      <c r="H95" s="19" t="s">
        <v>198</v>
      </c>
      <c r="I95" s="46" t="s">
        <v>199</v>
      </c>
      <c r="J95" s="37" t="s">
        <v>18</v>
      </c>
      <c r="K95" s="44"/>
    </row>
    <row r="96" ht="30" spans="1:11">
      <c r="A96" s="21" t="s">
        <v>202</v>
      </c>
      <c r="B96" s="21" t="e">
        <f>VLOOKUP(A96,'SITE Fields NS'!B:C,2,FALSE)</f>
        <v>#N/A</v>
      </c>
      <c r="C96" s="21" t="e">
        <f>VLOOKUP(B96,'SITE Fields NS'!C:E,3,FALSE)</f>
        <v>#N/A</v>
      </c>
      <c r="D96" s="34" t="s">
        <v>164</v>
      </c>
      <c r="E96" s="34"/>
      <c r="F96" s="17"/>
      <c r="G96" s="19" t="s">
        <v>198</v>
      </c>
      <c r="H96" s="19" t="s">
        <v>198</v>
      </c>
      <c r="I96" s="46" t="s">
        <v>199</v>
      </c>
      <c r="J96" s="37" t="s">
        <v>18</v>
      </c>
      <c r="K96" s="44"/>
    </row>
    <row r="97" ht="30" spans="1:11">
      <c r="A97" s="21" t="s">
        <v>203</v>
      </c>
      <c r="B97" s="21" t="e">
        <f>VLOOKUP(A97,'SITE Fields NS'!B:C,2,FALSE)</f>
        <v>#N/A</v>
      </c>
      <c r="C97" s="21" t="e">
        <f>VLOOKUP(B97,'SITE Fields NS'!C:E,3,FALSE)</f>
        <v>#N/A</v>
      </c>
      <c r="D97" s="34" t="s">
        <v>164</v>
      </c>
      <c r="E97" s="34"/>
      <c r="F97" s="17"/>
      <c r="G97" s="19" t="s">
        <v>198</v>
      </c>
      <c r="H97" s="19" t="s">
        <v>198</v>
      </c>
      <c r="I97" s="46" t="s">
        <v>199</v>
      </c>
      <c r="J97" s="37" t="s">
        <v>18</v>
      </c>
      <c r="K97" s="44"/>
    </row>
    <row r="98" ht="30" spans="1:11">
      <c r="A98" s="21" t="s">
        <v>204</v>
      </c>
      <c r="B98" s="21" t="e">
        <f>VLOOKUP(A98,'SITE Fields NS'!B:C,2,FALSE)</f>
        <v>#N/A</v>
      </c>
      <c r="C98" s="21" t="e">
        <f>VLOOKUP(B98,'SITE Fields NS'!C:E,3,FALSE)</f>
        <v>#N/A</v>
      </c>
      <c r="D98" s="34" t="s">
        <v>164</v>
      </c>
      <c r="E98" s="34"/>
      <c r="F98" s="17"/>
      <c r="G98" s="19" t="s">
        <v>198</v>
      </c>
      <c r="H98" s="19" t="s">
        <v>198</v>
      </c>
      <c r="I98" s="46" t="s">
        <v>199</v>
      </c>
      <c r="J98" s="37" t="s">
        <v>18</v>
      </c>
      <c r="K98" s="44"/>
    </row>
    <row r="99" ht="30" spans="1:11">
      <c r="A99" s="21" t="s">
        <v>205</v>
      </c>
      <c r="B99" s="21" t="e">
        <f>VLOOKUP(A99,'SITE Fields NS'!B:C,2,FALSE)</f>
        <v>#N/A</v>
      </c>
      <c r="C99" s="21" t="e">
        <f>VLOOKUP(B99,'SITE Fields NS'!C:E,3,FALSE)</f>
        <v>#N/A</v>
      </c>
      <c r="D99" s="34" t="s">
        <v>164</v>
      </c>
      <c r="E99" s="34"/>
      <c r="F99" s="17"/>
      <c r="G99" s="19" t="s">
        <v>198</v>
      </c>
      <c r="H99" s="19" t="s">
        <v>198</v>
      </c>
      <c r="I99" s="46" t="s">
        <v>199</v>
      </c>
      <c r="J99" s="37" t="s">
        <v>18</v>
      </c>
      <c r="K99" s="44"/>
    </row>
    <row r="100" ht="30" spans="1:11">
      <c r="A100" s="21" t="s">
        <v>206</v>
      </c>
      <c r="B100" s="21" t="e">
        <f>VLOOKUP(A100,'SITE Fields NS'!B:C,2,FALSE)</f>
        <v>#N/A</v>
      </c>
      <c r="C100" s="21" t="e">
        <f>VLOOKUP(B100,'SITE Fields NS'!C:E,3,FALSE)</f>
        <v>#N/A</v>
      </c>
      <c r="D100" s="34" t="s">
        <v>164</v>
      </c>
      <c r="E100" s="34"/>
      <c r="F100" s="17"/>
      <c r="G100" s="19" t="s">
        <v>198</v>
      </c>
      <c r="H100" s="19" t="s">
        <v>198</v>
      </c>
      <c r="I100" s="46" t="s">
        <v>199</v>
      </c>
      <c r="J100" s="37" t="s">
        <v>18</v>
      </c>
      <c r="K100" s="44"/>
    </row>
    <row r="101" ht="30" spans="1:11">
      <c r="A101" s="21" t="s">
        <v>207</v>
      </c>
      <c r="B101" s="21" t="e">
        <f>VLOOKUP(A101,'SITE Fields NS'!B:C,2,FALSE)</f>
        <v>#N/A</v>
      </c>
      <c r="C101" s="21" t="e">
        <f>VLOOKUP(B101,'SITE Fields NS'!C:E,3,FALSE)</f>
        <v>#N/A</v>
      </c>
      <c r="D101" s="34" t="s">
        <v>164</v>
      </c>
      <c r="E101" s="34"/>
      <c r="F101" s="17"/>
      <c r="G101" s="19" t="s">
        <v>198</v>
      </c>
      <c r="H101" s="19" t="s">
        <v>198</v>
      </c>
      <c r="I101" s="19" t="s">
        <v>23</v>
      </c>
      <c r="J101" s="37" t="s">
        <v>78</v>
      </c>
      <c r="K101" s="44"/>
    </row>
    <row r="102" ht="30" spans="1:11">
      <c r="A102" s="21" t="s">
        <v>208</v>
      </c>
      <c r="B102" s="21" t="e">
        <f>VLOOKUP(A102,'SITE Fields NS'!B:C,2,FALSE)</f>
        <v>#N/A</v>
      </c>
      <c r="C102" s="21" t="e">
        <f>VLOOKUP(B102,'SITE Fields NS'!C:E,3,FALSE)</f>
        <v>#N/A</v>
      </c>
      <c r="D102" s="34" t="s">
        <v>164</v>
      </c>
      <c r="E102" s="34"/>
      <c r="F102" s="17"/>
      <c r="G102" s="19" t="s">
        <v>198</v>
      </c>
      <c r="H102" s="19" t="s">
        <v>198</v>
      </c>
      <c r="I102" s="47" t="s">
        <v>209</v>
      </c>
      <c r="J102" s="37" t="s">
        <v>18</v>
      </c>
      <c r="K102" s="44"/>
    </row>
    <row r="103" ht="30" spans="1:11">
      <c r="A103" s="21" t="s">
        <v>210</v>
      </c>
      <c r="B103" s="21" t="e">
        <f>VLOOKUP(A103,'SITE Fields NS'!B:C,2,FALSE)</f>
        <v>#N/A</v>
      </c>
      <c r="C103" s="21" t="e">
        <f>VLOOKUP(B103,'SITE Fields NS'!C:E,3,FALSE)</f>
        <v>#N/A</v>
      </c>
      <c r="D103" s="34" t="s">
        <v>164</v>
      </c>
      <c r="E103" s="34"/>
      <c r="F103" s="17"/>
      <c r="G103" s="19" t="s">
        <v>198</v>
      </c>
      <c r="H103" s="19" t="s">
        <v>198</v>
      </c>
      <c r="I103" s="19" t="s">
        <v>23</v>
      </c>
      <c r="J103" s="37" t="s">
        <v>78</v>
      </c>
      <c r="K103" s="44"/>
    </row>
    <row r="104" ht="30" spans="1:11">
      <c r="A104" s="21" t="s">
        <v>211</v>
      </c>
      <c r="B104" s="21" t="e">
        <f>VLOOKUP(A104,'SITE Fields NS'!B:C,2,FALSE)</f>
        <v>#N/A</v>
      </c>
      <c r="C104" s="21" t="e">
        <f>VLOOKUP(B104,'SITE Fields NS'!C:E,3,FALSE)</f>
        <v>#N/A</v>
      </c>
      <c r="D104" s="34" t="s">
        <v>164</v>
      </c>
      <c r="E104" s="34"/>
      <c r="F104" s="17"/>
      <c r="G104" s="19" t="s">
        <v>198</v>
      </c>
      <c r="H104" s="19" t="s">
        <v>198</v>
      </c>
      <c r="I104" s="47" t="s">
        <v>209</v>
      </c>
      <c r="J104" s="37" t="s">
        <v>18</v>
      </c>
      <c r="K104" s="45"/>
    </row>
  </sheetData>
  <autoFilter ref="A1:K104">
    <extLst/>
  </autoFilter>
  <mergeCells count="4">
    <mergeCell ref="K24:K27"/>
    <mergeCell ref="K64:K66"/>
    <mergeCell ref="K72:K84"/>
    <mergeCell ref="K94:K104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0"/>
  <sheetViews>
    <sheetView workbookViewId="0">
      <selection activeCell="B14" sqref="B14"/>
    </sheetView>
  </sheetViews>
  <sheetFormatPr defaultColWidth="10.2857142857143" defaultRowHeight="15" outlineLevelCol="5"/>
  <cols>
    <col min="1" max="1" width="34"/>
    <col min="2" max="2" width="34" style="2" customWidth="1"/>
    <col min="3" max="3" width="42.7142857142857" style="2" customWidth="1"/>
    <col min="4" max="4" width="9.71428571428571" style="2" customWidth="1"/>
    <col min="5" max="5" width="17.2857142857143" style="2" customWidth="1"/>
    <col min="6" max="6" width="21.5714285714286" style="2" customWidth="1"/>
    <col min="7" max="16384" width="10.2857142857143" style="2"/>
  </cols>
  <sheetData>
    <row r="1" s="1" customFormat="1" spans="1:6">
      <c r="A1" s="3" t="s">
        <v>212</v>
      </c>
      <c r="B1" s="3" t="s">
        <v>213</v>
      </c>
      <c r="C1" s="3" t="s">
        <v>214</v>
      </c>
      <c r="D1" s="3" t="s">
        <v>215</v>
      </c>
      <c r="E1" s="3" t="s">
        <v>216</v>
      </c>
      <c r="F1" s="3" t="s">
        <v>217</v>
      </c>
    </row>
    <row r="2" s="2" customFormat="1" spans="1:6">
      <c r="A2" s="2" t="str">
        <f>VLOOKUP(B2,'SITE Fields'!A:A,1,FALSE)</f>
        <v>RADIX Site Table entry number</v>
      </c>
      <c r="B2" s="2" t="s">
        <v>10</v>
      </c>
      <c r="C2" s="2" t="s">
        <v>218</v>
      </c>
      <c r="D2" s="2" t="s">
        <v>219</v>
      </c>
      <c r="E2" s="2" t="s">
        <v>220</v>
      </c>
      <c r="F2" s="2" t="s">
        <v>221</v>
      </c>
    </row>
    <row r="3" s="2" customFormat="1" spans="1:6">
      <c r="A3" s="2" t="str">
        <f>VLOOKUP(B3,'SITE Fields'!A:A,1,FALSE)</f>
        <v>Site ID</v>
      </c>
      <c r="B3" s="2" t="s">
        <v>15</v>
      </c>
      <c r="C3" s="2" t="s">
        <v>222</v>
      </c>
      <c r="D3" s="2" t="s">
        <v>219</v>
      </c>
      <c r="E3" s="2" t="s">
        <v>20</v>
      </c>
      <c r="F3" s="2" t="s">
        <v>221</v>
      </c>
    </row>
    <row r="4" s="2" customFormat="1" spans="1:6">
      <c r="A4" s="2" t="str">
        <f>VLOOKUP(B4,'SITE Fields'!A:A,1,FALSE)</f>
        <v>Site Name</v>
      </c>
      <c r="B4" s="2" t="s">
        <v>19</v>
      </c>
      <c r="C4" s="2" t="s">
        <v>223</v>
      </c>
      <c r="D4" s="2" t="s">
        <v>219</v>
      </c>
      <c r="E4" s="2" t="s">
        <v>20</v>
      </c>
      <c r="F4" s="2" t="s">
        <v>221</v>
      </c>
    </row>
    <row r="5" s="2" customFormat="1" spans="1:6">
      <c r="A5" s="2" t="str">
        <f>VLOOKUP(B5,'SITE Fields'!A:A,1,FALSE)</f>
        <v>Alias</v>
      </c>
      <c r="B5" s="2" t="s">
        <v>21</v>
      </c>
      <c r="C5" s="2" t="s">
        <v>224</v>
      </c>
      <c r="D5" s="2" t="s">
        <v>219</v>
      </c>
      <c r="E5" s="2" t="s">
        <v>20</v>
      </c>
      <c r="F5" s="2" t="s">
        <v>221</v>
      </c>
    </row>
    <row r="6" s="2" customFormat="1" spans="1:6">
      <c r="A6" s="2" t="str">
        <f>VLOOKUP(B6,'SITE Fields'!A:A,1,FALSE)</f>
        <v>Site Status</v>
      </c>
      <c r="B6" s="2" t="s">
        <v>22</v>
      </c>
      <c r="C6" s="2" t="s">
        <v>225</v>
      </c>
      <c r="D6" s="2" t="s">
        <v>219</v>
      </c>
      <c r="E6" s="2" t="s">
        <v>226</v>
      </c>
      <c r="F6" s="2">
        <v>710</v>
      </c>
    </row>
    <row r="7" s="2" customFormat="1" spans="1:6">
      <c r="A7" s="2" t="str">
        <f>VLOOKUP(B7,'SITE Fields'!A:A,1,FALSE)</f>
        <v>Site Type</v>
      </c>
      <c r="B7" s="2" t="s">
        <v>25</v>
      </c>
      <c r="C7" s="2" t="s">
        <v>227</v>
      </c>
      <c r="D7" s="2" t="s">
        <v>219</v>
      </c>
      <c r="E7" s="2" t="s">
        <v>226</v>
      </c>
      <c r="F7" s="2">
        <v>712</v>
      </c>
    </row>
    <row r="8" s="2" customFormat="1" spans="1:6">
      <c r="A8" s="2" t="str">
        <f>VLOOKUP(B8,'SITE Fields'!A:A,1,FALSE)</f>
        <v>Multi Mast Sites</v>
      </c>
      <c r="B8" s="2" t="s">
        <v>27</v>
      </c>
      <c r="C8" s="2" t="s">
        <v>228</v>
      </c>
      <c r="D8" s="2" t="s">
        <v>219</v>
      </c>
      <c r="E8" s="2" t="s">
        <v>229</v>
      </c>
      <c r="F8" s="2" t="s">
        <v>221</v>
      </c>
    </row>
    <row r="9" s="2" customFormat="1" spans="1:6">
      <c r="A9" s="2" t="str">
        <f>VLOOKUP(B9,'SITE Fields'!A:A,1,FALSE)</f>
        <v>Old ID</v>
      </c>
      <c r="B9" s="2" t="s">
        <v>29</v>
      </c>
      <c r="C9" s="2" t="s">
        <v>230</v>
      </c>
      <c r="D9" s="2" t="s">
        <v>219</v>
      </c>
      <c r="E9" s="2" t="s">
        <v>20</v>
      </c>
      <c r="F9" s="2" t="s">
        <v>221</v>
      </c>
    </row>
    <row r="10" s="2" customFormat="1" spans="1:6">
      <c r="A10" s="2" t="str">
        <f>VLOOKUP(B10,'SITE Fields'!A:A,1,FALSE)</f>
        <v>Height ASL (m)</v>
      </c>
      <c r="B10" s="2" t="s">
        <v>40</v>
      </c>
      <c r="C10" s="2" t="s">
        <v>231</v>
      </c>
      <c r="D10" s="2" t="s">
        <v>219</v>
      </c>
      <c r="E10" s="2" t="s">
        <v>232</v>
      </c>
      <c r="F10" s="2" t="s">
        <v>221</v>
      </c>
    </row>
    <row r="11" s="2" customFormat="1" spans="1:6">
      <c r="A11" s="2" t="str">
        <f>VLOOKUP(B11,'SITE Fields'!A:A,1,FALSE)</f>
        <v>Site Level</v>
      </c>
      <c r="B11" s="2" t="s">
        <v>43</v>
      </c>
      <c r="C11" s="2" t="s">
        <v>233</v>
      </c>
      <c r="D11" s="2" t="s">
        <v>219</v>
      </c>
      <c r="E11" s="2" t="s">
        <v>226</v>
      </c>
      <c r="F11" s="2">
        <v>713</v>
      </c>
    </row>
    <row r="12" s="2" customFormat="1" spans="1:6">
      <c r="A12" s="2" t="str">
        <f>VLOOKUP(B12,'SITE Fields'!A:A,1,FALSE)</f>
        <v>Portfolio</v>
      </c>
      <c r="B12" s="2" t="s">
        <v>45</v>
      </c>
      <c r="C12" s="2" t="s">
        <v>234</v>
      </c>
      <c r="D12" s="2" t="s">
        <v>219</v>
      </c>
      <c r="E12" s="2" t="s">
        <v>226</v>
      </c>
      <c r="F12" s="2">
        <v>714</v>
      </c>
    </row>
    <row r="13" s="2" customFormat="1" spans="1:6">
      <c r="A13" s="2" t="str">
        <f>VLOOKUP(B13,'SITE Fields'!A:A,1,FALSE)</f>
        <v>SRF Status</v>
      </c>
      <c r="B13" s="2" t="s">
        <v>48</v>
      </c>
      <c r="C13" s="2" t="s">
        <v>235</v>
      </c>
      <c r="D13" s="2" t="s">
        <v>219</v>
      </c>
      <c r="E13" s="2" t="s">
        <v>226</v>
      </c>
      <c r="F13" s="2">
        <v>697</v>
      </c>
    </row>
    <row r="14" s="2" customFormat="1" spans="1:6">
      <c r="A14" s="2" t="str">
        <f>VLOOKUP(B14,'SITE Fields'!A:A,1,FALSE)</f>
        <v>SAF Status</v>
      </c>
      <c r="B14" s="2" t="s">
        <v>54</v>
      </c>
      <c r="C14" s="2" t="s">
        <v>236</v>
      </c>
      <c r="D14" s="2" t="s">
        <v>219</v>
      </c>
      <c r="E14" s="2" t="s">
        <v>226</v>
      </c>
      <c r="F14" s="2">
        <v>698</v>
      </c>
    </row>
    <row r="15" s="2" customFormat="1" spans="1:6">
      <c r="A15" s="2" t="str">
        <f>VLOOKUP(B15,'SITE Fields'!A:A,1,FALSE)</f>
        <v>Public</v>
      </c>
      <c r="B15" s="2" t="s">
        <v>57</v>
      </c>
      <c r="C15" s="2" t="s">
        <v>237</v>
      </c>
      <c r="D15" s="2" t="s">
        <v>219</v>
      </c>
      <c r="E15" s="2" t="s">
        <v>226</v>
      </c>
      <c r="F15" s="2">
        <v>684</v>
      </c>
    </row>
    <row r="16" s="2" customFormat="1" spans="1:6">
      <c r="A16" s="2" t="str">
        <f>VLOOKUP(B16,'SITE Fields'!A:A,1,FALSE)</f>
        <v>BTS Status</v>
      </c>
      <c r="B16" s="2" t="s">
        <v>59</v>
      </c>
      <c r="C16" s="2" t="s">
        <v>238</v>
      </c>
      <c r="D16" s="2" t="s">
        <v>219</v>
      </c>
      <c r="E16" s="2" t="s">
        <v>226</v>
      </c>
      <c r="F16" s="2">
        <v>715</v>
      </c>
    </row>
    <row r="17" s="2" customFormat="1" spans="1:6">
      <c r="A17" s="2" t="str">
        <f>VLOOKUP(B17,'SITE Fields'!A:A,1,FALSE)</f>
        <v>Address</v>
      </c>
      <c r="B17" s="2" t="s">
        <v>61</v>
      </c>
      <c r="C17" s="2" t="s">
        <v>239</v>
      </c>
      <c r="D17" s="2" t="s">
        <v>219</v>
      </c>
      <c r="E17" s="2" t="s">
        <v>20</v>
      </c>
      <c r="F17" s="2" t="s">
        <v>221</v>
      </c>
    </row>
    <row r="18" s="2" customFormat="1" spans="1:6">
      <c r="A18" s="2" t="str">
        <f>VLOOKUP(B18,'SITE Fields'!A:A,1,FALSE)</f>
        <v>Easting</v>
      </c>
      <c r="B18" s="2" t="s">
        <v>69</v>
      </c>
      <c r="C18" s="2" t="s">
        <v>240</v>
      </c>
      <c r="D18" s="2" t="s">
        <v>219</v>
      </c>
      <c r="E18" s="2" t="s">
        <v>232</v>
      </c>
      <c r="F18" s="2" t="s">
        <v>221</v>
      </c>
    </row>
    <row r="19" s="2" customFormat="1" spans="1:6">
      <c r="A19" s="2" t="str">
        <f>VLOOKUP(B19,'SITE Fields'!A:A,1,FALSE)</f>
        <v>Northing</v>
      </c>
      <c r="B19" s="2" t="s">
        <v>72</v>
      </c>
      <c r="C19" s="2" t="s">
        <v>241</v>
      </c>
      <c r="D19" s="2" t="s">
        <v>219</v>
      </c>
      <c r="E19" s="2" t="s">
        <v>232</v>
      </c>
      <c r="F19" s="2" t="s">
        <v>221</v>
      </c>
    </row>
    <row r="20" s="2" customFormat="1" spans="1:6">
      <c r="A20" s="2" t="str">
        <f>VLOOKUP(B20,'SITE Fields'!A:A,1,FALSE)</f>
        <v>Longitude</v>
      </c>
      <c r="B20" s="2" t="s">
        <v>73</v>
      </c>
      <c r="C20" s="2" t="s">
        <v>242</v>
      </c>
      <c r="D20" s="2" t="s">
        <v>219</v>
      </c>
      <c r="E20" s="2" t="s">
        <v>232</v>
      </c>
      <c r="F20" s="2" t="s">
        <v>221</v>
      </c>
    </row>
    <row r="21" s="2" customFormat="1" spans="1:6">
      <c r="A21" s="2" t="str">
        <f>VLOOKUP(B21,'SITE Fields'!A:A,1,FALSE)</f>
        <v>Latitude</v>
      </c>
      <c r="B21" s="2" t="s">
        <v>75</v>
      </c>
      <c r="C21" s="2" t="s">
        <v>243</v>
      </c>
      <c r="D21" s="2" t="s">
        <v>219</v>
      </c>
      <c r="E21" s="2" t="s">
        <v>232</v>
      </c>
      <c r="F21" s="2" t="s">
        <v>221</v>
      </c>
    </row>
    <row r="22" s="2" customFormat="1" spans="1:6">
      <c r="A22" s="2" t="str">
        <f>VLOOKUP(B22,'SITE Fields'!A:A,1,FALSE)</f>
        <v>SAF Auto Approve</v>
      </c>
      <c r="B22" s="2" t="s">
        <v>76</v>
      </c>
      <c r="C22" s="2" t="s">
        <v>244</v>
      </c>
      <c r="D22" s="2" t="s">
        <v>219</v>
      </c>
      <c r="E22" s="2" t="s">
        <v>229</v>
      </c>
      <c r="F22" s="2" t="s">
        <v>221</v>
      </c>
    </row>
    <row r="23" s="2" customFormat="1" spans="1:6">
      <c r="A23" s="2" t="str">
        <f>VLOOKUP(B23,'SITE Fields'!A:A,1,FALSE)</f>
        <v>Track Type</v>
      </c>
      <c r="B23" s="2" t="s">
        <v>79</v>
      </c>
      <c r="C23" s="2" t="s">
        <v>245</v>
      </c>
      <c r="D23" s="2" t="s">
        <v>219</v>
      </c>
      <c r="E23" s="2" t="s">
        <v>226</v>
      </c>
      <c r="F23" s="2">
        <v>716</v>
      </c>
    </row>
    <row r="24" s="2" customFormat="1" spans="1:6">
      <c r="A24" s="2" t="str">
        <f>VLOOKUP(B24,'SITE Fields'!A:A,1,FALSE)</f>
        <v>Easting (Access)</v>
      </c>
      <c r="B24" s="2" t="s">
        <v>81</v>
      </c>
      <c r="C24" s="2" t="s">
        <v>246</v>
      </c>
      <c r="D24" s="2" t="s">
        <v>219</v>
      </c>
      <c r="E24" s="2" t="s">
        <v>232</v>
      </c>
      <c r="F24" s="2" t="s">
        <v>221</v>
      </c>
    </row>
    <row r="25" s="2" customFormat="1" spans="1:6">
      <c r="A25" s="2" t="str">
        <f>VLOOKUP(B25,'SITE Fields'!A:A,1,FALSE)</f>
        <v>Northing (Access)</v>
      </c>
      <c r="B25" s="2" t="s">
        <v>82</v>
      </c>
      <c r="C25" s="2" t="s">
        <v>247</v>
      </c>
      <c r="D25" s="2" t="s">
        <v>219</v>
      </c>
      <c r="E25" s="2" t="s">
        <v>232</v>
      </c>
      <c r="F25" s="2" t="s">
        <v>221</v>
      </c>
    </row>
    <row r="26" s="2" customFormat="1" spans="1:6">
      <c r="A26" s="2" t="str">
        <f>VLOOKUP(B26,'SITE Fields'!A:A,1,FALSE)</f>
        <v>Longitude (Access)</v>
      </c>
      <c r="B26" s="2" t="s">
        <v>83</v>
      </c>
      <c r="C26" s="2" t="s">
        <v>248</v>
      </c>
      <c r="D26" s="2" t="s">
        <v>219</v>
      </c>
      <c r="E26" s="2" t="s">
        <v>232</v>
      </c>
      <c r="F26" s="2" t="s">
        <v>221</v>
      </c>
    </row>
    <row r="27" s="2" customFormat="1" spans="1:6">
      <c r="A27" s="2" t="str">
        <f>VLOOKUP(B27,'SITE Fields'!A:A,1,FALSE)</f>
        <v>Latitude (Access)</v>
      </c>
      <c r="B27" s="2" t="s">
        <v>84</v>
      </c>
      <c r="C27" s="2" t="s">
        <v>249</v>
      </c>
      <c r="D27" s="2" t="s">
        <v>219</v>
      </c>
      <c r="E27" s="2" t="s">
        <v>232</v>
      </c>
      <c r="F27" s="2" t="s">
        <v>221</v>
      </c>
    </row>
    <row r="28" s="2" customFormat="1" spans="1:6">
      <c r="A28" s="2" t="str">
        <f>VLOOKUP(B28,'SITE Fields'!A:A,1,FALSE)</f>
        <v>Directions</v>
      </c>
      <c r="B28" s="2" t="s">
        <v>86</v>
      </c>
      <c r="C28" s="2" t="s">
        <v>250</v>
      </c>
      <c r="D28" s="2" t="s">
        <v>219</v>
      </c>
      <c r="E28" s="2" t="s">
        <v>251</v>
      </c>
      <c r="F28" s="2" t="s">
        <v>221</v>
      </c>
    </row>
    <row r="29" s="2" customFormat="1" spans="1:6">
      <c r="A29" s="2" t="str">
        <f>VLOOKUP(B29,'SITE Fields'!A:A,1,FALSE)</f>
        <v>Instructions</v>
      </c>
      <c r="B29" s="2" t="s">
        <v>88</v>
      </c>
      <c r="C29" s="2" t="s">
        <v>252</v>
      </c>
      <c r="D29" s="2" t="s">
        <v>219</v>
      </c>
      <c r="E29" s="2" t="s">
        <v>251</v>
      </c>
      <c r="F29" s="2" t="s">
        <v>221</v>
      </c>
    </row>
    <row r="30" s="2" customFormat="1" spans="1:6">
      <c r="A30" s="2" t="str">
        <f>VLOOKUP(B30,'SITE Fields'!A:A,1,FALSE)</f>
        <v>Tenant Card Required</v>
      </c>
      <c r="B30" s="2" t="s">
        <v>89</v>
      </c>
      <c r="C30" s="2" t="s">
        <v>253</v>
      </c>
      <c r="D30" s="2" t="s">
        <v>219</v>
      </c>
      <c r="E30" s="2" t="s">
        <v>229</v>
      </c>
      <c r="F30" s="2" t="s">
        <v>221</v>
      </c>
    </row>
    <row r="31" s="2" customFormat="1" spans="1:6">
      <c r="A31" s="2" t="str">
        <f>VLOOKUP(B31,'SITE Fields'!A:A,1,FALSE)</f>
        <v>4x4 Required</v>
      </c>
      <c r="B31" s="2" t="s">
        <v>90</v>
      </c>
      <c r="C31" s="2" t="s">
        <v>254</v>
      </c>
      <c r="D31" s="2" t="s">
        <v>219</v>
      </c>
      <c r="E31" s="2" t="s">
        <v>229</v>
      </c>
      <c r="F31" s="2" t="s">
        <v>221</v>
      </c>
    </row>
    <row r="32" s="2" customFormat="1" spans="1:6">
      <c r="A32" s="2" t="str">
        <f>VLOOKUP(B32,'SITE Fields'!A:A,1,FALSE)</f>
        <v>Parking Restrictions</v>
      </c>
      <c r="B32" s="2" t="s">
        <v>91</v>
      </c>
      <c r="C32" s="2" t="s">
        <v>255</v>
      </c>
      <c r="D32" s="2" t="s">
        <v>219</v>
      </c>
      <c r="E32" s="2" t="s">
        <v>20</v>
      </c>
      <c r="F32" s="2" t="s">
        <v>221</v>
      </c>
    </row>
    <row r="33" s="2" customFormat="1" spans="1:6">
      <c r="A33" s="2" t="str">
        <f>VLOOKUP(B33,'SITE Fields'!A:A,1,FALSE)</f>
        <v>Crane/Mewp Access</v>
      </c>
      <c r="B33" s="2" t="s">
        <v>92</v>
      </c>
      <c r="C33" s="2" t="s">
        <v>256</v>
      </c>
      <c r="D33" s="2" t="s">
        <v>219</v>
      </c>
      <c r="E33" s="2" t="s">
        <v>229</v>
      </c>
      <c r="F33" s="2" t="s">
        <v>221</v>
      </c>
    </row>
    <row r="34" s="2" customFormat="1" spans="1:6">
      <c r="A34" s="2" t="str">
        <f>VLOOKUP(B34,'SITE Fields'!A:A,1,FALSE)</f>
        <v>Safety / Special Notes</v>
      </c>
      <c r="B34" s="2" t="s">
        <v>99</v>
      </c>
      <c r="C34" s="2" t="s">
        <v>257</v>
      </c>
      <c r="D34" s="2" t="s">
        <v>219</v>
      </c>
      <c r="E34" s="2" t="s">
        <v>251</v>
      </c>
      <c r="F34" s="2" t="s">
        <v>221</v>
      </c>
    </row>
    <row r="35" s="2" customFormat="1" spans="1:6">
      <c r="A35" s="2" t="str">
        <f>VLOOKUP(B35,'SITE Fields'!A:A,1,FALSE)</f>
        <v>Full Demised Area Fenced</v>
      </c>
      <c r="B35" s="2" t="s">
        <v>115</v>
      </c>
      <c r="C35" s="2" t="s">
        <v>258</v>
      </c>
      <c r="D35" s="2" t="s">
        <v>219</v>
      </c>
      <c r="E35" s="2" t="s">
        <v>229</v>
      </c>
      <c r="F35" s="2" t="s">
        <v>221</v>
      </c>
    </row>
    <row r="36" s="2" customFormat="1" spans="1:6">
      <c r="A36" s="2" t="str">
        <f>VLOOKUP(B36,'SITE Fields'!A:A,1,FALSE)</f>
        <v>Adjacent Ground Space</v>
      </c>
      <c r="B36" s="2" t="s">
        <v>117</v>
      </c>
      <c r="C36" s="2" t="s">
        <v>259</v>
      </c>
      <c r="D36" s="2" t="s">
        <v>219</v>
      </c>
      <c r="E36" s="2" t="s">
        <v>229</v>
      </c>
      <c r="F36" s="2" t="s">
        <v>221</v>
      </c>
    </row>
    <row r="37" s="2" customFormat="1" spans="1:6">
      <c r="A37" s="2" t="str">
        <f>VLOOKUP(B37,'SITE Fields'!A:A,1,FALSE)</f>
        <v>Adjacent Ground Owner</v>
      </c>
      <c r="B37" s="2" t="s">
        <v>118</v>
      </c>
      <c r="C37" s="2" t="s">
        <v>260</v>
      </c>
      <c r="D37" s="2" t="s">
        <v>219</v>
      </c>
      <c r="E37" s="2" t="s">
        <v>20</v>
      </c>
      <c r="F37" s="2" t="s">
        <v>221</v>
      </c>
    </row>
    <row r="38" s="2" customFormat="1" spans="1:6">
      <c r="A38" s="2" t="str">
        <f>VLOOKUP(B38,'SITE Fields'!A:A,1,FALSE)</f>
        <v>Perimeter Type</v>
      </c>
      <c r="B38" s="2" t="s">
        <v>119</v>
      </c>
      <c r="C38" s="2" t="s">
        <v>261</v>
      </c>
      <c r="D38" s="2" t="s">
        <v>219</v>
      </c>
      <c r="E38" s="2" t="s">
        <v>226</v>
      </c>
      <c r="F38" s="2">
        <v>717</v>
      </c>
    </row>
    <row r="39" s="2" customFormat="1" spans="1:6">
      <c r="A39" s="2" t="str">
        <f>VLOOKUP(B39,'SITE Fields'!A:A,1,FALSE)</f>
        <v>Fence Height (m)</v>
      </c>
      <c r="B39" s="2" t="s">
        <v>121</v>
      </c>
      <c r="C39" s="2" t="s">
        <v>262</v>
      </c>
      <c r="D39" s="2" t="s">
        <v>219</v>
      </c>
      <c r="E39" s="2" t="s">
        <v>220</v>
      </c>
      <c r="F39" s="2" t="s">
        <v>221</v>
      </c>
    </row>
    <row r="40" s="2" customFormat="1" spans="1:6">
      <c r="A40" s="2" t="str">
        <f>VLOOKUP(B40,'SITE Fields'!A:A,1,FALSE)</f>
        <v>Independent Power Supplies</v>
      </c>
      <c r="B40" s="2" t="s">
        <v>122</v>
      </c>
      <c r="C40" s="2" t="s">
        <v>263</v>
      </c>
      <c r="D40" s="2" t="s">
        <v>219</v>
      </c>
      <c r="E40" s="2" t="s">
        <v>220</v>
      </c>
      <c r="F40" s="2" t="s">
        <v>221</v>
      </c>
    </row>
    <row r="41" s="2" customFormat="1" spans="1:6">
      <c r="A41" s="2" t="str">
        <f>VLOOKUP(B41,'SITE Fields'!A:A,1,FALSE)</f>
        <v>Next Generator Service</v>
      </c>
      <c r="B41" s="2" t="s">
        <v>134</v>
      </c>
      <c r="C41" s="2" t="s">
        <v>264</v>
      </c>
      <c r="D41" s="2" t="s">
        <v>219</v>
      </c>
      <c r="E41" s="2" t="s">
        <v>137</v>
      </c>
      <c r="F41" s="2" t="s">
        <v>221</v>
      </c>
    </row>
    <row r="42" s="2" customFormat="1" spans="1:6">
      <c r="A42" s="2" t="str">
        <f>VLOOKUP(B42,'SITE Fields'!A:A,1,FALSE)</f>
        <v>Next Earth &amp; LP Test</v>
      </c>
      <c r="B42" s="2" t="s">
        <v>139</v>
      </c>
      <c r="C42" s="2" t="s">
        <v>265</v>
      </c>
      <c r="D42" s="2" t="s">
        <v>219</v>
      </c>
      <c r="E42" s="2" t="s">
        <v>137</v>
      </c>
      <c r="F42" s="2" t="s">
        <v>221</v>
      </c>
    </row>
    <row r="43" s="2" customFormat="1" spans="1:6">
      <c r="A43" s="2" t="str">
        <f>VLOOKUP(B43,'SITE Fields'!A:A,1,FALSE)</f>
        <v>Next Structure Inspection Date</v>
      </c>
      <c r="B43" s="2" t="s">
        <v>143</v>
      </c>
      <c r="C43" s="2" t="s">
        <v>266</v>
      </c>
      <c r="D43" s="2" t="s">
        <v>219</v>
      </c>
      <c r="E43" s="2" t="s">
        <v>137</v>
      </c>
      <c r="F43" s="2" t="s">
        <v>221</v>
      </c>
    </row>
    <row r="44" s="2" customFormat="1" spans="1:6">
      <c r="A44" s="2" t="str">
        <f>VLOOKUP(B44,'SITE Fields'!A:A,1,FALSE)</f>
        <v>Next Fall Arrest Certification Date</v>
      </c>
      <c r="B44" s="2" t="s">
        <v>147</v>
      </c>
      <c r="C44" s="2" t="s">
        <v>267</v>
      </c>
      <c r="D44" s="2" t="s">
        <v>219</v>
      </c>
      <c r="E44" s="2" t="s">
        <v>137</v>
      </c>
      <c r="F44" s="2" t="s">
        <v>221</v>
      </c>
    </row>
    <row r="45" s="2" customFormat="1" spans="1:6">
      <c r="A45" s="2" t="str">
        <f>VLOOKUP(B45,'SITE Fields'!A:A,1,FALSE)</f>
        <v>Next Tower Painting Date</v>
      </c>
      <c r="B45" s="2" t="s">
        <v>148</v>
      </c>
      <c r="C45" s="2" t="s">
        <v>268</v>
      </c>
      <c r="D45" s="2" t="s">
        <v>219</v>
      </c>
      <c r="E45" s="2" t="s">
        <v>137</v>
      </c>
      <c r="F45" s="2" t="s">
        <v>221</v>
      </c>
    </row>
    <row r="46" s="2" customFormat="1" spans="1:6">
      <c r="A46" s="2" t="str">
        <f>VLOOKUP(B46,'SITE Fields'!A:A,1,FALSE)</f>
        <v>Next Aircon Service Date</v>
      </c>
      <c r="B46" s="2" t="s">
        <v>152</v>
      </c>
      <c r="C46" s="2" t="s">
        <v>269</v>
      </c>
      <c r="D46" s="2" t="s">
        <v>219</v>
      </c>
      <c r="E46" s="2" t="s">
        <v>137</v>
      </c>
      <c r="F46" s="2" t="s">
        <v>221</v>
      </c>
    </row>
    <row r="47" s="2" customFormat="1" spans="1:6">
      <c r="A47" s="2" t="str">
        <f>VLOOKUP(B47,'SITE Fields'!A:A,1,FALSE)</f>
        <v>Next Fire Service Date</v>
      </c>
      <c r="B47" s="2" t="s">
        <v>155</v>
      </c>
      <c r="C47" s="2" t="s">
        <v>270</v>
      </c>
      <c r="D47" s="2" t="s">
        <v>219</v>
      </c>
      <c r="E47" s="2" t="s">
        <v>137</v>
      </c>
      <c r="F47" s="2" t="s">
        <v>221</v>
      </c>
    </row>
    <row r="48" s="2" customFormat="1" spans="1:6">
      <c r="A48" s="2" t="str">
        <f>VLOOKUP(B48,'SITE Fields'!A:A,1,FALSE)</f>
        <v>Next Alarm Service Date</v>
      </c>
      <c r="B48" s="2" t="s">
        <v>156</v>
      </c>
      <c r="C48" s="2" t="s">
        <v>271</v>
      </c>
      <c r="D48" s="2" t="s">
        <v>219</v>
      </c>
      <c r="E48" s="2" t="s">
        <v>137</v>
      </c>
      <c r="F48" s="2" t="s">
        <v>221</v>
      </c>
    </row>
    <row r="49" s="2" customFormat="1" spans="1:6">
      <c r="A49" s="2" t="str">
        <f>VLOOKUP(B49,'SITE Fields'!A:A,1,FALSE)</f>
        <v>Marketing Status</v>
      </c>
      <c r="B49" s="2" t="s">
        <v>160</v>
      </c>
      <c r="C49" s="2" t="s">
        <v>272</v>
      </c>
      <c r="D49" s="2" t="s">
        <v>219</v>
      </c>
      <c r="E49" s="2" t="s">
        <v>229</v>
      </c>
      <c r="F49" s="2" t="s">
        <v>221</v>
      </c>
    </row>
    <row r="50" s="2" customFormat="1" spans="1:6">
      <c r="A50" s="2" t="str">
        <f>VLOOKUP(B50,'SITE Fields'!A:A,1,FALSE)</f>
        <v>MNO Occupancy</v>
      </c>
      <c r="B50" s="2" t="s">
        <v>192</v>
      </c>
      <c r="C50" s="2" t="s">
        <v>273</v>
      </c>
      <c r="D50" s="2" t="s">
        <v>219</v>
      </c>
      <c r="E50" s="2" t="s">
        <v>220</v>
      </c>
      <c r="F50" s="2" t="s">
        <v>221</v>
      </c>
    </row>
    <row r="51" s="2" customFormat="1" spans="1:6">
      <c r="A51" s="2" t="str">
        <f>VLOOKUP(B51,'SITE Fields'!A:A,1,FALSE)</f>
        <v>Non-MNO Occupancy</v>
      </c>
      <c r="B51" s="2" t="s">
        <v>194</v>
      </c>
      <c r="C51" s="2" t="s">
        <v>274</v>
      </c>
      <c r="D51" s="2" t="s">
        <v>219</v>
      </c>
      <c r="E51" s="2" t="s">
        <v>220</v>
      </c>
      <c r="F51" s="2" t="s">
        <v>221</v>
      </c>
    </row>
    <row r="52" s="2" customFormat="1" spans="1:6">
      <c r="A52" s="2" t="str">
        <f>VLOOKUP(B52,'SITE Fields'!A:A,1,FALSE)</f>
        <v>Occupancy</v>
      </c>
      <c r="B52" s="2" t="s">
        <v>196</v>
      </c>
      <c r="C52" s="2" t="s">
        <v>275</v>
      </c>
      <c r="D52" s="2" t="s">
        <v>219</v>
      </c>
      <c r="E52" s="2" t="s">
        <v>220</v>
      </c>
      <c r="F52" s="2" t="s">
        <v>221</v>
      </c>
    </row>
    <row r="53" s="2" customFormat="1" spans="1:6">
      <c r="A53" s="2" t="str">
        <f>VLOOKUP(B53,'SITE Fields'!A:A,1,FALSE)</f>
        <v>What3Words</v>
      </c>
      <c r="B53" s="2" t="s">
        <v>67</v>
      </c>
      <c r="C53" s="2" t="s">
        <v>276</v>
      </c>
      <c r="D53" s="2" t="s">
        <v>219</v>
      </c>
      <c r="E53" s="2" t="s">
        <v>20</v>
      </c>
      <c r="F53" s="2" t="s">
        <v>221</v>
      </c>
    </row>
    <row r="54" s="2" customFormat="1" spans="1:6">
      <c r="A54" s="2" t="str">
        <f>VLOOKUP(B54,'SITE Fields'!A:A,1,FALSE)</f>
        <v>Access What3Words</v>
      </c>
      <c r="B54" s="2" t="s">
        <v>85</v>
      </c>
      <c r="C54" s="2" t="s">
        <v>277</v>
      </c>
      <c r="D54" s="2" t="s">
        <v>219</v>
      </c>
      <c r="E54" s="2" t="s">
        <v>20</v>
      </c>
      <c r="F54" s="2" t="s">
        <v>221</v>
      </c>
    </row>
    <row r="55" s="2" customFormat="1" spans="1:6">
      <c r="A55" s="2" t="str">
        <f>VLOOKUP(B55,'SITE Fields'!A:A,1,FALSE)</f>
        <v>Eircode</v>
      </c>
      <c r="B55" s="2" t="s">
        <v>64</v>
      </c>
      <c r="C55" s="2" t="s">
        <v>278</v>
      </c>
      <c r="D55" s="2" t="s">
        <v>219</v>
      </c>
      <c r="E55" s="2" t="s">
        <v>20</v>
      </c>
      <c r="F55" s="2" t="s">
        <v>221</v>
      </c>
    </row>
    <row r="56" s="2" customFormat="1" spans="1:6">
      <c r="A56" s="2" t="str">
        <f>VLOOKUP(B56,'SITE Fields'!A:A,1,FALSE)</f>
        <v>County</v>
      </c>
      <c r="B56" s="2" t="s">
        <v>68</v>
      </c>
      <c r="C56" s="2" t="s">
        <v>279</v>
      </c>
      <c r="D56" s="2" t="s">
        <v>219</v>
      </c>
      <c r="E56" s="2" t="s">
        <v>226</v>
      </c>
      <c r="F56" s="2">
        <v>-195</v>
      </c>
    </row>
    <row r="57" s="2" customFormat="1" spans="1:6">
      <c r="A57" s="2" t="e">
        <f>VLOOKUP(B57,'SITE Fields'!A:A,1,FALSE)</f>
        <v>#N/A</v>
      </c>
      <c r="B57" s="2" t="s">
        <v>280</v>
      </c>
      <c r="C57" s="2" t="s">
        <v>281</v>
      </c>
      <c r="D57" s="2" t="s">
        <v>219</v>
      </c>
      <c r="E57" s="2" t="s">
        <v>226</v>
      </c>
      <c r="F57" s="2">
        <v>740</v>
      </c>
    </row>
    <row r="58" s="2" customFormat="1"/>
    <row r="59" s="2" customFormat="1"/>
    <row r="60" s="2" customFormat="1"/>
    <row r="61" s="2" customFormat="1"/>
    <row r="62" s="2" customFormat="1"/>
    <row r="63" s="2" customFormat="1"/>
    <row r="64" s="2" customFormat="1"/>
    <row r="65" s="2" customFormat="1"/>
    <row r="66" s="2" customFormat="1"/>
    <row r="67" s="2" customFormat="1"/>
    <row r="68" s="2" customFormat="1"/>
    <row r="69" s="2" customFormat="1"/>
    <row r="70" s="2" customForma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SITE Fields</vt:lpstr>
      <vt:lpstr>SITE Fields 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peppo</dc:creator>
  <cp:lastModifiedBy>peppo</cp:lastModifiedBy>
  <dcterms:created xsi:type="dcterms:W3CDTF">2026-02-04T08:35:37Z</dcterms:created>
  <dcterms:modified xsi:type="dcterms:W3CDTF">2026-02-04T10:56:25Z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969E97387C244EE2A887EB19F5745F6A_11</vt:lpwstr>
  </property>
  <property fmtid="{D5CDD505-2E9C-101B-9397-08002B2CF9AE}" pid="3" name="KSOProductBuildVer">
    <vt:lpwstr>1033-12.2.0.16909</vt:lpwstr>
  </property>
</Properties>
</file>