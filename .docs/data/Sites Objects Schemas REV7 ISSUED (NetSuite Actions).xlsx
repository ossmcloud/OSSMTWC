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activeTab="4"/>
  </bookViews>
  <sheets>
    <sheet name="SITE Fields" sheetId="1" r:id="rId1"/>
    <sheet name="SITE Fields NS" sheetId="2" r:id="rId2"/>
    <sheet name="INFRASTRUCTURE Fields" sheetId="3" r:id="rId3"/>
    <sheet name="INFRASTRUCTURE Fields NS" sheetId="4" r:id="rId4"/>
    <sheet name="LOCK Fields" sheetId="5" r:id="rId5"/>
    <sheet name="LOCK Fields NS" sheetId="6" r:id="rId6"/>
  </sheets>
  <definedNames>
    <definedName name="_xlnm._FilterDatabase" localSheetId="0" hidden="1">'SITE Fields'!$A$1:$K$104</definedName>
    <definedName name="_xlnm._FilterDatabase" localSheetId="2" hidden="1">'INFRASTRUCTURE Fields'!$A$1:$M$93</definedName>
    <definedName name="_xlnm._FilterDatabase" localSheetId="3" hidden="1">'INFRASTRUCTURE Fields NS'!$A$1:$H$80</definedName>
    <definedName name="_xlnm._FilterDatabase" localSheetId="4" hidden="1">'LOCK Fields'!$A$1:$J$18</definedName>
    <definedName name="Short_Code">#REF!</definedName>
    <definedName name="Status">#REF!</definedName>
    <definedName name="_xlnm._FilterDatabase" localSheetId="1" hidden="1">'SITE Fields NS'!$A$1:$H$70</definedName>
    <definedName name="Short_Code" localSheetId="2">#REF!</definedName>
    <definedName name="Status" localSheetId="2">#REF!</definedName>
    <definedName name="Short_Code" localSheetId="4">#REF!</definedName>
    <definedName name="Status" localSheetId="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<sst xmlns="http://schemas.openxmlformats.org/spreadsheetml/2006/main" count="2197" uniqueCount="592">
  <si>
    <t>SITE Field Name</t>
  </si>
  <si>
    <t>NS Fields ID</t>
  </si>
  <si>
    <t>NS Field Type</t>
  </si>
  <si>
    <t>NS Action</t>
  </si>
  <si>
    <t>Data Source</t>
  </si>
  <si>
    <t>AREA</t>
  </si>
  <si>
    <t>SUB-AREA(S)</t>
  </si>
  <si>
    <t>Field Type</t>
  </si>
  <si>
    <t>Option Values</t>
  </si>
  <si>
    <t>Query / Comments</t>
  </si>
  <si>
    <t>RADIX Site Table entry number</t>
  </si>
  <si>
    <t>RADIX</t>
  </si>
  <si>
    <t>Summary</t>
  </si>
  <si>
    <t>Basic Information</t>
  </si>
  <si>
    <t>Integer</t>
  </si>
  <si>
    <t>Site ID</t>
  </si>
  <si>
    <t>MASTER TRACKER</t>
  </si>
  <si>
    <t>8-character alphanumeric string</t>
  </si>
  <si>
    <t>-</t>
  </si>
  <si>
    <t>Site Name</t>
  </si>
  <si>
    <t>Free-Form Text</t>
  </si>
  <si>
    <t>Alias</t>
  </si>
  <si>
    <t>Site Status</t>
  </si>
  <si>
    <t>Option</t>
  </si>
  <si>
    <t>Active, Option, Retired, To Be Retired, UTS</t>
  </si>
  <si>
    <t>Site Type</t>
  </si>
  <si>
    <t>Greenfield, Rooftop, Colocation</t>
  </si>
  <si>
    <t>Multi Mast Sites</t>
  </si>
  <si>
    <t>Yes, No</t>
  </si>
  <si>
    <t>Old ID</t>
  </si>
  <si>
    <t>Structures List</t>
  </si>
  <si>
    <t>REMOVE / IGNORE (this is a one-to-many)</t>
  </si>
  <si>
    <t>n/a</t>
  </si>
  <si>
    <t>Infrastructure</t>
  </si>
  <si>
    <t>List of associated INFRASTRUCTURE records</t>
  </si>
  <si>
    <t>List INFRASTRUCTURE Table entries with Site field matching and Infrastructure Type of Structure</t>
  </si>
  <si>
    <t>Accommodation List</t>
  </si>
  <si>
    <t>List INFRASTRUCTURE Table entries with Site field matching and Infrastructure Type of Accommodation</t>
  </si>
  <si>
    <t>Fibre List</t>
  </si>
  <si>
    <t>List INFRASTRUCTURE Table entries with Site field matching and Infrastructure Type of Fibre</t>
  </si>
  <si>
    <t>Height ASL (m)</t>
  </si>
  <si>
    <t>TLM TRACKER</t>
  </si>
  <si>
    <t>Decimal (2 decimal points)</t>
  </si>
  <si>
    <t>Site Level</t>
  </si>
  <si>
    <t>Premium, Level 1, Level 2, Level 3, Level 4</t>
  </si>
  <si>
    <t>Portfolio</t>
  </si>
  <si>
    <t>108, TC68, EED, BTS, Other</t>
  </si>
  <si>
    <t>Option values updated</t>
  </si>
  <si>
    <t>SRF Status</t>
  </si>
  <si>
    <t>This should not apply to single site but to the SRF record</t>
  </si>
  <si>
    <t>Master Tracker</t>
  </si>
  <si>
    <t>Structure</t>
  </si>
  <si>
    <t>General</t>
  </si>
  <si>
    <t>Full SRF, Remove Only, No SRF</t>
  </si>
  <si>
    <t>SAF Status</t>
  </si>
  <si>
    <t>This should not apply to single site but to the SAF record</t>
  </si>
  <si>
    <t>Full SAF, Survey only, Op Maintenance only, Construction only, TL only, No SAF</t>
  </si>
  <si>
    <t>Public</t>
  </si>
  <si>
    <t>Yes All, Tenant Customer only, TL only, No All.</t>
  </si>
  <si>
    <t>BTS Status</t>
  </si>
  <si>
    <t>Option, Candidate, HOTs Signed, In Planning, Planning Granted, Acquired, In Build, Active</t>
  </si>
  <si>
    <t>Address</t>
  </si>
  <si>
    <t>Location</t>
  </si>
  <si>
    <t>Does Netsuite have an address type?</t>
  </si>
  <si>
    <t>Eircode</t>
  </si>
  <si>
    <t>NO SOURCE</t>
  </si>
  <si>
    <t>NEW FIELD</t>
  </si>
  <si>
    <t>What3Words</t>
  </si>
  <si>
    <t>County</t>
  </si>
  <si>
    <t>Easting</t>
  </si>
  <si>
    <t>6-digit Decimal (0 decimal points)</t>
  </si>
  <si>
    <t>Is one set calculated from the other or are each set independent?
Is any validation done?
Should we have separate coordinates for each STRUCTURE as well as a set of SITE coordinates?</t>
  </si>
  <si>
    <t>Northing</t>
  </si>
  <si>
    <t>Longitude</t>
  </si>
  <si>
    <t>Decimal (6 decimal points)</t>
  </si>
  <si>
    <t>Latitude</t>
  </si>
  <si>
    <t>SAF Auto Approve</t>
  </si>
  <si>
    <t>Access</t>
  </si>
  <si>
    <t>No, Yes</t>
  </si>
  <si>
    <t>Track Type</t>
  </si>
  <si>
    <t>Tarmac, Hardcore</t>
  </si>
  <si>
    <t>Easting (Access)</t>
  </si>
  <si>
    <t>Northing (Access)</t>
  </si>
  <si>
    <t>Longitude (Access)</t>
  </si>
  <si>
    <t>Latitude (Access)</t>
  </si>
  <si>
    <t>Access What3Words</t>
  </si>
  <si>
    <t>Directions</t>
  </si>
  <si>
    <t>Text Area</t>
  </si>
  <si>
    <t>Instructions</t>
  </si>
  <si>
    <t>Tenant Card Required</t>
  </si>
  <si>
    <t>4x4 Required</t>
  </si>
  <si>
    <t>Parking Restrictions</t>
  </si>
  <si>
    <t>Crane/Mewp Access</t>
  </si>
  <si>
    <t>Dual Lock Installed</t>
  </si>
  <si>
    <t>REMOVE FIELD</t>
  </si>
  <si>
    <t>Site Locks</t>
  </si>
  <si>
    <t>LOCK TRACKER</t>
  </si>
  <si>
    <t>List of associated LOCK records</t>
  </si>
  <si>
    <t>List LOCK Table entries with Site field matching</t>
  </si>
  <si>
    <t>Safety / Special Notes</t>
  </si>
  <si>
    <t>Land Agrement List</t>
  </si>
  <si>
    <t>Estates</t>
  </si>
  <si>
    <t>Land</t>
  </si>
  <si>
    <t>List of associated LAND records</t>
  </si>
  <si>
    <t>ROW Agrement List</t>
  </si>
  <si>
    <t>List of associated ROW records</t>
  </si>
  <si>
    <t>Current Land Agreement</t>
  </si>
  <si>
    <t>LAND Lookup</t>
  </si>
  <si>
    <t>Superceded Land Agreement</t>
  </si>
  <si>
    <t>In Progress Land Agreement</t>
  </si>
  <si>
    <t>Current ROW</t>
  </si>
  <si>
    <t>ROW</t>
  </si>
  <si>
    <t>ROW Lookup</t>
  </si>
  <si>
    <t>Secondary ROW</t>
  </si>
  <si>
    <t>In Progress ROW</t>
  </si>
  <si>
    <t>Full Demised Area Fenced</t>
  </si>
  <si>
    <t>Perimeter</t>
  </si>
  <si>
    <t>Adjacent Ground Space</t>
  </si>
  <si>
    <t>Adjacent Ground Owner</t>
  </si>
  <si>
    <t>Perimeter Type</t>
  </si>
  <si>
    <t>Chainlink Fence,  Chainlink Fence w/Barbed Wire, Pallisade, Pallisade/Chain Link Combination, Pallisade/Stone Wall Combination, Post &amp; Rail Fence, Stone Wall, Stone/Chain Link Combination, Timber Fence, None</t>
  </si>
  <si>
    <t>Fence Height (m)</t>
  </si>
  <si>
    <t>Independent Power Supplies</t>
  </si>
  <si>
    <t>What???</t>
  </si>
  <si>
    <t>Power</t>
  </si>
  <si>
    <t>Auto-Generated Integer</t>
  </si>
  <si>
    <t>Count of Active Power Supplies</t>
  </si>
  <si>
    <t>Available Meter Slots</t>
  </si>
  <si>
    <t>POWER TRACKERS</t>
  </si>
  <si>
    <t>Power Supply List</t>
  </si>
  <si>
    <t>List of associated POWER SUPPLY records</t>
  </si>
  <si>
    <t>List POWER SUPPLY Table entries with Site field matching</t>
  </si>
  <si>
    <t>Generator List</t>
  </si>
  <si>
    <t>List INFRASTRUCTURE Table entries with Site field matching and Infrastructure Type of Generator</t>
  </si>
  <si>
    <t>Next Generator Service</t>
  </si>
  <si>
    <t>NO DATA</t>
  </si>
  <si>
    <t>Service &amp; Inspections</t>
  </si>
  <si>
    <t>Date</t>
  </si>
  <si>
    <t>This needs to bubble up from associated Active GENERATORS</t>
  </si>
  <si>
    <t>Next Earth &amp; LP Test</t>
  </si>
  <si>
    <t>Earth &amp; LP Inspections List</t>
  </si>
  <si>
    <t>List of associated E&amp;LP SERVICE records</t>
  </si>
  <si>
    <t>List E&amp;LP SERVICE Table entries with Site field matching</t>
  </si>
  <si>
    <t>Next Structure Inspection Date</t>
  </si>
  <si>
    <t>What is a script date?</t>
  </si>
  <si>
    <t>Script Date</t>
  </si>
  <si>
    <t>This needs to bubble up from associated Active STRUCTURES - the soonest of each of these fields in the associated structures OR just table the structreus with the relevant fields shown</t>
  </si>
  <si>
    <t>Next Fall Arrest Certification Date</t>
  </si>
  <si>
    <t>Next Tower Painting Date</t>
  </si>
  <si>
    <t>Structure Inspections List</t>
  </si>
  <si>
    <t>List of associated INSPECTION records</t>
  </si>
  <si>
    <t>List INSPECTION Table entries with Site field matching</t>
  </si>
  <si>
    <t>Next Aircon Service Date</t>
  </si>
  <si>
    <t>Facilities</t>
  </si>
  <si>
    <t>This needs to bubble up from associated Active ACCOMMODATIONS</t>
  </si>
  <si>
    <t>Next Fire Service Date</t>
  </si>
  <si>
    <t>Next Alarm Service Date</t>
  </si>
  <si>
    <t>Facilities Services List</t>
  </si>
  <si>
    <t>List of associated FACILITIES SERVICE records</t>
  </si>
  <si>
    <t>List FACILITIES SERVICE Table entries with Site field matching</t>
  </si>
  <si>
    <t>Marketing Status</t>
  </si>
  <si>
    <t>Marketing</t>
  </si>
  <si>
    <t>Hold off on these fields until further internal review takes place</t>
  </si>
  <si>
    <t>General Site Availability</t>
  </si>
  <si>
    <t>create field</t>
  </si>
  <si>
    <t>Marketability</t>
  </si>
  <si>
    <t>Yes, No, Qualified</t>
  </si>
  <si>
    <t>Availability - Planning Restriction</t>
  </si>
  <si>
    <t>Planning Restriction Comment</t>
  </si>
  <si>
    <t>Availability - Estates Restriction</t>
  </si>
  <si>
    <t>Estates Restriction Comment</t>
  </si>
  <si>
    <t>Availability - Structural Restriction</t>
  </si>
  <si>
    <t>Availability - Operational  Restriction</t>
  </si>
  <si>
    <t>Capacity Available</t>
  </si>
  <si>
    <t>Multiple MNO, 1 MNO, Existing Customer Equipment Addition, Limited, None</t>
  </si>
  <si>
    <t>Development Potential</t>
  </si>
  <si>
    <t>Multi-Option</t>
  </si>
  <si>
    <t>Strengthen, Extend, Replace, None</t>
  </si>
  <si>
    <t>Development Restrictions</t>
  </si>
  <si>
    <t>Requires Planning, Requires Rights Review, Requires Space, Community</t>
  </si>
  <si>
    <t>Available Height (m)</t>
  </si>
  <si>
    <t>Marketability Requires Review</t>
  </si>
  <si>
    <t>Customer Presence List</t>
  </si>
  <si>
    <t>List of associated CUSTOMER PRESENCE records</t>
  </si>
  <si>
    <t>Customer Presence</t>
  </si>
  <si>
    <t>MNO REF TRACKER</t>
  </si>
  <si>
    <t>Key Customer Presence</t>
  </si>
  <si>
    <t>Any company whose Company Flag is set to "Customer"</t>
  </si>
  <si>
    <t>Three Site Ref</t>
  </si>
  <si>
    <t>Vodafone Site Ref</t>
  </si>
  <si>
    <t>Eir Mobile Site Ref</t>
  </si>
  <si>
    <t>TI Site Ref</t>
  </si>
  <si>
    <t>MNO Occupancy</t>
  </si>
  <si>
    <t>Auto-generated = number of entries in CUSTOMER PRESENCE list where Presence Type = Licenced or Installed AND Customer Type = Mobile Network Operator</t>
  </si>
  <si>
    <t>Non-MNO Occupancy</t>
  </si>
  <si>
    <t>Auto-generated = number of entries in CUSTOMER PRESENCE list where Presence Type = Licenced or Installed AND Customer Type &lt;&gt; Mobile Network Operator</t>
  </si>
  <si>
    <t>Occupancy</t>
  </si>
  <si>
    <t>Auto-generated sum of MNO Occupancy and Non-MNO Accupancy</t>
  </si>
  <si>
    <t>Files &amp; Drawings</t>
  </si>
  <si>
    <t>Lookup to files</t>
  </si>
  <si>
    <t>Files area needs review - hold off for now</t>
  </si>
  <si>
    <t>Site Safety</t>
  </si>
  <si>
    <t>Licence Maps</t>
  </si>
  <si>
    <t>Agreements</t>
  </si>
  <si>
    <t>CAD Drawings</t>
  </si>
  <si>
    <t>Elevations</t>
  </si>
  <si>
    <t>Panoramics</t>
  </si>
  <si>
    <t>Record Drawings</t>
  </si>
  <si>
    <t>Record Designer</t>
  </si>
  <si>
    <t>COMPANY Lookup</t>
  </si>
  <si>
    <t>Layout Drawings</t>
  </si>
  <si>
    <t>Layout Designer</t>
  </si>
  <si>
    <t>Site Field</t>
  </si>
  <si>
    <t>name</t>
  </si>
  <si>
    <t>field_id</t>
  </si>
  <si>
    <t>fieldtype</t>
  </si>
  <si>
    <t>fieldvaluetype</t>
  </si>
  <si>
    <t>fieldvaluetyperecord</t>
  </si>
  <si>
    <t>custrecord_twc_site_radix_tbl_entry_no</t>
  </si>
  <si>
    <t>RECORD</t>
  </si>
  <si>
    <t>Integer Number</t>
  </si>
  <si>
    <t>null</t>
  </si>
  <si>
    <t>custrecord_twc_site_id</t>
  </si>
  <si>
    <t>custrecord_twc_site_name</t>
  </si>
  <si>
    <t>custrecord_twc_site_alias</t>
  </si>
  <si>
    <t>custrecord_twc_site_status</t>
  </si>
  <si>
    <t>List/Record</t>
  </si>
  <si>
    <t>custrecord_twc_site_type</t>
  </si>
  <si>
    <t>custrecord_twc_site_multi_mast_sites</t>
  </si>
  <si>
    <t>Check Box</t>
  </si>
  <si>
    <t>custrecord_twc_site_old_id</t>
  </si>
  <si>
    <t>custrecord_twc_site_height_asl</t>
  </si>
  <si>
    <t>Decimal Number</t>
  </si>
  <si>
    <t>custrecord_twc_site_level</t>
  </si>
  <si>
    <t>custrecord_twc_site_portfolio</t>
  </si>
  <si>
    <t>custrecord_twc_site_srf_status</t>
  </si>
  <si>
    <t>custrecord_twc_site_saf_status</t>
  </si>
  <si>
    <t>custrecord_twc_site_public</t>
  </si>
  <si>
    <t>custrecord_twc_site_bts_status</t>
  </si>
  <si>
    <t>custrecord_twc_site_address</t>
  </si>
  <si>
    <t>custrecord_twc_site_easting</t>
  </si>
  <si>
    <t>custrecord_twc_site_northing</t>
  </si>
  <si>
    <t>custrecord_twc_site_longitude</t>
  </si>
  <si>
    <t>custrecord_twc_site_latitude</t>
  </si>
  <si>
    <t>custrecord_twc_site_saf_auto_approve</t>
  </si>
  <si>
    <t>custrecord_twc_site_track_type</t>
  </si>
  <si>
    <t>custrecord_twc_site_easting_access</t>
  </si>
  <si>
    <t>custrecord_twc_site_northing_access</t>
  </si>
  <si>
    <t>custrecord_twc_site_longitude_access</t>
  </si>
  <si>
    <t>custrecord_twc_site_latitude_access</t>
  </si>
  <si>
    <t>custrecord_twc_site_directions</t>
  </si>
  <si>
    <t>Long Text</t>
  </si>
  <si>
    <t>custrecord_twc_site_instructions</t>
  </si>
  <si>
    <t>custrecord_twc_site_tenant_card_req</t>
  </si>
  <si>
    <t>custrecord_twc_site_4x4_req</t>
  </si>
  <si>
    <t>custrecord_twc_site_parking_restr</t>
  </si>
  <si>
    <t>custrecord_twc_site_crane_mewp_access</t>
  </si>
  <si>
    <t>custrecord_twc_site_safety_spl_notes</t>
  </si>
  <si>
    <t>custrecord_twc_site_full_dmed_area_fncd</t>
  </si>
  <si>
    <t>custrecord_twc_site_adj_grnd_space</t>
  </si>
  <si>
    <t>custrecord_twc_site_adj_grnd_owner</t>
  </si>
  <si>
    <t>custrecord_twc_site_perimeter_type</t>
  </si>
  <si>
    <t>custrecord_twc_site_fence_height_m</t>
  </si>
  <si>
    <t>custrecord_twc_site_indep_pwr_supp</t>
  </si>
  <si>
    <t>custrecord_twc_site_nxt_gen_svc</t>
  </si>
  <si>
    <t>custrecord_twc_site_nxt_earth_lp_test</t>
  </si>
  <si>
    <t>custrecord_twc_site_nxt_str_insp_date</t>
  </si>
  <si>
    <t>custrecord_twc_site_nxt_fall_cert_date</t>
  </si>
  <si>
    <t>custrecord_twc_site_nxt_twr_pnt_date</t>
  </si>
  <si>
    <t>custrecord_twc_site_nxt_aircon_svc_date</t>
  </si>
  <si>
    <t>custrecord_twc_site_nxt_fire_svc_date</t>
  </si>
  <si>
    <t>custrecord_twc_site_nxt_alarm_svc_date</t>
  </si>
  <si>
    <t>custrecord_twc_site_mktg_sts</t>
  </si>
  <si>
    <t>custrecord_twc_site_mno_occ</t>
  </si>
  <si>
    <t>custrecord_twc_site_non_mno_occ</t>
  </si>
  <si>
    <t>custrecord_twc_site_occ</t>
  </si>
  <si>
    <t>custrecord_twc_site_what3words</t>
  </si>
  <si>
    <t>custrecord_twc_site_acc_wt3words</t>
  </si>
  <si>
    <t>custrecord_twc_site_address_zip</t>
  </si>
  <si>
    <t>custrecord_twc_site_address_county</t>
  </si>
  <si>
    <t>Address Region</t>
  </si>
  <si>
    <t>custrecord_twc_site_address_region</t>
  </si>
  <si>
    <t>STRUCTURE Field Name</t>
  </si>
  <si>
    <t>DATA SOURCE</t>
  </si>
  <si>
    <t>SUB-AREA</t>
  </si>
  <si>
    <t>Query/Comment</t>
  </si>
  <si>
    <t>c heck sample data</t>
  </si>
  <si>
    <t>Infrastructure Type Relevant</t>
  </si>
  <si>
    <t>Site</t>
  </si>
  <si>
    <t>SITE Lookup</t>
  </si>
  <si>
    <t>Select SITE Table Entry</t>
  </si>
  <si>
    <t>ALL</t>
  </si>
  <si>
    <t>Infrastructure Type</t>
  </si>
  <si>
    <t>Structure, Accommodation, Fibre, Generator</t>
  </si>
  <si>
    <t>Infrastructure ID</t>
  </si>
  <si>
    <t>Needs to be unique</t>
  </si>
  <si>
    <t>Legacy ID</t>
  </si>
  <si>
    <t>Status</t>
  </si>
  <si>
    <t>Live Site, UTS WIP, Option, To be Retired, Retired, Not Live, Planned</t>
  </si>
  <si>
    <t>Structure, Accommodation, Fibre</t>
  </si>
  <si>
    <t>This needs to be set to No automatically if the Fall Arrest Certification is Expired</t>
  </si>
  <si>
    <t>Schedule</t>
  </si>
  <si>
    <t>Schedule 1, Schedule 2, Schedule 3a, Schedule 3b, Schedule 3f, MLA, Non MLA site, Option A (EED), TALA, Freehold, Leasehold, LTRU, Option A (3a), Option A (3b), Expansion Space, Schedule 3a: RT</t>
  </si>
  <si>
    <t>Infrastructure Ownership</t>
  </si>
  <si>
    <t>Select COMPANY Table Entry</t>
  </si>
  <si>
    <t>O&amp;M Ownership</t>
  </si>
  <si>
    <t>Insurance Ownership</t>
  </si>
  <si>
    <t>Locks List</t>
  </si>
  <si>
    <t>IN RADIX AND NEW SYSTEM</t>
  </si>
  <si>
    <t>List LOCK Table entries with Site field and Infrastructure field matching</t>
  </si>
  <si>
    <t>OK</t>
  </si>
  <si>
    <t>Structure, Accommodation, Generator</t>
  </si>
  <si>
    <t>Planning Records List</t>
  </si>
  <si>
    <t>Planning</t>
  </si>
  <si>
    <t>List of associated PLANNING records</t>
  </si>
  <si>
    <t>List PLANNING Table entries with Site field and Infrastructure field matching</t>
  </si>
  <si>
    <t>Structure, Accommodation</t>
  </si>
  <si>
    <t>Comments</t>
  </si>
  <si>
    <t>It would be great to calculate one from the other</t>
  </si>
  <si>
    <t>Structure Type</t>
  </si>
  <si>
    <t>TLM Tracker</t>
  </si>
  <si>
    <t>Lattice Mast, Stayed Mast, Monopole, Wooden Pole, Rooftop Mast, Rooftop, No Structure</t>
  </si>
  <si>
    <t>Tower Family</t>
  </si>
  <si>
    <t>See separate tab</t>
  </si>
  <si>
    <t>Structure Height (m)</t>
  </si>
  <si>
    <t>Future Planned Structure Height (m)</t>
  </si>
  <si>
    <t>Rooftop Height (m)</t>
  </si>
  <si>
    <t>Aircraft Lights List</t>
  </si>
  <si>
    <t>TBD</t>
  </si>
  <si>
    <t>List of associated AWL records</t>
  </si>
  <si>
    <t>List AWL Table entries with Site field and Infrastructure field matching</t>
  </si>
  <si>
    <t>Fall Arrest Status</t>
  </si>
  <si>
    <t>Not Present, Certified, Certification Expired</t>
  </si>
  <si>
    <t>Fall Arrest Type</t>
  </si>
  <si>
    <t>Latchway, Metreel</t>
  </si>
  <si>
    <t>Any railok should be considered no fall arrest</t>
  </si>
  <si>
    <t>Anti Climb</t>
  </si>
  <si>
    <t>Next Site Inspection Date</t>
  </si>
  <si>
    <t>Inspections</t>
  </si>
  <si>
    <t>If the Fall Arrest Status is Present and this date elapses, the Fall Arrest Status should be set to Expired</t>
  </si>
  <si>
    <t>Tower Last Painted Date</t>
  </si>
  <si>
    <t>Scheduled Next Painting Date</t>
  </si>
  <si>
    <t>Painting Warranty Expiry Date</t>
  </si>
  <si>
    <t>List INSPECTION Table entries with Site field and Infrastructure field matching</t>
  </si>
  <si>
    <t>Structure Design</t>
  </si>
  <si>
    <t>Design</t>
  </si>
  <si>
    <t>Structure Design Schematic</t>
  </si>
  <si>
    <t>DEFER FOR A NOW</t>
  </si>
  <si>
    <t>Year of Build</t>
  </si>
  <si>
    <t>Geotype</t>
  </si>
  <si>
    <t>Country, Town</t>
  </si>
  <si>
    <t>Proximity to Body of Water (km)</t>
  </si>
  <si>
    <t>Decimal</t>
  </si>
  <si>
    <t>Land Topology</t>
  </si>
  <si>
    <t>Flat, Hill</t>
  </si>
  <si>
    <t>Wind Map Vb,map (m/s)</t>
  </si>
  <si>
    <t>Foundation Type</t>
  </si>
  <si>
    <t>Pad, Pile, Slab</t>
  </si>
  <si>
    <t>Foundation Design</t>
  </si>
  <si>
    <t>Foundation Dimensions</t>
  </si>
  <si>
    <t>Foundation Contractor</t>
  </si>
  <si>
    <t>Soil Bearing DCP/SI (kN/m)</t>
  </si>
  <si>
    <t>Ground Water (BGL)</t>
  </si>
  <si>
    <t>Foundation FOS</t>
  </si>
  <si>
    <t>Foundation Overturning (kN/m)</t>
  </si>
  <si>
    <t>Structure   Capacity Σ ESA_(m²)</t>
  </si>
  <si>
    <t>Structure  Capacity Σ E-BM_(m².m)</t>
  </si>
  <si>
    <t>Structure  Equipment loading Σ E-BM_(m².m)</t>
  </si>
  <si>
    <t>% Capacity used</t>
  </si>
  <si>
    <t>Capacity</t>
  </si>
  <si>
    <t>% Capacity remaining</t>
  </si>
  <si>
    <t>TLM</t>
  </si>
  <si>
    <t>Green, Amber, Blue, Red</t>
  </si>
  <si>
    <t>Capacity Review List</t>
  </si>
  <si>
    <t>List of associated CAPACITY REVIEW records</t>
  </si>
  <si>
    <t>List CAPACITY REVIEW Table entries with Site field and Infrastructure field matching</t>
  </si>
  <si>
    <t>Tower Drawings Available</t>
  </si>
  <si>
    <t>DEFER FIELD FOR NOW</t>
  </si>
  <si>
    <t>Number of Tower Drawings</t>
  </si>
  <si>
    <t>Foundation Drawings</t>
  </si>
  <si>
    <t>Foundation Drawings Produced</t>
  </si>
  <si>
    <t>String</t>
  </si>
  <si>
    <t>Accomodation Type</t>
  </si>
  <si>
    <t>Accommodation</t>
  </si>
  <si>
    <t>Cabin, Building, Room</t>
  </si>
  <si>
    <t>Accommodation Dimensions</t>
  </si>
  <si>
    <t>Rack Spaces Available</t>
  </si>
  <si>
    <t>Units</t>
  </si>
  <si>
    <t>Aircon</t>
  </si>
  <si>
    <t>Model</t>
  </si>
  <si>
    <t>Installed</t>
  </si>
  <si>
    <t>AC Feed Phase</t>
  </si>
  <si>
    <t>Single, Three Phase</t>
  </si>
  <si>
    <t>Loadings</t>
  </si>
  <si>
    <t>Power consumption of units</t>
  </si>
  <si>
    <t>Noise Level</t>
  </si>
  <si>
    <t>Do we need this?</t>
  </si>
  <si>
    <t>Next Aircon Service</t>
  </si>
  <si>
    <t>Intruder Alarm Present</t>
  </si>
  <si>
    <t>Alarms</t>
  </si>
  <si>
    <t>Intruder Code</t>
  </si>
  <si>
    <t>Fire Alarm Present</t>
  </si>
  <si>
    <t>Fire</t>
  </si>
  <si>
    <t>Next Fire Service</t>
  </si>
  <si>
    <t>Next Alarm Service</t>
  </si>
  <si>
    <t>Facilities Service List</t>
  </si>
  <si>
    <t>Service</t>
  </si>
  <si>
    <t>List of associated FACILITY SERVICE records</t>
  </si>
  <si>
    <t>List FACILITIES SERVICE Table entries with Site field and Infrastructure field matching</t>
  </si>
  <si>
    <t>Fibre Infrastructure Status</t>
  </si>
  <si>
    <t>Fibre</t>
  </si>
  <si>
    <t>Inactive, Active, Planned</t>
  </si>
  <si>
    <t>Fibre Duct Installed</t>
  </si>
  <si>
    <t>Yes, No, Partial</t>
  </si>
  <si>
    <t>Fibre Infrastructure Type</t>
  </si>
  <si>
    <t>Duct, Duct &amp; Dark Fibre, Lit Fibre, Duct &amp; Lit Fibre</t>
  </si>
  <si>
    <t>Fibre Service Providers</t>
  </si>
  <si>
    <t>openeir, Enet, ESB, BT, Virgin Media, SIRO, Other, "--"</t>
  </si>
  <si>
    <t>Fibre Priority</t>
  </si>
  <si>
    <t>Fibre Phase</t>
  </si>
  <si>
    <t>Fibre Partner Priority</t>
  </si>
  <si>
    <t>Fibre Comments</t>
  </si>
  <si>
    <t>Generator Model</t>
  </si>
  <si>
    <t>Generator</t>
  </si>
  <si>
    <t>Power Capacity</t>
  </si>
  <si>
    <t>Tank Capacity (l)</t>
  </si>
  <si>
    <t>Generator Service List</t>
  </si>
  <si>
    <t>List of associated GENERATOR SERVICE records</t>
  </si>
  <si>
    <t>List GENERATOR SERVICE Table entries with Site field and Infrastructure field matching</t>
  </si>
  <si>
    <t>Next Generator Service Type</t>
  </si>
  <si>
    <t>On-Load Run, Off-Load Run, Oil Service, Full Service</t>
  </si>
  <si>
    <t>field_label</t>
  </si>
  <si>
    <t>field_type</t>
  </si>
  <si>
    <t>field_foreign_table</t>
  </si>
  <si>
    <t>include_name</t>
  </si>
  <si>
    <t>custrecord_twc_infra_</t>
  </si>
  <si>
    <t>customrecord_twc_site</t>
  </si>
  <si>
    <t>F</t>
  </si>
  <si>
    <t>custrecord_twc_infra_types</t>
  </si>
  <si>
    <t>customrecord_twc_infra_types</t>
  </si>
  <si>
    <t>custrecord_twc_infra_id</t>
  </si>
  <si>
    <t>custrecord_twc_infra_legacy_id</t>
  </si>
  <si>
    <t>custrecord_twc_infra_status</t>
  </si>
  <si>
    <t>customrecord_twc_infra_sts</t>
  </si>
  <si>
    <t>custrecord_twc_infra_srf_status</t>
  </si>
  <si>
    <t>customrecord_twc_infra_srf_sts</t>
  </si>
  <si>
    <t>custrecord_twc_infra_saf_status</t>
  </si>
  <si>
    <t>customrecord_twc_infra_saf_sts</t>
  </si>
  <si>
    <t>custrecord_twc_infra_saf_auto_apprv</t>
  </si>
  <si>
    <t>custrecord_twc_infra_sch</t>
  </si>
  <si>
    <t>customrecord_twc_infra_sch</t>
  </si>
  <si>
    <t>custrecord_twc_infra_ownshp</t>
  </si>
  <si>
    <t>custrecord_twc_infra_om_ownshp</t>
  </si>
  <si>
    <t>custrecord_twc_infra_insur_ownshp</t>
  </si>
  <si>
    <t>custrecord_twc_infra_mktg_sts</t>
  </si>
  <si>
    <t>custrecord_twc_infra_public</t>
  </si>
  <si>
    <t>customrecord_twc_infra_publ</t>
  </si>
  <si>
    <t>Locks</t>
  </si>
  <si>
    <t>custrecord_twc_infra_locks</t>
  </si>
  <si>
    <t>customrecord_twc_lock</t>
  </si>
  <si>
    <t>Planning Records</t>
  </si>
  <si>
    <t>custrecord_twc_infra_pln_rec</t>
  </si>
  <si>
    <t>customrecord_twc_plan</t>
  </si>
  <si>
    <t>custrecord_twc_infra_com</t>
  </si>
  <si>
    <t>custrecord_twc_infra_easting</t>
  </si>
  <si>
    <t>custrecord_twc_infra_northing</t>
  </si>
  <si>
    <t>custrecord_twc_infra_lng</t>
  </si>
  <si>
    <t>custrecord_twc_infra_lat</t>
  </si>
  <si>
    <t>custrecord_twc_infra_str_type</t>
  </si>
  <si>
    <t>customrecord_twc_infra_str_types</t>
  </si>
  <si>
    <t>custrecord_twc_infra_tw_fam</t>
  </si>
  <si>
    <t>custrecord_twc_infra_str_ht_m</t>
  </si>
  <si>
    <t>custrecord_twc_infra_fut_pln_str_ht_m</t>
  </si>
  <si>
    <t>custrecord_twc_infra_rooftop_ht_m</t>
  </si>
  <si>
    <t>Aircraft Lights</t>
  </si>
  <si>
    <t>custrecord_twc_infra_aircraft_lt</t>
  </si>
  <si>
    <t>customrecord_twc_awl</t>
  </si>
  <si>
    <t>custrecord_twc_infra_fall_arr_sts</t>
  </si>
  <si>
    <t>customrecord_twc_infra_fall_arr_sts</t>
  </si>
  <si>
    <t>custrecord_twc_infra_fall_arr_type</t>
  </si>
  <si>
    <t>customrecord_twc_infra_fall_arr_types</t>
  </si>
  <si>
    <t>custrecord_twc_infra_anti_climb</t>
  </si>
  <si>
    <t>custrecord_twc_infra_nxt_site_insp_date</t>
  </si>
  <si>
    <t>custrecord_twc_infra_nxt_fall_cert_date</t>
  </si>
  <si>
    <t>custrecord_twc_infra_twr_lst_pnt_date</t>
  </si>
  <si>
    <t>custrecord_twc_infra_sch_nxt_pnt_date</t>
  </si>
  <si>
    <t>custrecord_twc_infra_pnt_war_exp_date</t>
  </si>
  <si>
    <t>custrecord_twc_infra_insp</t>
  </si>
  <si>
    <t>customrecord_twc_insp</t>
  </si>
  <si>
    <t>custrecord_twc_infra_str_design</t>
  </si>
  <si>
    <t>custrecord_twc_infra_yr_of_build</t>
  </si>
  <si>
    <t>custrecord_twc_infra_geotype</t>
  </si>
  <si>
    <t>customrecord_twc_infra_geotype</t>
  </si>
  <si>
    <t>custrecord_twc_infra_prox_body_wtr_km</t>
  </si>
  <si>
    <t>custrecord_twc_infra_land_topo</t>
  </si>
  <si>
    <t>customrecord_twc_infra_land_topo</t>
  </si>
  <si>
    <t>custrecord_twc_infra_wind_map_vb</t>
  </si>
  <si>
    <t>custrecord_twc_infra_fnd_type</t>
  </si>
  <si>
    <t>customrecord_twc_infra_fnd_type</t>
  </si>
  <si>
    <t>custrecord_twc_infra_fnd_design</t>
  </si>
  <si>
    <t>custrecord_twc_infra_fnd_dims</t>
  </si>
  <si>
    <t>custrecord_twc_infra_fnd_contr</t>
  </si>
  <si>
    <t>custrecord_twc_infra_soil_brg_dcp_si</t>
  </si>
  <si>
    <t>custrecord_twc_infra_grnd_wtr</t>
  </si>
  <si>
    <t>custrecord_twc_infra_fnd_fos</t>
  </si>
  <si>
    <t>custrecord_twc_infra_fnd_ot</t>
  </si>
  <si>
    <t>custrecord_twc_infra_str_cap_esa</t>
  </si>
  <si>
    <t>custrecord_twc_infra_str_cap_ebm</t>
  </si>
  <si>
    <t>custrecord_twc_infra_str_equip_ldg_ebm</t>
  </si>
  <si>
    <t>custrecord_twc_infra_pct_cap_used</t>
  </si>
  <si>
    <t>custrecord_twc_infra_pct_cap_rem</t>
  </si>
  <si>
    <t>custrecord_twc_infra_tlm</t>
  </si>
  <si>
    <t>customrecord_twc_infra_tlm</t>
  </si>
  <si>
    <t>Capacity Reviews</t>
  </si>
  <si>
    <t>custrecord_twc_infra_cap_rev</t>
  </si>
  <si>
    <t>customrecord_twc_capacity_review</t>
  </si>
  <si>
    <t>custrecord_twc_infra_accom_type</t>
  </si>
  <si>
    <t>customrecord_twc_infra_accom</t>
  </si>
  <si>
    <t>custrecord_twc_infra_accom_dim</t>
  </si>
  <si>
    <t>custrecord_twc_infra_rack_space_avail</t>
  </si>
  <si>
    <t>custrecord_twc_infra_units</t>
  </si>
  <si>
    <t>custrecord_twc_infra_model</t>
  </si>
  <si>
    <t>custrecord_twc_infra_installed</t>
  </si>
  <si>
    <t>custrecord_twc_infra_ac_feed_phase</t>
  </si>
  <si>
    <t>customrecord_twc_infra_ac_feed_phase</t>
  </si>
  <si>
    <t>custrecord_twc_infra_ldg</t>
  </si>
  <si>
    <t>custrecord_twc_infra_noise_lvl</t>
  </si>
  <si>
    <t>custrecord_twc_infra_nxt_aircon_svc</t>
  </si>
  <si>
    <t>custrecord_twc_infra_intru_alrm_pres</t>
  </si>
  <si>
    <t>custrecord_twc_infra_intru_code</t>
  </si>
  <si>
    <t>custrecord_twc_infra_fire_alrm_pres</t>
  </si>
  <si>
    <t>custrecord_twc_infra_nxt_fire_svc</t>
  </si>
  <si>
    <t>custrecord_twc_infra_nxt_alrm_svc</t>
  </si>
  <si>
    <t>Facilities Services</t>
  </si>
  <si>
    <t>custrecord_twc_infra_fac_svc</t>
  </si>
  <si>
    <t>customrecord_twc_fac_svc</t>
  </si>
  <si>
    <t>custrecord_twc_infra_gen_model</t>
  </si>
  <si>
    <t>custrecord_twc_infra_pwr_cap</t>
  </si>
  <si>
    <t>custrecord_twc_infra_tnk_cap_l</t>
  </si>
  <si>
    <t>Generator Services</t>
  </si>
  <si>
    <t>custrecord_twc_infra_grn_svc</t>
  </si>
  <si>
    <t>customrecord_twc_gen_svc</t>
  </si>
  <si>
    <t>custrecord_twc_infra_nxt_gen_svc</t>
  </si>
  <si>
    <t>custrecord_twc_infra_nxt_gen_svc_type</t>
  </si>
  <si>
    <t>customrecord_twc_infra_nxt_gen_svc_type</t>
  </si>
  <si>
    <t>LOCKS Field Name</t>
  </si>
  <si>
    <t>Lock ID</t>
  </si>
  <si>
    <t>LOCK-XXXXX</t>
  </si>
  <si>
    <t>Lock Location Category</t>
  </si>
  <si>
    <t>Gate, Gate with Dual Lock, Anti-Climb, Accomodation, Generator, Other</t>
  </si>
  <si>
    <t>Secured Infrastructure</t>
  </si>
  <si>
    <t>INFRASTRUCTURE Lookup</t>
  </si>
  <si>
    <t>Select INFRASTRUCTURE Table Entry</t>
  </si>
  <si>
    <t>Comment</t>
  </si>
  <si>
    <t>Lock Type</t>
  </si>
  <si>
    <t>Locken, Locken Passive, Abloy, Other</t>
  </si>
  <si>
    <t>Lock Config</t>
  </si>
  <si>
    <t>create field &amp; Lock Config Table</t>
  </si>
  <si>
    <t>Euro Cylinder, Long Padlock, Short Padlock, Key Safe</t>
  </si>
  <si>
    <t>Locken Lock Name</t>
  </si>
  <si>
    <t>Locken Access Point Reference</t>
  </si>
  <si>
    <t>Other Reference</t>
  </si>
  <si>
    <t>A1 Short</t>
  </si>
  <si>
    <t>A1 Long</t>
  </si>
  <si>
    <t>B1 Short</t>
  </si>
  <si>
    <t>B1 Long</t>
  </si>
  <si>
    <t>Abloy Cylinders</t>
  </si>
  <si>
    <t>Differ Number</t>
  </si>
  <si>
    <t>Abloy Lubrication Date</t>
  </si>
  <si>
    <t>custrecord_twc_lock_site</t>
  </si>
  <si>
    <t>custrecord_twc_lock_id</t>
  </si>
  <si>
    <t>custrecord_twc_lock_loc_cat</t>
  </si>
  <si>
    <t>customrecord_twc_lock_loc_cat</t>
  </si>
  <si>
    <t>custrecord_twc_lock_structure</t>
  </si>
  <si>
    <t>customrecord_twc_str_</t>
  </si>
  <si>
    <t>custrecord_twc_lock_accom</t>
  </si>
  <si>
    <t>customrecord_twc_ac</t>
  </si>
  <si>
    <t>custrecord_twc_lock_generator</t>
  </si>
  <si>
    <t>customrecord_twc_gen</t>
  </si>
  <si>
    <t>custrecord_twc_lock_comment</t>
  </si>
  <si>
    <t>custrecord_twc_lock_type</t>
  </si>
  <si>
    <t>customrecord_twc_lock_type</t>
  </si>
  <si>
    <t>custrecord_twc_lock_access_point_ref</t>
  </si>
  <si>
    <t>Abloy Reference</t>
  </si>
  <si>
    <t>custrecord_twc_lock_abloy_ref</t>
  </si>
  <si>
    <t>custrecord_twc_lock_a1_short</t>
  </si>
  <si>
    <t>custrecord_twc_lock_a1_long</t>
  </si>
  <si>
    <t>custrecord_twc_lock_b1_short</t>
  </si>
  <si>
    <t>custrecord_twc_lock_b1_long</t>
  </si>
  <si>
    <t>custrecord_twc_lock_abloy_cylinders</t>
  </si>
  <si>
    <t>custrecord_twc_lock_differ_no</t>
  </si>
  <si>
    <t>custrecord_twc_lock_abloy_lub_date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</si>
</sst>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8" applyNumberFormat="0" applyAlignment="0" applyProtection="0">
      <alignment vertical="center"/>
    </xf>
    <xf numFmtId="0" fontId="11" fillId="11" borderId="9" applyNumberFormat="0" applyAlignment="0" applyProtection="0">
      <alignment vertical="center"/>
    </xf>
    <xf numFmtId="0" fontId="12" fillId="11" borderId="8" applyNumberFormat="0" applyAlignment="0" applyProtection="0">
      <alignment vertical="center"/>
    </xf>
    <xf numFmtId="0" fontId="13" fillId="12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vertical="center" wrapText="1"/>
    </xf>
    <xf numFmtId="0" fontId="0" fillId="8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8" tint="0.399975585192419"/>
  </sheetPr>
  <dimension ref="A1:K104"/>
  <sheetViews>
    <sheetView zoomScale="90" zoomScaleNormal="90" workbookViewId="0">
      <pane ySplit="1" topLeftCell="A2" activePane="bottomLeft" state="frozen"/>
      <selection/>
      <selection pane="bottomLeft" activeCell="D73" sqref="D73:D104"/>
    </sheetView>
  </sheetViews>
  <sheetFormatPr defaultColWidth="10.2857142857143" defaultRowHeight="15"/>
  <cols>
    <col min="1" max="1" width="53.0571428571429" style="39" customWidth="1"/>
    <col min="2" max="4" width="42.7142857142857" style="39" customWidth="1"/>
    <col min="5" max="5" width="14.6" style="39" customWidth="1"/>
    <col min="6" max="6" width="14.1238095238095" style="40" customWidth="1"/>
    <col min="7" max="7" width="13.0095238095238" style="41" customWidth="1"/>
    <col min="8" max="8" width="21.1047619047619" style="42" customWidth="1"/>
    <col min="9" max="9" width="34.7619047619048" style="42" customWidth="1"/>
    <col min="10" max="10" width="62.0380952380952" style="43" customWidth="1"/>
    <col min="11" max="11" width="66.1238095238095" style="43" customWidth="1"/>
    <col min="12" max="16384" width="10.447619047619" style="39"/>
  </cols>
  <sheetData>
    <row r="1" s="37" customFormat="1" ht="47.25" customHeight="1" spans="1:11">
      <c r="A1" s="44" t="s">
        <v>0</v>
      </c>
      <c r="B1" s="8" t="s">
        <v>1</v>
      </c>
      <c r="C1" s="8" t="s">
        <v>2</v>
      </c>
      <c r="D1" s="8" t="s">
        <v>3</v>
      </c>
      <c r="E1" s="8"/>
      <c r="F1" s="45" t="s">
        <v>4</v>
      </c>
      <c r="G1" s="46" t="s">
        <v>5</v>
      </c>
      <c r="H1" s="47" t="s">
        <v>6</v>
      </c>
      <c r="I1" s="47" t="s">
        <v>7</v>
      </c>
      <c r="J1" s="65" t="s">
        <v>8</v>
      </c>
      <c r="K1" s="65" t="s">
        <v>9</v>
      </c>
    </row>
    <row r="2" hidden="1" spans="1:11">
      <c r="A2" s="48" t="s">
        <v>10</v>
      </c>
      <c r="B2" s="48" t="str">
        <f>VLOOKUP(A2,'SITE Fields NS'!B:C,2,FALSE)</f>
        <v>custrecord_twc_site_radix_tbl_entry_no</v>
      </c>
      <c r="C2" s="48" t="str">
        <f>VLOOKUP(B2,'SITE Fields NS'!C:E,3,FALSE)</f>
        <v>Integer Number</v>
      </c>
      <c r="D2" s="48"/>
      <c r="E2" s="48"/>
      <c r="F2" s="49" t="s">
        <v>11</v>
      </c>
      <c r="G2" s="50" t="s">
        <v>12</v>
      </c>
      <c r="H2" s="51" t="s">
        <v>13</v>
      </c>
      <c r="I2" s="51" t="s">
        <v>14</v>
      </c>
      <c r="J2" s="66"/>
      <c r="K2" s="66"/>
    </row>
    <row r="3" hidden="1" spans="1:11">
      <c r="A3" s="48" t="s">
        <v>15</v>
      </c>
      <c r="B3" s="48" t="str">
        <f>VLOOKUP(A3,'SITE Fields NS'!B:C,2,FALSE)</f>
        <v>custrecord_twc_site_id</v>
      </c>
      <c r="C3" s="48" t="str">
        <f>VLOOKUP(B3,'SITE Fields NS'!C:E,3,FALSE)</f>
        <v>Free-Form Text</v>
      </c>
      <c r="D3" s="48"/>
      <c r="E3" s="48"/>
      <c r="F3" s="49" t="s">
        <v>16</v>
      </c>
      <c r="G3" s="50" t="s">
        <v>12</v>
      </c>
      <c r="H3" s="51" t="s">
        <v>13</v>
      </c>
      <c r="I3" s="51" t="s">
        <v>17</v>
      </c>
      <c r="J3" s="66" t="s">
        <v>18</v>
      </c>
      <c r="K3" s="66"/>
    </row>
    <row r="4" hidden="1" spans="1:11">
      <c r="A4" s="48" t="s">
        <v>19</v>
      </c>
      <c r="B4" s="48" t="str">
        <f>VLOOKUP(A4,'SITE Fields NS'!B:C,2,FALSE)</f>
        <v>custrecord_twc_site_name</v>
      </c>
      <c r="C4" s="48" t="str">
        <f>VLOOKUP(B4,'SITE Fields NS'!C:E,3,FALSE)</f>
        <v>Free-Form Text</v>
      </c>
      <c r="D4" s="48"/>
      <c r="E4" s="48"/>
      <c r="F4" s="49" t="s">
        <v>16</v>
      </c>
      <c r="G4" s="50" t="s">
        <v>12</v>
      </c>
      <c r="H4" s="51" t="s">
        <v>13</v>
      </c>
      <c r="I4" s="51" t="s">
        <v>20</v>
      </c>
      <c r="J4" s="66" t="s">
        <v>18</v>
      </c>
      <c r="K4" s="66" t="s">
        <v>18</v>
      </c>
    </row>
    <row r="5" hidden="1" spans="1:11">
      <c r="A5" s="48" t="s">
        <v>21</v>
      </c>
      <c r="B5" s="48" t="str">
        <f>VLOOKUP(A5,'SITE Fields NS'!B:C,2,FALSE)</f>
        <v>custrecord_twc_site_alias</v>
      </c>
      <c r="C5" s="48" t="str">
        <f>VLOOKUP(B5,'SITE Fields NS'!C:E,3,FALSE)</f>
        <v>Free-Form Text</v>
      </c>
      <c r="D5" s="48"/>
      <c r="E5" s="48"/>
      <c r="F5" s="49" t="s">
        <v>11</v>
      </c>
      <c r="G5" s="50" t="s">
        <v>12</v>
      </c>
      <c r="H5" s="51" t="s">
        <v>13</v>
      </c>
      <c r="I5" s="51" t="s">
        <v>20</v>
      </c>
      <c r="J5" s="66" t="s">
        <v>18</v>
      </c>
      <c r="K5" s="66" t="s">
        <v>18</v>
      </c>
    </row>
    <row r="6" hidden="1" spans="1:11">
      <c r="A6" s="48" t="s">
        <v>22</v>
      </c>
      <c r="B6" s="48" t="str">
        <f>VLOOKUP(A6,'SITE Fields NS'!B:C,2,FALSE)</f>
        <v>custrecord_twc_site_status</v>
      </c>
      <c r="C6" s="48" t="str">
        <f>VLOOKUP(B6,'SITE Fields NS'!C:E,3,FALSE)</f>
        <v>List/Record</v>
      </c>
      <c r="D6" s="48"/>
      <c r="E6" s="48"/>
      <c r="F6" s="49" t="s">
        <v>16</v>
      </c>
      <c r="G6" s="50" t="s">
        <v>12</v>
      </c>
      <c r="H6" s="51" t="s">
        <v>13</v>
      </c>
      <c r="I6" s="51" t="s">
        <v>23</v>
      </c>
      <c r="J6" s="66" t="s">
        <v>24</v>
      </c>
      <c r="K6" s="66" t="s">
        <v>18</v>
      </c>
    </row>
    <row r="7" hidden="1" spans="1:11">
      <c r="A7" s="48" t="s">
        <v>25</v>
      </c>
      <c r="B7" s="48" t="str">
        <f>VLOOKUP(A7,'SITE Fields NS'!B:C,2,FALSE)</f>
        <v>custrecord_twc_site_type</v>
      </c>
      <c r="C7" s="48" t="str">
        <f>VLOOKUP(B7,'SITE Fields NS'!C:E,3,FALSE)</f>
        <v>List/Record</v>
      </c>
      <c r="D7" s="48"/>
      <c r="E7" s="48"/>
      <c r="F7" s="49" t="s">
        <v>16</v>
      </c>
      <c r="G7" s="50" t="s">
        <v>12</v>
      </c>
      <c r="H7" s="51" t="s">
        <v>13</v>
      </c>
      <c r="I7" s="51" t="s">
        <v>23</v>
      </c>
      <c r="J7" s="66" t="s">
        <v>26</v>
      </c>
      <c r="K7" s="66" t="s">
        <v>18</v>
      </c>
    </row>
    <row r="8" hidden="1" spans="1:11">
      <c r="A8" s="48" t="s">
        <v>27</v>
      </c>
      <c r="B8" s="48" t="str">
        <f>VLOOKUP(A8,'SITE Fields NS'!B:C,2,FALSE)</f>
        <v>custrecord_twc_site_multi_mast_sites</v>
      </c>
      <c r="C8" s="48" t="str">
        <f>VLOOKUP(B8,'SITE Fields NS'!C:E,3,FALSE)</f>
        <v>Check Box</v>
      </c>
      <c r="D8" s="48"/>
      <c r="E8" s="48"/>
      <c r="F8" s="49" t="s">
        <v>16</v>
      </c>
      <c r="G8" s="50" t="s">
        <v>12</v>
      </c>
      <c r="H8" s="51" t="s">
        <v>13</v>
      </c>
      <c r="I8" s="51" t="s">
        <v>23</v>
      </c>
      <c r="J8" s="66" t="s">
        <v>28</v>
      </c>
      <c r="K8" s="66" t="s">
        <v>18</v>
      </c>
    </row>
    <row r="9" hidden="1" spans="1:11">
      <c r="A9" s="48" t="s">
        <v>29</v>
      </c>
      <c r="B9" s="48" t="str">
        <f>VLOOKUP(A9,'SITE Fields NS'!B:C,2,FALSE)</f>
        <v>custrecord_twc_site_old_id</v>
      </c>
      <c r="C9" s="48" t="str">
        <f>VLOOKUP(B9,'SITE Fields NS'!C:E,3,FALSE)</f>
        <v>Free-Form Text</v>
      </c>
      <c r="D9" s="48"/>
      <c r="E9" s="48"/>
      <c r="F9" s="49" t="s">
        <v>16</v>
      </c>
      <c r="G9" s="50" t="s">
        <v>12</v>
      </c>
      <c r="H9" s="51" t="s">
        <v>13</v>
      </c>
      <c r="I9" s="51" t="s">
        <v>20</v>
      </c>
      <c r="J9" s="66" t="s">
        <v>18</v>
      </c>
      <c r="K9" s="66" t="s">
        <v>18</v>
      </c>
    </row>
    <row r="10" ht="30" hidden="1" spans="1:11">
      <c r="A10" s="48" t="s">
        <v>30</v>
      </c>
      <c r="B10" s="48" t="e">
        <f>VLOOKUP(A10,'SITE Fields NS'!B:C,2,FALSE)</f>
        <v>#N/A</v>
      </c>
      <c r="C10" s="48" t="e">
        <f>VLOOKUP(B10,'SITE Fields NS'!C:E,3,FALSE)</f>
        <v>#N/A</v>
      </c>
      <c r="D10" s="11" t="s">
        <v>31</v>
      </c>
      <c r="E10" s="11"/>
      <c r="F10" s="49" t="s">
        <v>32</v>
      </c>
      <c r="G10" s="50" t="s">
        <v>12</v>
      </c>
      <c r="H10" s="51" t="s">
        <v>33</v>
      </c>
      <c r="I10" s="67" t="s">
        <v>34</v>
      </c>
      <c r="J10" s="66" t="s">
        <v>18</v>
      </c>
      <c r="K10" s="66" t="s">
        <v>35</v>
      </c>
    </row>
    <row r="11" ht="30" hidden="1" spans="1:11">
      <c r="A11" s="48" t="s">
        <v>36</v>
      </c>
      <c r="B11" s="48" t="e">
        <f>VLOOKUP(A11,'SITE Fields NS'!B:C,2,FALSE)</f>
        <v>#N/A</v>
      </c>
      <c r="C11" s="48" t="e">
        <f>VLOOKUP(B11,'SITE Fields NS'!C:E,3,FALSE)</f>
        <v>#N/A</v>
      </c>
      <c r="D11" s="11" t="s">
        <v>31</v>
      </c>
      <c r="E11" s="11"/>
      <c r="F11" s="49" t="s">
        <v>32</v>
      </c>
      <c r="G11" s="50" t="s">
        <v>12</v>
      </c>
      <c r="H11" s="51" t="s">
        <v>33</v>
      </c>
      <c r="I11" s="67" t="s">
        <v>34</v>
      </c>
      <c r="J11" s="66" t="s">
        <v>18</v>
      </c>
      <c r="K11" s="66" t="s">
        <v>37</v>
      </c>
    </row>
    <row r="12" ht="30" hidden="1" spans="1:11">
      <c r="A12" s="48" t="s">
        <v>38</v>
      </c>
      <c r="B12" s="48" t="e">
        <f>VLOOKUP(A12,'SITE Fields NS'!B:C,2,FALSE)</f>
        <v>#N/A</v>
      </c>
      <c r="C12" s="48" t="e">
        <f>VLOOKUP(B12,'SITE Fields NS'!C:E,3,FALSE)</f>
        <v>#N/A</v>
      </c>
      <c r="D12" s="11" t="s">
        <v>31</v>
      </c>
      <c r="E12" s="11"/>
      <c r="F12" s="49" t="s">
        <v>32</v>
      </c>
      <c r="G12" s="50" t="s">
        <v>12</v>
      </c>
      <c r="H12" s="51" t="s">
        <v>33</v>
      </c>
      <c r="I12" s="67" t="s">
        <v>34</v>
      </c>
      <c r="J12" s="66" t="s">
        <v>18</v>
      </c>
      <c r="K12" s="66" t="s">
        <v>39</v>
      </c>
    </row>
    <row r="13" hidden="1" spans="1:11">
      <c r="A13" s="48" t="s">
        <v>40</v>
      </c>
      <c r="B13" s="48" t="str">
        <f>VLOOKUP(A13,'SITE Fields NS'!B:C,2,FALSE)</f>
        <v>custrecord_twc_site_height_asl</v>
      </c>
      <c r="C13" s="48" t="str">
        <f>VLOOKUP(B13,'SITE Fields NS'!C:E,3,FALSE)</f>
        <v>Decimal Number</v>
      </c>
      <c r="D13" s="48"/>
      <c r="E13" s="48"/>
      <c r="F13" s="49" t="s">
        <v>41</v>
      </c>
      <c r="G13" s="50" t="s">
        <v>12</v>
      </c>
      <c r="H13" s="51" t="s">
        <v>13</v>
      </c>
      <c r="I13" s="51" t="s">
        <v>42</v>
      </c>
      <c r="J13" s="66" t="s">
        <v>18</v>
      </c>
      <c r="K13" s="66" t="s">
        <v>18</v>
      </c>
    </row>
    <row r="14" hidden="1" spans="1:11">
      <c r="A14" s="48" t="s">
        <v>43</v>
      </c>
      <c r="B14" s="48" t="str">
        <f>VLOOKUP(A14,'SITE Fields NS'!B:C,2,FALSE)</f>
        <v>custrecord_twc_site_level</v>
      </c>
      <c r="C14" s="48" t="str">
        <f>VLOOKUP(B14,'SITE Fields NS'!C:E,3,FALSE)</f>
        <v>List/Record</v>
      </c>
      <c r="D14" s="48"/>
      <c r="E14" s="48"/>
      <c r="F14" s="49" t="s">
        <v>11</v>
      </c>
      <c r="G14" s="50" t="s">
        <v>12</v>
      </c>
      <c r="H14" s="51" t="s">
        <v>13</v>
      </c>
      <c r="I14" s="51" t="s">
        <v>23</v>
      </c>
      <c r="J14" s="66" t="s">
        <v>44</v>
      </c>
      <c r="K14" s="66" t="s">
        <v>18</v>
      </c>
    </row>
    <row r="15" hidden="1" spans="1:11">
      <c r="A15" s="48" t="s">
        <v>45</v>
      </c>
      <c r="B15" s="48" t="str">
        <f>VLOOKUP(A15,'SITE Fields NS'!B:C,2,FALSE)</f>
        <v>custrecord_twc_site_portfolio</v>
      </c>
      <c r="C15" s="48" t="str">
        <f>VLOOKUP(B15,'SITE Fields NS'!C:E,3,FALSE)</f>
        <v>List/Record</v>
      </c>
      <c r="D15" s="48"/>
      <c r="E15" s="48"/>
      <c r="F15" s="49" t="s">
        <v>16</v>
      </c>
      <c r="G15" s="50" t="s">
        <v>12</v>
      </c>
      <c r="H15" s="51" t="s">
        <v>13</v>
      </c>
      <c r="I15" s="51" t="s">
        <v>23</v>
      </c>
      <c r="J15" s="66" t="s">
        <v>46</v>
      </c>
      <c r="K15" s="66" t="s">
        <v>47</v>
      </c>
    </row>
    <row r="16" s="38" customFormat="1" hidden="1" spans="1:11">
      <c r="A16" s="52" t="s">
        <v>48</v>
      </c>
      <c r="B16" s="52" t="str">
        <f>VLOOKUP(A16,'SITE Fields NS'!B:C,2,FALSE)</f>
        <v>custrecord_twc_site_srf_status</v>
      </c>
      <c r="C16" s="52" t="str">
        <f>VLOOKUP(B16,'SITE Fields NS'!C:E,3,FALSE)</f>
        <v>List/Record</v>
      </c>
      <c r="D16" s="52"/>
      <c r="E16" s="52" t="s">
        <v>49</v>
      </c>
      <c r="F16" s="53" t="s">
        <v>50</v>
      </c>
      <c r="G16" s="54" t="s">
        <v>51</v>
      </c>
      <c r="H16" s="54" t="s">
        <v>52</v>
      </c>
      <c r="I16" s="62" t="s">
        <v>23</v>
      </c>
      <c r="J16" s="68" t="s">
        <v>53</v>
      </c>
      <c r="K16" s="68" t="s">
        <v>18</v>
      </c>
    </row>
    <row r="17" s="38" customFormat="1" ht="30" hidden="1" spans="1:11">
      <c r="A17" s="52" t="s">
        <v>54</v>
      </c>
      <c r="B17" s="52" t="str">
        <f>VLOOKUP(A17,'SITE Fields NS'!B:C,2,FALSE)</f>
        <v>custrecord_twc_site_saf_status</v>
      </c>
      <c r="C17" s="52" t="str">
        <f>VLOOKUP(B17,'SITE Fields NS'!C:E,3,FALSE)</f>
        <v>List/Record</v>
      </c>
      <c r="D17" s="52"/>
      <c r="E17" s="52" t="s">
        <v>55</v>
      </c>
      <c r="F17" s="53" t="s">
        <v>50</v>
      </c>
      <c r="G17" s="54" t="s">
        <v>51</v>
      </c>
      <c r="H17" s="54" t="s">
        <v>52</v>
      </c>
      <c r="I17" s="62" t="s">
        <v>23</v>
      </c>
      <c r="J17" s="68" t="s">
        <v>56</v>
      </c>
      <c r="K17" s="68"/>
    </row>
    <row r="18" hidden="1" spans="1:11">
      <c r="A18" s="48" t="s">
        <v>57</v>
      </c>
      <c r="B18" s="48" t="str">
        <f>VLOOKUP(A18,'SITE Fields NS'!B:C,2,FALSE)</f>
        <v>custrecord_twc_site_public</v>
      </c>
      <c r="C18" s="48" t="str">
        <f>VLOOKUP(B18,'SITE Fields NS'!C:E,3,FALSE)</f>
        <v>List/Record</v>
      </c>
      <c r="D18" s="48"/>
      <c r="E18" s="48"/>
      <c r="F18" s="49" t="s">
        <v>16</v>
      </c>
      <c r="G18" s="50" t="s">
        <v>12</v>
      </c>
      <c r="H18" s="51" t="s">
        <v>13</v>
      </c>
      <c r="I18" s="51" t="s">
        <v>23</v>
      </c>
      <c r="J18" s="66" t="s">
        <v>58</v>
      </c>
      <c r="K18" s="66" t="s">
        <v>18</v>
      </c>
    </row>
    <row r="19" ht="30" hidden="1" spans="1:11">
      <c r="A19" s="48" t="s">
        <v>59</v>
      </c>
      <c r="B19" s="48" t="str">
        <f>VLOOKUP(A19,'SITE Fields NS'!B:C,2,FALSE)</f>
        <v>custrecord_twc_site_bts_status</v>
      </c>
      <c r="C19" s="48" t="str">
        <f>VLOOKUP(B19,'SITE Fields NS'!C:E,3,FALSE)</f>
        <v>List/Record</v>
      </c>
      <c r="D19" s="48"/>
      <c r="E19" s="48"/>
      <c r="F19" s="49" t="s">
        <v>16</v>
      </c>
      <c r="G19" s="50" t="s">
        <v>12</v>
      </c>
      <c r="H19" s="51" t="s">
        <v>13</v>
      </c>
      <c r="I19" s="51" t="s">
        <v>23</v>
      </c>
      <c r="J19" s="66" t="s">
        <v>60</v>
      </c>
      <c r="K19" s="66"/>
    </row>
    <row r="20" hidden="1" spans="1:11">
      <c r="A20" s="48" t="s">
        <v>61</v>
      </c>
      <c r="B20" s="48" t="str">
        <f>VLOOKUP(A20,'SITE Fields NS'!B:C,2,FALSE)</f>
        <v>custrecord_twc_site_address</v>
      </c>
      <c r="C20" s="48" t="str">
        <f>VLOOKUP(B20,'SITE Fields NS'!C:E,3,FALSE)</f>
        <v>Free-Form Text</v>
      </c>
      <c r="D20" s="48"/>
      <c r="E20" s="48"/>
      <c r="F20" s="49" t="s">
        <v>11</v>
      </c>
      <c r="G20" s="50" t="s">
        <v>12</v>
      </c>
      <c r="H20" s="51" t="s">
        <v>62</v>
      </c>
      <c r="I20" s="51" t="s">
        <v>20</v>
      </c>
      <c r="J20" s="66" t="s">
        <v>18</v>
      </c>
      <c r="K20" s="66" t="s">
        <v>63</v>
      </c>
    </row>
    <row r="21" hidden="1" spans="1:11">
      <c r="A21" s="48" t="s">
        <v>64</v>
      </c>
      <c r="B21" s="48" t="str">
        <f>VLOOKUP(A21,'SITE Fields NS'!B:C,2,FALSE)</f>
        <v>custrecord_twc_site_address_zip</v>
      </c>
      <c r="C21" s="48" t="str">
        <f>VLOOKUP(B21,'SITE Fields NS'!C:E,3,FALSE)</f>
        <v>Free-Form Text</v>
      </c>
      <c r="D21" s="48"/>
      <c r="E21" s="48"/>
      <c r="F21" s="49" t="s">
        <v>65</v>
      </c>
      <c r="G21" s="50" t="s">
        <v>12</v>
      </c>
      <c r="H21" s="51" t="s">
        <v>62</v>
      </c>
      <c r="I21" s="51" t="s">
        <v>20</v>
      </c>
      <c r="J21" s="66" t="s">
        <v>18</v>
      </c>
      <c r="K21" s="66" t="s">
        <v>66</v>
      </c>
    </row>
    <row r="22" hidden="1" spans="1:11">
      <c r="A22" s="26" t="s">
        <v>67</v>
      </c>
      <c r="B22" s="26" t="str">
        <f>VLOOKUP(A22,'SITE Fields NS'!B:C,2,FALSE)</f>
        <v>custrecord_twc_site_what3words</v>
      </c>
      <c r="C22" s="26" t="str">
        <f>VLOOKUP(B22,'SITE Fields NS'!C:E,3,FALSE)</f>
        <v>Free-Form Text</v>
      </c>
      <c r="D22" s="26"/>
      <c r="E22" s="26"/>
      <c r="F22" s="55" t="s">
        <v>65</v>
      </c>
      <c r="G22" s="56" t="s">
        <v>12</v>
      </c>
      <c r="H22" s="57" t="s">
        <v>62</v>
      </c>
      <c r="I22" s="57" t="s">
        <v>20</v>
      </c>
      <c r="J22" s="69" t="s">
        <v>18</v>
      </c>
      <c r="K22" s="69"/>
    </row>
    <row r="23" hidden="1" spans="1:11">
      <c r="A23" s="48" t="s">
        <v>68</v>
      </c>
      <c r="B23" s="48" t="str">
        <f>VLOOKUP(A23,'SITE Fields NS'!B:C,2,FALSE)</f>
        <v>custrecord_twc_site_address_county</v>
      </c>
      <c r="C23" s="48" t="str">
        <f>VLOOKUP(B23,'SITE Fields NS'!C:E,3,FALSE)</f>
        <v>List/Record</v>
      </c>
      <c r="D23" s="48"/>
      <c r="E23" s="48"/>
      <c r="F23" s="49" t="s">
        <v>11</v>
      </c>
      <c r="G23" s="50" t="s">
        <v>12</v>
      </c>
      <c r="H23" s="51" t="s">
        <v>62</v>
      </c>
      <c r="I23" s="51" t="s">
        <v>23</v>
      </c>
      <c r="J23" s="66" t="s">
        <v>18</v>
      </c>
      <c r="K23" s="66" t="s">
        <v>18</v>
      </c>
    </row>
    <row r="24" hidden="1" spans="1:11">
      <c r="A24" s="48" t="s">
        <v>69</v>
      </c>
      <c r="B24" s="48" t="str">
        <f>VLOOKUP(A24,'SITE Fields NS'!B:C,2,FALSE)</f>
        <v>custrecord_twc_site_easting</v>
      </c>
      <c r="C24" s="48" t="str">
        <f>VLOOKUP(B24,'SITE Fields NS'!C:E,3,FALSE)</f>
        <v>Decimal Number</v>
      </c>
      <c r="D24" s="48"/>
      <c r="E24" s="48"/>
      <c r="F24" s="49" t="s">
        <v>11</v>
      </c>
      <c r="G24" s="50" t="s">
        <v>12</v>
      </c>
      <c r="H24" s="51" t="s">
        <v>62</v>
      </c>
      <c r="I24" s="51" t="s">
        <v>70</v>
      </c>
      <c r="J24" s="66" t="s">
        <v>18</v>
      </c>
      <c r="K24" s="70" t="s">
        <v>71</v>
      </c>
    </row>
    <row r="25" hidden="1" spans="1:11">
      <c r="A25" s="48" t="s">
        <v>72</v>
      </c>
      <c r="B25" s="48" t="str">
        <f>VLOOKUP(A25,'SITE Fields NS'!B:C,2,FALSE)</f>
        <v>custrecord_twc_site_northing</v>
      </c>
      <c r="C25" s="48" t="str">
        <f>VLOOKUP(B25,'SITE Fields NS'!C:E,3,FALSE)</f>
        <v>Decimal Number</v>
      </c>
      <c r="D25" s="48"/>
      <c r="E25" s="48"/>
      <c r="F25" s="49" t="s">
        <v>11</v>
      </c>
      <c r="G25" s="50" t="s">
        <v>12</v>
      </c>
      <c r="H25" s="51" t="s">
        <v>62</v>
      </c>
      <c r="I25" s="51" t="s">
        <v>70</v>
      </c>
      <c r="J25" s="66" t="s">
        <v>18</v>
      </c>
      <c r="K25" s="70"/>
    </row>
    <row r="26" hidden="1" spans="1:11">
      <c r="A26" s="48" t="s">
        <v>73</v>
      </c>
      <c r="B26" s="48" t="str">
        <f>VLOOKUP(A26,'SITE Fields NS'!B:C,2,FALSE)</f>
        <v>custrecord_twc_site_longitude</v>
      </c>
      <c r="C26" s="48" t="str">
        <f>VLOOKUP(B26,'SITE Fields NS'!C:E,3,FALSE)</f>
        <v>Decimal Number</v>
      </c>
      <c r="D26" s="48"/>
      <c r="E26" s="48"/>
      <c r="F26" s="49" t="s">
        <v>11</v>
      </c>
      <c r="G26" s="50" t="s">
        <v>12</v>
      </c>
      <c r="H26" s="51" t="s">
        <v>62</v>
      </c>
      <c r="I26" s="51" t="s">
        <v>74</v>
      </c>
      <c r="J26" s="66" t="s">
        <v>18</v>
      </c>
      <c r="K26" s="70"/>
    </row>
    <row r="27" hidden="1" spans="1:11">
      <c r="A27" s="48" t="s">
        <v>75</v>
      </c>
      <c r="B27" s="48" t="str">
        <f>VLOOKUP(A27,'SITE Fields NS'!B:C,2,FALSE)</f>
        <v>custrecord_twc_site_latitude</v>
      </c>
      <c r="C27" s="48" t="str">
        <f>VLOOKUP(B27,'SITE Fields NS'!C:E,3,FALSE)</f>
        <v>Decimal Number</v>
      </c>
      <c r="D27" s="48"/>
      <c r="E27" s="48"/>
      <c r="F27" s="49" t="s">
        <v>11</v>
      </c>
      <c r="G27" s="50" t="s">
        <v>12</v>
      </c>
      <c r="H27" s="51" t="s">
        <v>62</v>
      </c>
      <c r="I27" s="51" t="s">
        <v>74</v>
      </c>
      <c r="J27" s="66" t="s">
        <v>18</v>
      </c>
      <c r="K27" s="70"/>
    </row>
    <row r="28" hidden="1" spans="1:11">
      <c r="A28" s="48" t="s">
        <v>76</v>
      </c>
      <c r="B28" s="48" t="str">
        <f>VLOOKUP(A28,'SITE Fields NS'!B:C,2,FALSE)</f>
        <v>custrecord_twc_site_saf_auto_approve</v>
      </c>
      <c r="C28" s="48" t="str">
        <f>VLOOKUP(B28,'SITE Fields NS'!C:E,3,FALSE)</f>
        <v>Check Box</v>
      </c>
      <c r="D28" s="48"/>
      <c r="E28" s="48"/>
      <c r="F28" s="49" t="s">
        <v>11</v>
      </c>
      <c r="G28" s="50" t="s">
        <v>12</v>
      </c>
      <c r="H28" s="51" t="s">
        <v>77</v>
      </c>
      <c r="I28" s="51" t="s">
        <v>23</v>
      </c>
      <c r="J28" s="66" t="s">
        <v>78</v>
      </c>
      <c r="K28" s="66" t="s">
        <v>18</v>
      </c>
    </row>
    <row r="29" hidden="1" spans="1:11">
      <c r="A29" s="48" t="s">
        <v>79</v>
      </c>
      <c r="B29" s="48" t="str">
        <f>VLOOKUP(A29,'SITE Fields NS'!B:C,2,FALSE)</f>
        <v>custrecord_twc_site_track_type</v>
      </c>
      <c r="C29" s="48" t="str">
        <f>VLOOKUP(B29,'SITE Fields NS'!C:E,3,FALSE)</f>
        <v>List/Record</v>
      </c>
      <c r="D29" s="48"/>
      <c r="E29" s="48"/>
      <c r="F29" s="49" t="s">
        <v>11</v>
      </c>
      <c r="G29" s="51" t="s">
        <v>77</v>
      </c>
      <c r="H29" s="51" t="s">
        <v>77</v>
      </c>
      <c r="I29" s="51" t="s">
        <v>23</v>
      </c>
      <c r="J29" s="66" t="s">
        <v>80</v>
      </c>
      <c r="K29" s="66" t="s">
        <v>18</v>
      </c>
    </row>
    <row r="30" hidden="1" customHeight="1" spans="1:11">
      <c r="A30" s="48" t="s">
        <v>81</v>
      </c>
      <c r="B30" s="48" t="str">
        <f>VLOOKUP(A30,'SITE Fields NS'!B:C,2,FALSE)</f>
        <v>custrecord_twc_site_easting_access</v>
      </c>
      <c r="C30" s="48" t="str">
        <f>VLOOKUP(B30,'SITE Fields NS'!C:E,3,FALSE)</f>
        <v>Decimal Number</v>
      </c>
      <c r="D30" s="48"/>
      <c r="E30" s="48"/>
      <c r="F30" s="49" t="s">
        <v>11</v>
      </c>
      <c r="G30" s="51" t="s">
        <v>77</v>
      </c>
      <c r="H30" s="51" t="s">
        <v>77</v>
      </c>
      <c r="I30" s="51" t="s">
        <v>70</v>
      </c>
      <c r="J30" s="66" t="s">
        <v>18</v>
      </c>
      <c r="K30" s="66" t="s">
        <v>18</v>
      </c>
    </row>
    <row r="31" hidden="1" spans="1:11">
      <c r="A31" s="48" t="s">
        <v>82</v>
      </c>
      <c r="B31" s="48" t="str">
        <f>VLOOKUP(A31,'SITE Fields NS'!B:C,2,FALSE)</f>
        <v>custrecord_twc_site_northing_access</v>
      </c>
      <c r="C31" s="48" t="str">
        <f>VLOOKUP(B31,'SITE Fields NS'!C:E,3,FALSE)</f>
        <v>Decimal Number</v>
      </c>
      <c r="D31" s="48"/>
      <c r="E31" s="48"/>
      <c r="F31" s="49" t="s">
        <v>11</v>
      </c>
      <c r="G31" s="51" t="s">
        <v>77</v>
      </c>
      <c r="H31" s="51" t="s">
        <v>77</v>
      </c>
      <c r="I31" s="51" t="s">
        <v>70</v>
      </c>
      <c r="J31" s="66" t="s">
        <v>18</v>
      </c>
      <c r="K31" s="66" t="s">
        <v>18</v>
      </c>
    </row>
    <row r="32" hidden="1" spans="1:11">
      <c r="A32" s="48" t="s">
        <v>83</v>
      </c>
      <c r="B32" s="48" t="str">
        <f>VLOOKUP(A32,'SITE Fields NS'!B:C,2,FALSE)</f>
        <v>custrecord_twc_site_longitude_access</v>
      </c>
      <c r="C32" s="48" t="str">
        <f>VLOOKUP(B32,'SITE Fields NS'!C:E,3,FALSE)</f>
        <v>Decimal Number</v>
      </c>
      <c r="D32" s="48"/>
      <c r="E32" s="48"/>
      <c r="F32" s="49" t="s">
        <v>11</v>
      </c>
      <c r="G32" s="51" t="s">
        <v>77</v>
      </c>
      <c r="H32" s="51" t="s">
        <v>77</v>
      </c>
      <c r="I32" s="51" t="s">
        <v>74</v>
      </c>
      <c r="J32" s="66" t="s">
        <v>18</v>
      </c>
      <c r="K32" s="66" t="s">
        <v>18</v>
      </c>
    </row>
    <row r="33" hidden="1" spans="1:11">
      <c r="A33" s="48" t="s">
        <v>84</v>
      </c>
      <c r="B33" s="48" t="str">
        <f>VLOOKUP(A33,'SITE Fields NS'!B:C,2,FALSE)</f>
        <v>custrecord_twc_site_latitude_access</v>
      </c>
      <c r="C33" s="48" t="str">
        <f>VLOOKUP(B33,'SITE Fields NS'!C:E,3,FALSE)</f>
        <v>Decimal Number</v>
      </c>
      <c r="D33" s="48"/>
      <c r="E33" s="48"/>
      <c r="F33" s="49" t="s">
        <v>11</v>
      </c>
      <c r="G33" s="51" t="s">
        <v>77</v>
      </c>
      <c r="H33" s="51" t="s">
        <v>77</v>
      </c>
      <c r="I33" s="51" t="s">
        <v>74</v>
      </c>
      <c r="J33" s="66" t="s">
        <v>18</v>
      </c>
      <c r="K33" s="66" t="s">
        <v>18</v>
      </c>
    </row>
    <row r="34" hidden="1" spans="1:11">
      <c r="A34" s="26" t="s">
        <v>85</v>
      </c>
      <c r="B34" s="26" t="str">
        <f>VLOOKUP(A34,'SITE Fields NS'!B:C,2,FALSE)</f>
        <v>custrecord_twc_site_acc_wt3words</v>
      </c>
      <c r="C34" s="26" t="str">
        <f>VLOOKUP(B34,'SITE Fields NS'!C:E,3,FALSE)</f>
        <v>Free-Form Text</v>
      </c>
      <c r="D34" s="26"/>
      <c r="E34" s="26"/>
      <c r="F34" s="55" t="s">
        <v>65</v>
      </c>
      <c r="G34" s="57" t="s">
        <v>77</v>
      </c>
      <c r="H34" s="57" t="s">
        <v>77</v>
      </c>
      <c r="I34" s="57" t="s">
        <v>20</v>
      </c>
      <c r="J34" s="69" t="s">
        <v>18</v>
      </c>
      <c r="K34" s="69"/>
    </row>
    <row r="35" hidden="1" spans="1:11">
      <c r="A35" s="48" t="s">
        <v>86</v>
      </c>
      <c r="B35" s="48" t="str">
        <f>VLOOKUP(A35,'SITE Fields NS'!B:C,2,FALSE)</f>
        <v>custrecord_twc_site_directions</v>
      </c>
      <c r="C35" s="48" t="str">
        <f>VLOOKUP(B35,'SITE Fields NS'!C:E,3,FALSE)</f>
        <v>Long Text</v>
      </c>
      <c r="D35" s="48"/>
      <c r="E35" s="48"/>
      <c r="F35" s="49" t="s">
        <v>11</v>
      </c>
      <c r="G35" s="51" t="s">
        <v>77</v>
      </c>
      <c r="H35" s="51" t="s">
        <v>77</v>
      </c>
      <c r="I35" s="51" t="s">
        <v>87</v>
      </c>
      <c r="J35" s="66" t="s">
        <v>18</v>
      </c>
      <c r="K35" s="66" t="s">
        <v>18</v>
      </c>
    </row>
    <row r="36" hidden="1" spans="1:11">
      <c r="A36" s="48" t="s">
        <v>88</v>
      </c>
      <c r="B36" s="48" t="str">
        <f>VLOOKUP(A36,'SITE Fields NS'!B:C,2,FALSE)</f>
        <v>custrecord_twc_site_instructions</v>
      </c>
      <c r="C36" s="48" t="str">
        <f>VLOOKUP(B36,'SITE Fields NS'!C:E,3,FALSE)</f>
        <v>Long Text</v>
      </c>
      <c r="D36" s="48"/>
      <c r="E36" s="48"/>
      <c r="F36" s="49" t="s">
        <v>11</v>
      </c>
      <c r="G36" s="51" t="s">
        <v>77</v>
      </c>
      <c r="H36" s="51" t="s">
        <v>77</v>
      </c>
      <c r="I36" s="51" t="s">
        <v>87</v>
      </c>
      <c r="J36" s="66" t="s">
        <v>18</v>
      </c>
      <c r="K36" s="66" t="s">
        <v>18</v>
      </c>
    </row>
    <row r="37" hidden="1" spans="1:11">
      <c r="A37" s="48" t="s">
        <v>89</v>
      </c>
      <c r="B37" s="48" t="str">
        <f>VLOOKUP(A37,'SITE Fields NS'!B:C,2,FALSE)</f>
        <v>custrecord_twc_site_tenant_card_req</v>
      </c>
      <c r="C37" s="48" t="str">
        <f>VLOOKUP(B37,'SITE Fields NS'!C:E,3,FALSE)</f>
        <v>Check Box</v>
      </c>
      <c r="D37" s="48"/>
      <c r="E37" s="48"/>
      <c r="F37" s="49" t="s">
        <v>11</v>
      </c>
      <c r="G37" s="51" t="s">
        <v>77</v>
      </c>
      <c r="H37" s="51" t="s">
        <v>77</v>
      </c>
      <c r="I37" s="51" t="s">
        <v>23</v>
      </c>
      <c r="J37" s="66" t="s">
        <v>78</v>
      </c>
      <c r="K37" s="66" t="s">
        <v>18</v>
      </c>
    </row>
    <row r="38" hidden="1" spans="1:11">
      <c r="A38" s="48" t="s">
        <v>90</v>
      </c>
      <c r="B38" s="48" t="str">
        <f>VLOOKUP(A38,'SITE Fields NS'!B:C,2,FALSE)</f>
        <v>custrecord_twc_site_4x4_req</v>
      </c>
      <c r="C38" s="48" t="str">
        <f>VLOOKUP(B38,'SITE Fields NS'!C:E,3,FALSE)</f>
        <v>Check Box</v>
      </c>
      <c r="D38" s="48"/>
      <c r="E38" s="48"/>
      <c r="F38" s="49" t="s">
        <v>11</v>
      </c>
      <c r="G38" s="51" t="s">
        <v>77</v>
      </c>
      <c r="H38" s="51" t="s">
        <v>77</v>
      </c>
      <c r="I38" s="51" t="s">
        <v>23</v>
      </c>
      <c r="J38" s="66" t="s">
        <v>78</v>
      </c>
      <c r="K38" s="66" t="s">
        <v>18</v>
      </c>
    </row>
    <row r="39" hidden="1" spans="1:11">
      <c r="A39" s="48" t="s">
        <v>91</v>
      </c>
      <c r="B39" s="48" t="str">
        <f>VLOOKUP(A39,'SITE Fields NS'!B:C,2,FALSE)</f>
        <v>custrecord_twc_site_parking_restr</v>
      </c>
      <c r="C39" s="48" t="str">
        <f>VLOOKUP(B39,'SITE Fields NS'!C:E,3,FALSE)</f>
        <v>Free-Form Text</v>
      </c>
      <c r="D39" s="48"/>
      <c r="E39" s="48"/>
      <c r="F39" s="49" t="s">
        <v>11</v>
      </c>
      <c r="G39" s="51" t="s">
        <v>77</v>
      </c>
      <c r="H39" s="51" t="s">
        <v>77</v>
      </c>
      <c r="I39" s="51" t="s">
        <v>20</v>
      </c>
      <c r="J39" s="66" t="s">
        <v>18</v>
      </c>
      <c r="K39" s="66" t="s">
        <v>18</v>
      </c>
    </row>
    <row r="40" hidden="1" spans="1:11">
      <c r="A40" s="48" t="s">
        <v>92</v>
      </c>
      <c r="B40" s="48" t="str">
        <f>VLOOKUP(A40,'SITE Fields NS'!B:C,2,FALSE)</f>
        <v>custrecord_twc_site_crane_mewp_access</v>
      </c>
      <c r="C40" s="48" t="str">
        <f>VLOOKUP(B40,'SITE Fields NS'!C:E,3,FALSE)</f>
        <v>Check Box</v>
      </c>
      <c r="D40" s="48"/>
      <c r="E40" s="48"/>
      <c r="F40" s="49" t="s">
        <v>11</v>
      </c>
      <c r="G40" s="51" t="s">
        <v>77</v>
      </c>
      <c r="H40" s="51" t="s">
        <v>77</v>
      </c>
      <c r="I40" s="51" t="s">
        <v>23</v>
      </c>
      <c r="J40" s="66" t="s">
        <v>78</v>
      </c>
      <c r="K40" s="66" t="s">
        <v>18</v>
      </c>
    </row>
    <row r="41" hidden="1" spans="1:11">
      <c r="A41" s="58" t="s">
        <v>93</v>
      </c>
      <c r="B41" s="58" t="e">
        <f>VLOOKUP(A41,'SITE Fields NS'!B:C,2,FALSE)</f>
        <v>#N/A</v>
      </c>
      <c r="C41" s="58" t="e">
        <f>VLOOKUP(B41,'SITE Fields NS'!C:E,3,FALSE)</f>
        <v>#N/A</v>
      </c>
      <c r="D41" s="58" t="s">
        <v>94</v>
      </c>
      <c r="E41" s="58"/>
      <c r="F41" s="59" t="s">
        <v>11</v>
      </c>
      <c r="G41" s="60" t="s">
        <v>77</v>
      </c>
      <c r="H41" s="60" t="s">
        <v>77</v>
      </c>
      <c r="I41" s="60" t="s">
        <v>23</v>
      </c>
      <c r="J41" s="71" t="s">
        <v>78</v>
      </c>
      <c r="K41" s="71" t="s">
        <v>94</v>
      </c>
    </row>
    <row r="42" hidden="1" spans="1:11">
      <c r="A42" s="48" t="s">
        <v>95</v>
      </c>
      <c r="B42" s="48" t="e">
        <f>VLOOKUP(A42,'SITE Fields NS'!B:C,2,FALSE)</f>
        <v>#N/A</v>
      </c>
      <c r="C42" s="48" t="e">
        <f>VLOOKUP(B42,'SITE Fields NS'!C:E,3,FALSE)</f>
        <v>#N/A</v>
      </c>
      <c r="D42" s="26" t="s">
        <v>31</v>
      </c>
      <c r="E42" s="26"/>
      <c r="F42" s="49" t="s">
        <v>96</v>
      </c>
      <c r="G42" s="51" t="s">
        <v>77</v>
      </c>
      <c r="H42" s="51" t="s">
        <v>77</v>
      </c>
      <c r="I42" s="67" t="s">
        <v>97</v>
      </c>
      <c r="J42" s="66" t="s">
        <v>18</v>
      </c>
      <c r="K42" s="66" t="s">
        <v>98</v>
      </c>
    </row>
    <row r="43" hidden="1" spans="1:11">
      <c r="A43" s="48" t="s">
        <v>99</v>
      </c>
      <c r="B43" s="48" t="str">
        <f>VLOOKUP(A43,'SITE Fields NS'!B:C,2,FALSE)</f>
        <v>custrecord_twc_site_safety_spl_notes</v>
      </c>
      <c r="C43" s="48" t="str">
        <f>VLOOKUP(B43,'SITE Fields NS'!C:E,3,FALSE)</f>
        <v>Long Text</v>
      </c>
      <c r="D43" s="48"/>
      <c r="E43" s="48"/>
      <c r="F43" s="49" t="s">
        <v>11</v>
      </c>
      <c r="G43" s="51" t="s">
        <v>77</v>
      </c>
      <c r="H43" s="51" t="s">
        <v>77</v>
      </c>
      <c r="I43" s="51" t="s">
        <v>87</v>
      </c>
      <c r="J43" s="66" t="s">
        <v>18</v>
      </c>
      <c r="K43" s="66" t="s">
        <v>18</v>
      </c>
    </row>
    <row r="44" hidden="1" spans="1:11">
      <c r="A44" s="26" t="s">
        <v>100</v>
      </c>
      <c r="B44" s="26" t="e">
        <f>VLOOKUP(A44,'SITE Fields NS'!B:C,2,FALSE)</f>
        <v>#N/A</v>
      </c>
      <c r="C44" s="26" t="e">
        <f>VLOOKUP(B44,'SITE Fields NS'!C:E,3,FALSE)</f>
        <v>#N/A</v>
      </c>
      <c r="D44" s="26" t="s">
        <v>31</v>
      </c>
      <c r="E44" s="26"/>
      <c r="F44" s="55"/>
      <c r="G44" s="57" t="s">
        <v>101</v>
      </c>
      <c r="H44" s="57" t="s">
        <v>102</v>
      </c>
      <c r="I44" s="67" t="s">
        <v>103</v>
      </c>
      <c r="J44" s="69"/>
      <c r="K44" s="69"/>
    </row>
    <row r="45" hidden="1" spans="1:11">
      <c r="A45" s="26" t="s">
        <v>104</v>
      </c>
      <c r="B45" s="26" t="e">
        <f>VLOOKUP(A45,'SITE Fields NS'!B:C,2,FALSE)</f>
        <v>#N/A</v>
      </c>
      <c r="C45" s="26" t="e">
        <f>VLOOKUP(B45,'SITE Fields NS'!C:E,3,FALSE)</f>
        <v>#N/A</v>
      </c>
      <c r="D45" s="26" t="s">
        <v>31</v>
      </c>
      <c r="E45" s="26"/>
      <c r="F45" s="55"/>
      <c r="G45" s="57" t="s">
        <v>101</v>
      </c>
      <c r="H45" s="57" t="s">
        <v>102</v>
      </c>
      <c r="I45" s="67" t="s">
        <v>105</v>
      </c>
      <c r="J45" s="69"/>
      <c r="K45" s="69"/>
    </row>
    <row r="46" hidden="1" spans="1:11">
      <c r="A46" s="58" t="s">
        <v>106</v>
      </c>
      <c r="B46" s="58" t="e">
        <f>VLOOKUP(A46,'SITE Fields NS'!B:C,2,FALSE)</f>
        <v>#N/A</v>
      </c>
      <c r="C46" s="58" t="e">
        <f>VLOOKUP(B46,'SITE Fields NS'!C:E,3,FALSE)</f>
        <v>#N/A</v>
      </c>
      <c r="D46" s="58" t="s">
        <v>94</v>
      </c>
      <c r="E46" s="58"/>
      <c r="F46" s="59" t="s">
        <v>16</v>
      </c>
      <c r="G46" s="61" t="s">
        <v>101</v>
      </c>
      <c r="H46" s="60" t="s">
        <v>102</v>
      </c>
      <c r="I46" s="60" t="s">
        <v>107</v>
      </c>
      <c r="J46" s="71" t="s">
        <v>18</v>
      </c>
      <c r="K46" s="71" t="s">
        <v>94</v>
      </c>
    </row>
    <row r="47" hidden="1" spans="1:11">
      <c r="A47" s="58" t="s">
        <v>108</v>
      </c>
      <c r="B47" s="58" t="e">
        <f>VLOOKUP(A47,'SITE Fields NS'!B:C,2,FALSE)</f>
        <v>#N/A</v>
      </c>
      <c r="C47" s="58" t="e">
        <f>VLOOKUP(B47,'SITE Fields NS'!C:E,3,FALSE)</f>
        <v>#N/A</v>
      </c>
      <c r="D47" s="58" t="s">
        <v>94</v>
      </c>
      <c r="E47" s="58"/>
      <c r="F47" s="59" t="s">
        <v>16</v>
      </c>
      <c r="G47" s="61" t="s">
        <v>101</v>
      </c>
      <c r="H47" s="60" t="s">
        <v>102</v>
      </c>
      <c r="I47" s="60" t="s">
        <v>107</v>
      </c>
      <c r="J47" s="71" t="s">
        <v>18</v>
      </c>
      <c r="K47" s="71" t="s">
        <v>94</v>
      </c>
    </row>
    <row r="48" hidden="1" spans="1:11">
      <c r="A48" s="58" t="s">
        <v>109</v>
      </c>
      <c r="B48" s="58" t="e">
        <f>VLOOKUP(A48,'SITE Fields NS'!B:C,2,FALSE)</f>
        <v>#N/A</v>
      </c>
      <c r="C48" s="58" t="e">
        <f>VLOOKUP(B48,'SITE Fields NS'!C:E,3,FALSE)</f>
        <v>#N/A</v>
      </c>
      <c r="D48" s="58" t="s">
        <v>94</v>
      </c>
      <c r="E48" s="58"/>
      <c r="F48" s="59" t="s">
        <v>32</v>
      </c>
      <c r="G48" s="61" t="s">
        <v>101</v>
      </c>
      <c r="H48" s="60" t="s">
        <v>102</v>
      </c>
      <c r="I48" s="60" t="s">
        <v>107</v>
      </c>
      <c r="J48" s="71" t="s">
        <v>18</v>
      </c>
      <c r="K48" s="71" t="s">
        <v>94</v>
      </c>
    </row>
    <row r="49" hidden="1" spans="1:11">
      <c r="A49" s="58" t="s">
        <v>110</v>
      </c>
      <c r="B49" s="58" t="e">
        <f>VLOOKUP(A49,'SITE Fields NS'!B:C,2,FALSE)</f>
        <v>#N/A</v>
      </c>
      <c r="C49" s="58" t="e">
        <f>VLOOKUP(B49,'SITE Fields NS'!C:E,3,FALSE)</f>
        <v>#N/A</v>
      </c>
      <c r="D49" s="58" t="s">
        <v>94</v>
      </c>
      <c r="E49" s="58"/>
      <c r="F49" s="59" t="s">
        <v>16</v>
      </c>
      <c r="G49" s="61" t="s">
        <v>101</v>
      </c>
      <c r="H49" s="60" t="s">
        <v>111</v>
      </c>
      <c r="I49" s="60" t="s">
        <v>112</v>
      </c>
      <c r="J49" s="71" t="s">
        <v>18</v>
      </c>
      <c r="K49" s="71" t="s">
        <v>94</v>
      </c>
    </row>
    <row r="50" hidden="1" spans="1:11">
      <c r="A50" s="58" t="s">
        <v>113</v>
      </c>
      <c r="B50" s="58" t="e">
        <f>VLOOKUP(A50,'SITE Fields NS'!B:C,2,FALSE)</f>
        <v>#N/A</v>
      </c>
      <c r="C50" s="58" t="e">
        <f>VLOOKUP(B50,'SITE Fields NS'!C:E,3,FALSE)</f>
        <v>#N/A</v>
      </c>
      <c r="D50" s="58" t="s">
        <v>94</v>
      </c>
      <c r="E50" s="58"/>
      <c r="F50" s="59" t="s">
        <v>16</v>
      </c>
      <c r="G50" s="61" t="s">
        <v>101</v>
      </c>
      <c r="H50" s="60" t="s">
        <v>111</v>
      </c>
      <c r="I50" s="60" t="s">
        <v>112</v>
      </c>
      <c r="J50" s="71" t="s">
        <v>18</v>
      </c>
      <c r="K50" s="71" t="s">
        <v>94</v>
      </c>
    </row>
    <row r="51" hidden="1" spans="1:11">
      <c r="A51" s="58" t="s">
        <v>114</v>
      </c>
      <c r="B51" s="58" t="e">
        <f>VLOOKUP(A51,'SITE Fields NS'!B:C,2,FALSE)</f>
        <v>#N/A</v>
      </c>
      <c r="C51" s="58" t="e">
        <f>VLOOKUP(B51,'SITE Fields NS'!C:E,3,FALSE)</f>
        <v>#N/A</v>
      </c>
      <c r="D51" s="58" t="s">
        <v>94</v>
      </c>
      <c r="E51" s="58"/>
      <c r="F51" s="59" t="s">
        <v>32</v>
      </c>
      <c r="G51" s="61" t="s">
        <v>101</v>
      </c>
      <c r="H51" s="60" t="s">
        <v>111</v>
      </c>
      <c r="I51" s="60" t="s">
        <v>112</v>
      </c>
      <c r="J51" s="71" t="s">
        <v>18</v>
      </c>
      <c r="K51" s="71" t="s">
        <v>94</v>
      </c>
    </row>
    <row r="52" hidden="1" spans="1:11">
      <c r="A52" s="48" t="s">
        <v>115</v>
      </c>
      <c r="B52" s="48" t="str">
        <f>VLOOKUP(A52,'SITE Fields NS'!B:C,2,FALSE)</f>
        <v>custrecord_twc_site_full_dmed_area_fncd</v>
      </c>
      <c r="C52" s="48" t="str">
        <f>VLOOKUP(B52,'SITE Fields NS'!C:E,3,FALSE)</f>
        <v>Check Box</v>
      </c>
      <c r="D52" s="48"/>
      <c r="E52" s="48"/>
      <c r="F52" s="49" t="s">
        <v>11</v>
      </c>
      <c r="G52" s="50" t="s">
        <v>101</v>
      </c>
      <c r="H52" s="51" t="s">
        <v>116</v>
      </c>
      <c r="I52" s="51" t="s">
        <v>23</v>
      </c>
      <c r="J52" s="66" t="s">
        <v>78</v>
      </c>
      <c r="K52" s="66" t="s">
        <v>18</v>
      </c>
    </row>
    <row r="53" hidden="1" spans="1:11">
      <c r="A53" s="48" t="s">
        <v>117</v>
      </c>
      <c r="B53" s="48" t="str">
        <f>VLOOKUP(A53,'SITE Fields NS'!B:C,2,FALSE)</f>
        <v>custrecord_twc_site_adj_grnd_space</v>
      </c>
      <c r="C53" s="48" t="str">
        <f>VLOOKUP(B53,'SITE Fields NS'!C:E,3,FALSE)</f>
        <v>Check Box</v>
      </c>
      <c r="D53" s="48"/>
      <c r="E53" s="48"/>
      <c r="F53" s="49" t="s">
        <v>11</v>
      </c>
      <c r="G53" s="50" t="s">
        <v>101</v>
      </c>
      <c r="H53" s="51" t="s">
        <v>116</v>
      </c>
      <c r="I53" s="51" t="s">
        <v>23</v>
      </c>
      <c r="J53" s="66" t="s">
        <v>78</v>
      </c>
      <c r="K53" s="66" t="s">
        <v>18</v>
      </c>
    </row>
    <row r="54" hidden="1" spans="1:11">
      <c r="A54" s="48" t="s">
        <v>118</v>
      </c>
      <c r="B54" s="48" t="str">
        <f>VLOOKUP(A54,'SITE Fields NS'!B:C,2,FALSE)</f>
        <v>custrecord_twc_site_adj_grnd_owner</v>
      </c>
      <c r="C54" s="48" t="str">
        <f>VLOOKUP(B54,'SITE Fields NS'!C:E,3,FALSE)</f>
        <v>Free-Form Text</v>
      </c>
      <c r="D54" s="48"/>
      <c r="E54" s="48"/>
      <c r="F54" s="49" t="s">
        <v>11</v>
      </c>
      <c r="G54" s="50" t="s">
        <v>101</v>
      </c>
      <c r="H54" s="51" t="s">
        <v>116</v>
      </c>
      <c r="I54" s="51" t="s">
        <v>20</v>
      </c>
      <c r="J54" s="66" t="s">
        <v>18</v>
      </c>
      <c r="K54" s="66" t="s">
        <v>18</v>
      </c>
    </row>
    <row r="55" ht="60" hidden="1" spans="1:11">
      <c r="A55" s="48" t="s">
        <v>119</v>
      </c>
      <c r="B55" s="48" t="str">
        <f>VLOOKUP(A55,'SITE Fields NS'!B:C,2,FALSE)</f>
        <v>custrecord_twc_site_perimeter_type</v>
      </c>
      <c r="C55" s="48" t="str">
        <f>VLOOKUP(B55,'SITE Fields NS'!C:E,3,FALSE)</f>
        <v>List/Record</v>
      </c>
      <c r="D55" s="48"/>
      <c r="E55" s="48"/>
      <c r="F55" s="49" t="s">
        <v>11</v>
      </c>
      <c r="G55" s="50" t="s">
        <v>101</v>
      </c>
      <c r="H55" s="51" t="s">
        <v>116</v>
      </c>
      <c r="I55" s="51" t="s">
        <v>23</v>
      </c>
      <c r="J55" s="66" t="s">
        <v>120</v>
      </c>
      <c r="K55" s="66" t="s">
        <v>47</v>
      </c>
    </row>
    <row r="56" hidden="1" spans="1:11">
      <c r="A56" s="48" t="s">
        <v>121</v>
      </c>
      <c r="B56" s="48" t="str">
        <f>VLOOKUP(A56,'SITE Fields NS'!B:C,2,FALSE)</f>
        <v>custrecord_twc_site_fence_height_m</v>
      </c>
      <c r="C56" s="48" t="str">
        <f>VLOOKUP(B56,'SITE Fields NS'!C:E,3,FALSE)</f>
        <v>Integer Number</v>
      </c>
      <c r="D56" s="48"/>
      <c r="E56" s="48"/>
      <c r="F56" s="49" t="s">
        <v>11</v>
      </c>
      <c r="G56" s="50" t="s">
        <v>101</v>
      </c>
      <c r="H56" s="51" t="s">
        <v>116</v>
      </c>
      <c r="I56" s="51" t="s">
        <v>14</v>
      </c>
      <c r="J56" s="66" t="s">
        <v>18</v>
      </c>
      <c r="K56" s="66" t="s">
        <v>18</v>
      </c>
    </row>
    <row r="57" s="38" customFormat="1" hidden="1" spans="1:11">
      <c r="A57" s="52" t="s">
        <v>122</v>
      </c>
      <c r="B57" s="52" t="str">
        <f>VLOOKUP(A57,'SITE Fields NS'!B:C,2,FALSE)</f>
        <v>custrecord_twc_site_indep_pwr_supp</v>
      </c>
      <c r="C57" s="52" t="str">
        <f>VLOOKUP(B57,'SITE Fields NS'!C:E,3,FALSE)</f>
        <v>Integer Number</v>
      </c>
      <c r="D57" s="52"/>
      <c r="E57" s="52" t="s">
        <v>123</v>
      </c>
      <c r="F57" s="53" t="s">
        <v>32</v>
      </c>
      <c r="G57" s="54" t="s">
        <v>124</v>
      </c>
      <c r="H57" s="62" t="s">
        <v>124</v>
      </c>
      <c r="I57" s="62" t="s">
        <v>125</v>
      </c>
      <c r="J57" s="68" t="s">
        <v>18</v>
      </c>
      <c r="K57" s="68" t="s">
        <v>126</v>
      </c>
    </row>
    <row r="58" hidden="1" spans="1:11">
      <c r="A58" s="58" t="s">
        <v>127</v>
      </c>
      <c r="B58" s="58" t="e">
        <f>VLOOKUP(A58,'SITE Fields NS'!B:C,2,FALSE)</f>
        <v>#N/A</v>
      </c>
      <c r="C58" s="58" t="e">
        <f>VLOOKUP(B58,'SITE Fields NS'!C:E,3,FALSE)</f>
        <v>#N/A</v>
      </c>
      <c r="D58" s="58" t="s">
        <v>94</v>
      </c>
      <c r="E58" s="58"/>
      <c r="F58" s="59" t="s">
        <v>128</v>
      </c>
      <c r="G58" s="61" t="s">
        <v>124</v>
      </c>
      <c r="H58" s="60" t="s">
        <v>124</v>
      </c>
      <c r="I58" s="60" t="s">
        <v>14</v>
      </c>
      <c r="J58" s="71" t="s">
        <v>18</v>
      </c>
      <c r="K58" s="71" t="s">
        <v>94</v>
      </c>
    </row>
    <row r="59" ht="30" hidden="1" spans="1:11">
      <c r="A59" s="26" t="s">
        <v>129</v>
      </c>
      <c r="B59" s="26" t="e">
        <f>VLOOKUP(A59,'SITE Fields NS'!B:C,2,FALSE)</f>
        <v>#N/A</v>
      </c>
      <c r="C59" s="26" t="e">
        <f>VLOOKUP(B59,'SITE Fields NS'!C:E,3,FALSE)</f>
        <v>#N/A</v>
      </c>
      <c r="D59" s="26" t="s">
        <v>31</v>
      </c>
      <c r="E59" s="26"/>
      <c r="F59" s="49" t="s">
        <v>128</v>
      </c>
      <c r="G59" s="50" t="s">
        <v>124</v>
      </c>
      <c r="H59" s="51" t="s">
        <v>124</v>
      </c>
      <c r="I59" s="67" t="s">
        <v>130</v>
      </c>
      <c r="J59" s="66" t="s">
        <v>18</v>
      </c>
      <c r="K59" s="66" t="s">
        <v>131</v>
      </c>
    </row>
    <row r="60" ht="30" hidden="1" spans="1:11">
      <c r="A60" s="26" t="s">
        <v>132</v>
      </c>
      <c r="B60" s="26" t="e">
        <f>VLOOKUP(A60,'SITE Fields NS'!B:C,2,FALSE)</f>
        <v>#N/A</v>
      </c>
      <c r="C60" s="26" t="e">
        <f>VLOOKUP(B60,'SITE Fields NS'!C:E,3,FALSE)</f>
        <v>#N/A</v>
      </c>
      <c r="D60" s="26" t="s">
        <v>31</v>
      </c>
      <c r="E60" s="26"/>
      <c r="F60" s="63" t="s">
        <v>128</v>
      </c>
      <c r="G60" s="50" t="s">
        <v>124</v>
      </c>
      <c r="H60" s="51" t="s">
        <v>124</v>
      </c>
      <c r="I60" s="67" t="s">
        <v>34</v>
      </c>
      <c r="J60" s="66" t="s">
        <v>18</v>
      </c>
      <c r="K60" s="66" t="s">
        <v>133</v>
      </c>
    </row>
    <row r="61" hidden="1" spans="1:11">
      <c r="A61" s="48" t="s">
        <v>134</v>
      </c>
      <c r="B61" s="48" t="str">
        <f>VLOOKUP(A61,'SITE Fields NS'!B:C,2,FALSE)</f>
        <v>custrecord_twc_site_nxt_gen_svc</v>
      </c>
      <c r="C61" s="48" t="str">
        <f>VLOOKUP(B61,'SITE Fields NS'!C:E,3,FALSE)</f>
        <v>Date</v>
      </c>
      <c r="D61" s="48"/>
      <c r="E61" s="48"/>
      <c r="F61" s="49" t="s">
        <v>135</v>
      </c>
      <c r="G61" s="50" t="s">
        <v>136</v>
      </c>
      <c r="H61" s="51" t="s">
        <v>124</v>
      </c>
      <c r="I61" s="51" t="s">
        <v>137</v>
      </c>
      <c r="J61" s="66"/>
      <c r="K61" s="70" t="s">
        <v>138</v>
      </c>
    </row>
    <row r="62" hidden="1" spans="1:11">
      <c r="A62" s="48" t="s">
        <v>139</v>
      </c>
      <c r="B62" s="48" t="str">
        <f>VLOOKUP(A62,'SITE Fields NS'!B:C,2,FALSE)</f>
        <v>custrecord_twc_site_nxt_earth_lp_test</v>
      </c>
      <c r="C62" s="48" t="str">
        <f>VLOOKUP(B62,'SITE Fields NS'!C:E,3,FALSE)</f>
        <v>Date</v>
      </c>
      <c r="D62" s="48"/>
      <c r="E62" s="48"/>
      <c r="F62" s="49" t="s">
        <v>135</v>
      </c>
      <c r="G62" s="50" t="s">
        <v>136</v>
      </c>
      <c r="H62" s="51" t="s">
        <v>124</v>
      </c>
      <c r="I62" s="51" t="s">
        <v>137</v>
      </c>
      <c r="J62" s="66"/>
      <c r="K62" s="66"/>
    </row>
    <row r="63" ht="30" hidden="1" spans="1:11">
      <c r="A63" s="26" t="s">
        <v>140</v>
      </c>
      <c r="B63" s="26" t="e">
        <f>VLOOKUP(A63,'SITE Fields NS'!B:C,2,FALSE)</f>
        <v>#N/A</v>
      </c>
      <c r="C63" s="26" t="e">
        <f>VLOOKUP(B63,'SITE Fields NS'!C:E,3,FALSE)</f>
        <v>#N/A</v>
      </c>
      <c r="D63" s="26" t="s">
        <v>31</v>
      </c>
      <c r="E63" s="26"/>
      <c r="F63" s="49" t="s">
        <v>135</v>
      </c>
      <c r="G63" s="50" t="s">
        <v>136</v>
      </c>
      <c r="H63" s="51" t="s">
        <v>124</v>
      </c>
      <c r="I63" s="67" t="s">
        <v>141</v>
      </c>
      <c r="J63" s="66"/>
      <c r="K63" s="66" t="s">
        <v>142</v>
      </c>
    </row>
    <row r="64" s="38" customFormat="1" hidden="1" spans="1:11">
      <c r="A64" s="52" t="s">
        <v>143</v>
      </c>
      <c r="B64" s="52" t="str">
        <f>VLOOKUP(A64,'SITE Fields NS'!B:C,2,FALSE)</f>
        <v>custrecord_twc_site_nxt_str_insp_date</v>
      </c>
      <c r="C64" s="52" t="str">
        <f>VLOOKUP(B64,'SITE Fields NS'!C:E,3,FALSE)</f>
        <v>Date</v>
      </c>
      <c r="D64" s="52"/>
      <c r="E64" s="27" t="s">
        <v>144</v>
      </c>
      <c r="F64" s="64"/>
      <c r="G64" s="54" t="s">
        <v>136</v>
      </c>
      <c r="H64" s="62" t="s">
        <v>51</v>
      </c>
      <c r="I64" s="62" t="s">
        <v>145</v>
      </c>
      <c r="J64" s="68"/>
      <c r="K64" s="72" t="s">
        <v>146</v>
      </c>
    </row>
    <row r="65" s="38" customFormat="1" hidden="1" spans="1:11">
      <c r="A65" s="52" t="s">
        <v>147</v>
      </c>
      <c r="B65" s="52" t="str">
        <f>VLOOKUP(A65,'SITE Fields NS'!B:C,2,FALSE)</f>
        <v>custrecord_twc_site_nxt_fall_cert_date</v>
      </c>
      <c r="C65" s="52" t="str">
        <f>VLOOKUP(B65,'SITE Fields NS'!C:E,3,FALSE)</f>
        <v>Date</v>
      </c>
      <c r="D65" s="52"/>
      <c r="E65" s="27" t="s">
        <v>144</v>
      </c>
      <c r="F65" s="64" t="s">
        <v>32</v>
      </c>
      <c r="G65" s="54" t="s">
        <v>136</v>
      </c>
      <c r="H65" s="62" t="s">
        <v>51</v>
      </c>
      <c r="I65" s="62" t="s">
        <v>145</v>
      </c>
      <c r="J65" s="68"/>
      <c r="K65" s="73"/>
    </row>
    <row r="66" s="38" customFormat="1" hidden="1" spans="1:11">
      <c r="A66" s="52" t="s">
        <v>148</v>
      </c>
      <c r="B66" s="52" t="str">
        <f>VLOOKUP(A66,'SITE Fields NS'!B:C,2,FALSE)</f>
        <v>custrecord_twc_site_nxt_twr_pnt_date</v>
      </c>
      <c r="C66" s="52" t="str">
        <f>VLOOKUP(B66,'SITE Fields NS'!C:E,3,FALSE)</f>
        <v>Date</v>
      </c>
      <c r="D66" s="52"/>
      <c r="E66" s="27" t="s">
        <v>144</v>
      </c>
      <c r="F66" s="64" t="s">
        <v>32</v>
      </c>
      <c r="G66" s="54" t="s">
        <v>136</v>
      </c>
      <c r="H66" s="62" t="s">
        <v>51</v>
      </c>
      <c r="I66" s="62" t="s">
        <v>145</v>
      </c>
      <c r="J66" s="68"/>
      <c r="K66" s="74"/>
    </row>
    <row r="67" hidden="1" spans="1:11">
      <c r="A67" s="26" t="s">
        <v>149</v>
      </c>
      <c r="B67" s="26" t="e">
        <f>VLOOKUP(A67,'SITE Fields NS'!B:C,2,FALSE)</f>
        <v>#N/A</v>
      </c>
      <c r="C67" s="26" t="e">
        <f>VLOOKUP(B67,'SITE Fields NS'!C:E,3,FALSE)</f>
        <v>#N/A</v>
      </c>
      <c r="D67" s="26" t="s">
        <v>31</v>
      </c>
      <c r="E67" s="26"/>
      <c r="F67" s="49" t="s">
        <v>135</v>
      </c>
      <c r="G67" s="50" t="s">
        <v>136</v>
      </c>
      <c r="H67" s="51" t="s">
        <v>51</v>
      </c>
      <c r="I67" s="67" t="s">
        <v>150</v>
      </c>
      <c r="J67" s="66"/>
      <c r="K67" s="66" t="s">
        <v>151</v>
      </c>
    </row>
    <row r="68" hidden="1" spans="1:11">
      <c r="A68" s="48" t="s">
        <v>152</v>
      </c>
      <c r="B68" s="48" t="str">
        <f>VLOOKUP(A68,'SITE Fields NS'!B:C,2,FALSE)</f>
        <v>custrecord_twc_site_nxt_aircon_svc_date</v>
      </c>
      <c r="C68" s="48" t="str">
        <f>VLOOKUP(B68,'SITE Fields NS'!C:E,3,FALSE)</f>
        <v>Date</v>
      </c>
      <c r="D68" s="48"/>
      <c r="E68" s="48"/>
      <c r="F68" s="63" t="s">
        <v>32</v>
      </c>
      <c r="G68" s="50" t="s">
        <v>136</v>
      </c>
      <c r="H68" s="51" t="s">
        <v>153</v>
      </c>
      <c r="I68" s="51" t="s">
        <v>137</v>
      </c>
      <c r="J68" s="66"/>
      <c r="K68" s="70" t="s">
        <v>154</v>
      </c>
    </row>
    <row r="69" hidden="1" spans="1:11">
      <c r="A69" s="48" t="s">
        <v>155</v>
      </c>
      <c r="B69" s="48" t="str">
        <f>VLOOKUP(A69,'SITE Fields NS'!B:C,2,FALSE)</f>
        <v>custrecord_twc_site_nxt_fire_svc_date</v>
      </c>
      <c r="C69" s="48" t="str">
        <f>VLOOKUP(B69,'SITE Fields NS'!C:E,3,FALSE)</f>
        <v>Date</v>
      </c>
      <c r="D69" s="48"/>
      <c r="E69" s="48"/>
      <c r="F69" s="63" t="s">
        <v>32</v>
      </c>
      <c r="G69" s="50" t="s">
        <v>136</v>
      </c>
      <c r="H69" s="51" t="s">
        <v>153</v>
      </c>
      <c r="I69" s="51" t="s">
        <v>137</v>
      </c>
      <c r="J69" s="66"/>
      <c r="K69" s="70" t="s">
        <v>154</v>
      </c>
    </row>
    <row r="70" hidden="1" spans="1:11">
      <c r="A70" s="48" t="s">
        <v>156</v>
      </c>
      <c r="B70" s="48" t="str">
        <f>VLOOKUP(A70,'SITE Fields NS'!B:C,2,FALSE)</f>
        <v>custrecord_twc_site_nxt_alarm_svc_date</v>
      </c>
      <c r="C70" s="48" t="str">
        <f>VLOOKUP(B70,'SITE Fields NS'!C:E,3,FALSE)</f>
        <v>Date</v>
      </c>
      <c r="D70" s="48"/>
      <c r="E70" s="48"/>
      <c r="F70" s="63" t="s">
        <v>32</v>
      </c>
      <c r="G70" s="50" t="s">
        <v>136</v>
      </c>
      <c r="H70" s="51" t="s">
        <v>153</v>
      </c>
      <c r="I70" s="51" t="s">
        <v>137</v>
      </c>
      <c r="J70" s="66" t="s">
        <v>18</v>
      </c>
      <c r="K70" s="70" t="s">
        <v>154</v>
      </c>
    </row>
    <row r="71" ht="30" hidden="1" spans="1:11">
      <c r="A71" s="26" t="s">
        <v>157</v>
      </c>
      <c r="B71" s="26" t="e">
        <f>VLOOKUP(A71,'SITE Fields NS'!B:C,2,FALSE)</f>
        <v>#N/A</v>
      </c>
      <c r="C71" s="26" t="e">
        <f>VLOOKUP(B71,'SITE Fields NS'!C:E,3,FALSE)</f>
        <v>#N/A</v>
      </c>
      <c r="D71" s="26" t="s">
        <v>31</v>
      </c>
      <c r="E71" s="26"/>
      <c r="F71" s="49" t="s">
        <v>135</v>
      </c>
      <c r="G71" s="50" t="s">
        <v>136</v>
      </c>
      <c r="H71" s="51" t="s">
        <v>153</v>
      </c>
      <c r="I71" s="67" t="s">
        <v>158</v>
      </c>
      <c r="J71" s="66" t="s">
        <v>18</v>
      </c>
      <c r="K71" s="66" t="s">
        <v>159</v>
      </c>
    </row>
    <row r="72" hidden="1" spans="1:11">
      <c r="A72" s="48" t="s">
        <v>160</v>
      </c>
      <c r="B72" s="48" t="str">
        <f>VLOOKUP(A72,'SITE Fields NS'!B:C,2,FALSE)</f>
        <v>custrecord_twc_site_mktg_sts</v>
      </c>
      <c r="C72" s="48" t="str">
        <f>VLOOKUP(B72,'SITE Fields NS'!C:E,3,FALSE)</f>
        <v>Check Box</v>
      </c>
      <c r="D72" s="48"/>
      <c r="E72" s="48"/>
      <c r="F72" s="49" t="s">
        <v>50</v>
      </c>
      <c r="G72" s="50" t="s">
        <v>161</v>
      </c>
      <c r="H72" s="50" t="s">
        <v>52</v>
      </c>
      <c r="I72" s="51" t="s">
        <v>23</v>
      </c>
      <c r="J72" s="66" t="s">
        <v>28</v>
      </c>
      <c r="K72" s="72" t="s">
        <v>162</v>
      </c>
    </row>
    <row r="73" spans="1:11">
      <c r="A73" s="52" t="s">
        <v>163</v>
      </c>
      <c r="B73" s="52" t="e">
        <f>VLOOKUP(A73,'SITE Fields NS'!B:C,2,FALSE)</f>
        <v>#N/A</v>
      </c>
      <c r="C73" s="52" t="e">
        <f>VLOOKUP(B73,'SITE Fields NS'!C:E,3,FALSE)</f>
        <v>#N/A</v>
      </c>
      <c r="D73" s="27" t="s">
        <v>164</v>
      </c>
      <c r="E73" s="27"/>
      <c r="F73" s="49"/>
      <c r="G73" s="50" t="s">
        <v>161</v>
      </c>
      <c r="H73" s="51" t="s">
        <v>165</v>
      </c>
      <c r="I73" s="51" t="s">
        <v>23</v>
      </c>
      <c r="J73" s="66" t="s">
        <v>166</v>
      </c>
      <c r="K73" s="73"/>
    </row>
    <row r="74" spans="1:11">
      <c r="A74" s="52" t="s">
        <v>167</v>
      </c>
      <c r="B74" s="52" t="e">
        <f>VLOOKUP(A74,'SITE Fields NS'!B:C,2,FALSE)</f>
        <v>#N/A</v>
      </c>
      <c r="C74" s="52" t="e">
        <f>VLOOKUP(B74,'SITE Fields NS'!C:E,3,FALSE)</f>
        <v>#N/A</v>
      </c>
      <c r="D74" s="27" t="s">
        <v>164</v>
      </c>
      <c r="E74" s="27"/>
      <c r="F74" s="49"/>
      <c r="G74" s="50" t="s">
        <v>161</v>
      </c>
      <c r="H74" s="51" t="s">
        <v>165</v>
      </c>
      <c r="I74" s="51" t="s">
        <v>23</v>
      </c>
      <c r="J74" s="66" t="s">
        <v>28</v>
      </c>
      <c r="K74" s="73"/>
    </row>
    <row r="75" spans="1:11">
      <c r="A75" s="52" t="s">
        <v>168</v>
      </c>
      <c r="B75" s="52" t="e">
        <f>VLOOKUP(A75,'SITE Fields NS'!B:C,2,FALSE)</f>
        <v>#N/A</v>
      </c>
      <c r="C75" s="52" t="e">
        <f>VLOOKUP(B75,'SITE Fields NS'!C:E,3,FALSE)</f>
        <v>#N/A</v>
      </c>
      <c r="D75" s="27" t="s">
        <v>164</v>
      </c>
      <c r="E75" s="27"/>
      <c r="F75" s="49"/>
      <c r="G75" s="50" t="s">
        <v>161</v>
      </c>
      <c r="H75" s="51" t="s">
        <v>165</v>
      </c>
      <c r="I75" s="51" t="s">
        <v>20</v>
      </c>
      <c r="J75" s="66"/>
      <c r="K75" s="73"/>
    </row>
    <row r="76" spans="1:11">
      <c r="A76" s="52" t="s">
        <v>169</v>
      </c>
      <c r="B76" s="52" t="e">
        <f>VLOOKUP(A76,'SITE Fields NS'!B:C,2,FALSE)</f>
        <v>#N/A</v>
      </c>
      <c r="C76" s="52" t="e">
        <f>VLOOKUP(B76,'SITE Fields NS'!C:E,3,FALSE)</f>
        <v>#N/A</v>
      </c>
      <c r="D76" s="27" t="s">
        <v>164</v>
      </c>
      <c r="E76" s="27"/>
      <c r="F76" s="49"/>
      <c r="G76" s="50" t="s">
        <v>161</v>
      </c>
      <c r="H76" s="51" t="s">
        <v>165</v>
      </c>
      <c r="I76" s="51" t="s">
        <v>23</v>
      </c>
      <c r="J76" s="66" t="s">
        <v>28</v>
      </c>
      <c r="K76" s="73"/>
    </row>
    <row r="77" spans="1:11">
      <c r="A77" s="52" t="s">
        <v>170</v>
      </c>
      <c r="B77" s="52" t="e">
        <f>VLOOKUP(A77,'SITE Fields NS'!B:C,2,FALSE)</f>
        <v>#N/A</v>
      </c>
      <c r="C77" s="52" t="e">
        <f>VLOOKUP(B77,'SITE Fields NS'!C:E,3,FALSE)</f>
        <v>#N/A</v>
      </c>
      <c r="D77" s="27" t="s">
        <v>164</v>
      </c>
      <c r="E77" s="27"/>
      <c r="F77" s="49"/>
      <c r="G77" s="50" t="s">
        <v>161</v>
      </c>
      <c r="H77" s="51" t="s">
        <v>165</v>
      </c>
      <c r="I77" s="51" t="s">
        <v>20</v>
      </c>
      <c r="J77" s="66"/>
      <c r="K77" s="73"/>
    </row>
    <row r="78" spans="1:11">
      <c r="A78" s="52" t="s">
        <v>171</v>
      </c>
      <c r="B78" s="52" t="e">
        <f>VLOOKUP(A78,'SITE Fields NS'!B:C,2,FALSE)</f>
        <v>#N/A</v>
      </c>
      <c r="C78" s="52" t="e">
        <f>VLOOKUP(B78,'SITE Fields NS'!C:E,3,FALSE)</f>
        <v>#N/A</v>
      </c>
      <c r="D78" s="27" t="s">
        <v>164</v>
      </c>
      <c r="E78" s="27"/>
      <c r="F78" s="49"/>
      <c r="G78" s="50" t="s">
        <v>161</v>
      </c>
      <c r="H78" s="51" t="s">
        <v>165</v>
      </c>
      <c r="I78" s="51" t="s">
        <v>23</v>
      </c>
      <c r="J78" s="66" t="s">
        <v>28</v>
      </c>
      <c r="K78" s="73"/>
    </row>
    <row r="79" spans="1:11">
      <c r="A79" s="52" t="s">
        <v>172</v>
      </c>
      <c r="B79" s="52" t="e">
        <f>VLOOKUP(A79,'SITE Fields NS'!B:C,2,FALSE)</f>
        <v>#N/A</v>
      </c>
      <c r="C79" s="52" t="e">
        <f>VLOOKUP(B79,'SITE Fields NS'!C:E,3,FALSE)</f>
        <v>#N/A</v>
      </c>
      <c r="D79" s="27" t="s">
        <v>164</v>
      </c>
      <c r="E79" s="27"/>
      <c r="F79" s="49"/>
      <c r="G79" s="50" t="s">
        <v>161</v>
      </c>
      <c r="H79" s="51" t="s">
        <v>165</v>
      </c>
      <c r="I79" s="51" t="s">
        <v>23</v>
      </c>
      <c r="J79" s="66" t="s">
        <v>28</v>
      </c>
      <c r="K79" s="73"/>
    </row>
    <row r="80" ht="30" spans="1:11">
      <c r="A80" s="52" t="s">
        <v>173</v>
      </c>
      <c r="B80" s="52" t="e">
        <f>VLOOKUP(A80,'SITE Fields NS'!B:C,2,FALSE)</f>
        <v>#N/A</v>
      </c>
      <c r="C80" s="52" t="e">
        <f>VLOOKUP(B80,'SITE Fields NS'!C:E,3,FALSE)</f>
        <v>#N/A</v>
      </c>
      <c r="D80" s="27" t="s">
        <v>164</v>
      </c>
      <c r="E80" s="27"/>
      <c r="F80" s="49"/>
      <c r="G80" s="50" t="s">
        <v>161</v>
      </c>
      <c r="H80" s="51" t="s">
        <v>165</v>
      </c>
      <c r="I80" s="51" t="s">
        <v>23</v>
      </c>
      <c r="J80" s="66" t="s">
        <v>174</v>
      </c>
      <c r="K80" s="73"/>
    </row>
    <row r="81" spans="1:11">
      <c r="A81" s="52" t="s">
        <v>175</v>
      </c>
      <c r="B81" s="52" t="e">
        <f>VLOOKUP(A81,'SITE Fields NS'!B:C,2,FALSE)</f>
        <v>#N/A</v>
      </c>
      <c r="C81" s="52" t="e">
        <f>VLOOKUP(B81,'SITE Fields NS'!C:E,3,FALSE)</f>
        <v>#N/A</v>
      </c>
      <c r="D81" s="27" t="s">
        <v>164</v>
      </c>
      <c r="E81" s="27"/>
      <c r="F81" s="49"/>
      <c r="G81" s="50" t="s">
        <v>161</v>
      </c>
      <c r="H81" s="51" t="s">
        <v>165</v>
      </c>
      <c r="I81" s="51" t="s">
        <v>176</v>
      </c>
      <c r="J81" s="66" t="s">
        <v>177</v>
      </c>
      <c r="K81" s="73"/>
    </row>
    <row r="82" ht="30" spans="1:11">
      <c r="A82" s="52" t="s">
        <v>178</v>
      </c>
      <c r="B82" s="52" t="e">
        <f>VLOOKUP(A82,'SITE Fields NS'!B:C,2,FALSE)</f>
        <v>#N/A</v>
      </c>
      <c r="C82" s="52" t="e">
        <f>VLOOKUP(B82,'SITE Fields NS'!C:E,3,FALSE)</f>
        <v>#N/A</v>
      </c>
      <c r="D82" s="27" t="s">
        <v>164</v>
      </c>
      <c r="E82" s="27"/>
      <c r="F82" s="49"/>
      <c r="G82" s="50" t="s">
        <v>161</v>
      </c>
      <c r="H82" s="51" t="s">
        <v>165</v>
      </c>
      <c r="I82" s="51" t="s">
        <v>176</v>
      </c>
      <c r="J82" s="66" t="s">
        <v>179</v>
      </c>
      <c r="K82" s="73"/>
    </row>
    <row r="83" spans="1:11">
      <c r="A83" s="52" t="s">
        <v>180</v>
      </c>
      <c r="B83" s="52" t="e">
        <f>VLOOKUP(A83,'SITE Fields NS'!B:C,2,FALSE)</f>
        <v>#N/A</v>
      </c>
      <c r="C83" s="52" t="e">
        <f>VLOOKUP(B83,'SITE Fields NS'!C:E,3,FALSE)</f>
        <v>#N/A</v>
      </c>
      <c r="D83" s="27" t="s">
        <v>164</v>
      </c>
      <c r="E83" s="27"/>
      <c r="F83" s="49"/>
      <c r="G83" s="50" t="s">
        <v>161</v>
      </c>
      <c r="H83" s="51" t="s">
        <v>165</v>
      </c>
      <c r="I83" s="51" t="s">
        <v>14</v>
      </c>
      <c r="J83" s="66"/>
      <c r="K83" s="73"/>
    </row>
    <row r="84" spans="1:11">
      <c r="A84" s="52" t="s">
        <v>181</v>
      </c>
      <c r="B84" s="52" t="e">
        <f>VLOOKUP(A84,'SITE Fields NS'!B:C,2,FALSE)</f>
        <v>#N/A</v>
      </c>
      <c r="C84" s="52" t="e">
        <f>VLOOKUP(B84,'SITE Fields NS'!C:E,3,FALSE)</f>
        <v>#N/A</v>
      </c>
      <c r="D84" s="27" t="s">
        <v>164</v>
      </c>
      <c r="E84" s="27"/>
      <c r="F84" s="49"/>
      <c r="G84" s="50" t="s">
        <v>161</v>
      </c>
      <c r="H84" s="51" t="s">
        <v>165</v>
      </c>
      <c r="I84" s="51" t="s">
        <v>23</v>
      </c>
      <c r="J84" s="66" t="s">
        <v>28</v>
      </c>
      <c r="K84" s="74"/>
    </row>
    <row r="85" ht="30" hidden="1" spans="1:11">
      <c r="A85" s="26" t="s">
        <v>182</v>
      </c>
      <c r="B85" s="26" t="e">
        <f>VLOOKUP(A85,'SITE Fields NS'!B:C,2,FALSE)</f>
        <v>#N/A</v>
      </c>
      <c r="C85" s="26" t="e">
        <f>VLOOKUP(B85,'SITE Fields NS'!C:E,3,FALSE)</f>
        <v>#N/A</v>
      </c>
      <c r="D85" s="26" t="s">
        <v>31</v>
      </c>
      <c r="E85" s="26"/>
      <c r="F85" s="55"/>
      <c r="G85" s="56" t="s">
        <v>161</v>
      </c>
      <c r="H85" s="57" t="s">
        <v>52</v>
      </c>
      <c r="I85" s="67" t="s">
        <v>183</v>
      </c>
      <c r="J85" s="69"/>
      <c r="K85" s="69"/>
    </row>
    <row r="86" ht="30" hidden="1" spans="1:11">
      <c r="A86" s="58" t="s">
        <v>184</v>
      </c>
      <c r="B86" s="58" t="e">
        <f>VLOOKUP(A86,'SITE Fields NS'!B:C,2,FALSE)</f>
        <v>#N/A</v>
      </c>
      <c r="C86" s="58" t="e">
        <f>VLOOKUP(B86,'SITE Fields NS'!C:E,3,FALSE)</f>
        <v>#N/A</v>
      </c>
      <c r="D86" s="58" t="s">
        <v>94</v>
      </c>
      <c r="E86" s="58"/>
      <c r="F86" s="59" t="s">
        <v>185</v>
      </c>
      <c r="G86" s="61" t="s">
        <v>161</v>
      </c>
      <c r="H86" s="60" t="s">
        <v>186</v>
      </c>
      <c r="I86" s="60" t="s">
        <v>176</v>
      </c>
      <c r="J86" s="71" t="s">
        <v>187</v>
      </c>
      <c r="K86" s="71" t="s">
        <v>94</v>
      </c>
    </row>
    <row r="87" ht="30" hidden="1" spans="1:11">
      <c r="A87" s="58" t="s">
        <v>188</v>
      </c>
      <c r="B87" s="58" t="e">
        <f>VLOOKUP(A87,'SITE Fields NS'!B:C,2,FALSE)</f>
        <v>#N/A</v>
      </c>
      <c r="C87" s="58" t="e">
        <f>VLOOKUP(B87,'SITE Fields NS'!C:E,3,FALSE)</f>
        <v>#N/A</v>
      </c>
      <c r="D87" s="58" t="s">
        <v>94</v>
      </c>
      <c r="E87" s="58"/>
      <c r="F87" s="59" t="s">
        <v>185</v>
      </c>
      <c r="G87" s="61" t="s">
        <v>161</v>
      </c>
      <c r="H87" s="60" t="s">
        <v>186</v>
      </c>
      <c r="I87" s="60" t="s">
        <v>20</v>
      </c>
      <c r="J87" s="71"/>
      <c r="K87" s="71" t="s">
        <v>94</v>
      </c>
    </row>
    <row r="88" ht="30" hidden="1" spans="1:11">
      <c r="A88" s="58" t="s">
        <v>189</v>
      </c>
      <c r="B88" s="58" t="e">
        <f>VLOOKUP(A88,'SITE Fields NS'!B:C,2,FALSE)</f>
        <v>#N/A</v>
      </c>
      <c r="C88" s="58" t="e">
        <f>VLOOKUP(B88,'SITE Fields NS'!C:E,3,FALSE)</f>
        <v>#N/A</v>
      </c>
      <c r="D88" s="58" t="s">
        <v>94</v>
      </c>
      <c r="E88" s="58"/>
      <c r="F88" s="59" t="s">
        <v>185</v>
      </c>
      <c r="G88" s="61" t="s">
        <v>161</v>
      </c>
      <c r="H88" s="60" t="s">
        <v>186</v>
      </c>
      <c r="I88" s="60" t="s">
        <v>20</v>
      </c>
      <c r="J88" s="71"/>
      <c r="K88" s="71" t="s">
        <v>94</v>
      </c>
    </row>
    <row r="89" ht="30" hidden="1" spans="1:11">
      <c r="A89" s="58" t="s">
        <v>190</v>
      </c>
      <c r="B89" s="58" t="e">
        <f>VLOOKUP(A89,'SITE Fields NS'!B:C,2,FALSE)</f>
        <v>#N/A</v>
      </c>
      <c r="C89" s="58" t="e">
        <f>VLOOKUP(B89,'SITE Fields NS'!C:E,3,FALSE)</f>
        <v>#N/A</v>
      </c>
      <c r="D89" s="58" t="s">
        <v>94</v>
      </c>
      <c r="E89" s="58"/>
      <c r="F89" s="59" t="s">
        <v>185</v>
      </c>
      <c r="G89" s="61" t="s">
        <v>161</v>
      </c>
      <c r="H89" s="60" t="s">
        <v>186</v>
      </c>
      <c r="I89" s="60" t="s">
        <v>20</v>
      </c>
      <c r="J89" s="71"/>
      <c r="K89" s="71" t="s">
        <v>94</v>
      </c>
    </row>
    <row r="90" ht="30" hidden="1" spans="1:11">
      <c r="A90" s="58" t="s">
        <v>191</v>
      </c>
      <c r="B90" s="58" t="e">
        <f>VLOOKUP(A90,'SITE Fields NS'!B:C,2,FALSE)</f>
        <v>#N/A</v>
      </c>
      <c r="C90" s="58" t="e">
        <f>VLOOKUP(B90,'SITE Fields NS'!C:E,3,FALSE)</f>
        <v>#N/A</v>
      </c>
      <c r="D90" s="58" t="s">
        <v>94</v>
      </c>
      <c r="E90" s="58"/>
      <c r="F90" s="59" t="s">
        <v>185</v>
      </c>
      <c r="G90" s="61" t="s">
        <v>161</v>
      </c>
      <c r="H90" s="60" t="s">
        <v>186</v>
      </c>
      <c r="I90" s="60" t="s">
        <v>20</v>
      </c>
      <c r="J90" s="71"/>
      <c r="K90" s="71" t="s">
        <v>94</v>
      </c>
    </row>
    <row r="91" ht="45" hidden="1" spans="1:11">
      <c r="A91" s="48" t="s">
        <v>192</v>
      </c>
      <c r="B91" s="48" t="str">
        <f>VLOOKUP(A91,'SITE Fields NS'!B:C,2,FALSE)</f>
        <v>custrecord_twc_site_mno_occ</v>
      </c>
      <c r="C91" s="48" t="str">
        <f>VLOOKUP(B91,'SITE Fields NS'!C:E,3,FALSE)</f>
        <v>Integer Number</v>
      </c>
      <c r="D91" s="48"/>
      <c r="E91" s="48"/>
      <c r="F91" s="49"/>
      <c r="G91" s="50" t="s">
        <v>161</v>
      </c>
      <c r="H91" s="51" t="s">
        <v>186</v>
      </c>
      <c r="I91" s="51" t="s">
        <v>14</v>
      </c>
      <c r="J91" s="69" t="s">
        <v>193</v>
      </c>
      <c r="K91" s="66"/>
    </row>
    <row r="92" ht="45" hidden="1" spans="1:11">
      <c r="A92" s="48" t="s">
        <v>194</v>
      </c>
      <c r="B92" s="48" t="str">
        <f>VLOOKUP(A92,'SITE Fields NS'!B:C,2,FALSE)</f>
        <v>custrecord_twc_site_non_mno_occ</v>
      </c>
      <c r="C92" s="48" t="str">
        <f>VLOOKUP(B92,'SITE Fields NS'!C:E,3,FALSE)</f>
        <v>Integer Number</v>
      </c>
      <c r="D92" s="48"/>
      <c r="E92" s="48"/>
      <c r="F92" s="49"/>
      <c r="G92" s="50" t="s">
        <v>161</v>
      </c>
      <c r="H92" s="51" t="s">
        <v>186</v>
      </c>
      <c r="I92" s="51" t="s">
        <v>14</v>
      </c>
      <c r="J92" s="69" t="s">
        <v>195</v>
      </c>
      <c r="K92" s="66"/>
    </row>
    <row r="93" ht="30" hidden="1" spans="1:11">
      <c r="A93" s="48" t="s">
        <v>196</v>
      </c>
      <c r="B93" s="48" t="str">
        <f>VLOOKUP(A93,'SITE Fields NS'!B:C,2,FALSE)</f>
        <v>custrecord_twc_site_occ</v>
      </c>
      <c r="C93" s="48" t="str">
        <f>VLOOKUP(B93,'SITE Fields NS'!C:E,3,FALSE)</f>
        <v>Integer Number</v>
      </c>
      <c r="D93" s="48"/>
      <c r="E93" s="48"/>
      <c r="F93" s="49"/>
      <c r="G93" s="50" t="s">
        <v>161</v>
      </c>
      <c r="H93" s="51" t="s">
        <v>186</v>
      </c>
      <c r="I93" s="51" t="s">
        <v>14</v>
      </c>
      <c r="J93" s="69" t="s">
        <v>197</v>
      </c>
      <c r="K93" s="66"/>
    </row>
    <row r="94" ht="30" spans="1:11">
      <c r="A94" s="52" t="s">
        <v>77</v>
      </c>
      <c r="B94" s="52" t="e">
        <f>VLOOKUP(A94,'SITE Fields NS'!B:C,2,FALSE)</f>
        <v>#N/A</v>
      </c>
      <c r="C94" s="52" t="e">
        <f>VLOOKUP(B94,'SITE Fields NS'!C:E,3,FALSE)</f>
        <v>#N/A</v>
      </c>
      <c r="D94" s="27" t="s">
        <v>164</v>
      </c>
      <c r="E94" s="27"/>
      <c r="F94" s="49"/>
      <c r="G94" s="51" t="s">
        <v>198</v>
      </c>
      <c r="H94" s="51" t="s">
        <v>198</v>
      </c>
      <c r="I94" s="75" t="s">
        <v>199</v>
      </c>
      <c r="J94" s="66" t="s">
        <v>18</v>
      </c>
      <c r="K94" s="72" t="s">
        <v>200</v>
      </c>
    </row>
    <row r="95" ht="30" spans="1:11">
      <c r="A95" s="52" t="s">
        <v>201</v>
      </c>
      <c r="B95" s="52" t="e">
        <f>VLOOKUP(A95,'SITE Fields NS'!B:C,2,FALSE)</f>
        <v>#N/A</v>
      </c>
      <c r="C95" s="52" t="e">
        <f>VLOOKUP(B95,'SITE Fields NS'!C:E,3,FALSE)</f>
        <v>#N/A</v>
      </c>
      <c r="D95" s="27" t="s">
        <v>164</v>
      </c>
      <c r="E95" s="27"/>
      <c r="F95" s="49"/>
      <c r="G95" s="51" t="s">
        <v>198</v>
      </c>
      <c r="H95" s="51" t="s">
        <v>198</v>
      </c>
      <c r="I95" s="75" t="s">
        <v>199</v>
      </c>
      <c r="J95" s="66" t="s">
        <v>18</v>
      </c>
      <c r="K95" s="73"/>
    </row>
    <row r="96" ht="30" spans="1:11">
      <c r="A96" s="52" t="s">
        <v>202</v>
      </c>
      <c r="B96" s="52" t="e">
        <f>VLOOKUP(A96,'SITE Fields NS'!B:C,2,FALSE)</f>
        <v>#N/A</v>
      </c>
      <c r="C96" s="52" t="e">
        <f>VLOOKUP(B96,'SITE Fields NS'!C:E,3,FALSE)</f>
        <v>#N/A</v>
      </c>
      <c r="D96" s="27" t="s">
        <v>164</v>
      </c>
      <c r="E96" s="27"/>
      <c r="F96" s="49"/>
      <c r="G96" s="51" t="s">
        <v>198</v>
      </c>
      <c r="H96" s="51" t="s">
        <v>198</v>
      </c>
      <c r="I96" s="75" t="s">
        <v>199</v>
      </c>
      <c r="J96" s="66" t="s">
        <v>18</v>
      </c>
      <c r="K96" s="73"/>
    </row>
    <row r="97" ht="30" spans="1:11">
      <c r="A97" s="52" t="s">
        <v>203</v>
      </c>
      <c r="B97" s="52" t="e">
        <f>VLOOKUP(A97,'SITE Fields NS'!B:C,2,FALSE)</f>
        <v>#N/A</v>
      </c>
      <c r="C97" s="52" t="e">
        <f>VLOOKUP(B97,'SITE Fields NS'!C:E,3,FALSE)</f>
        <v>#N/A</v>
      </c>
      <c r="D97" s="27" t="s">
        <v>164</v>
      </c>
      <c r="E97" s="27"/>
      <c r="F97" s="49"/>
      <c r="G97" s="51" t="s">
        <v>198</v>
      </c>
      <c r="H97" s="51" t="s">
        <v>198</v>
      </c>
      <c r="I97" s="75" t="s">
        <v>199</v>
      </c>
      <c r="J97" s="66" t="s">
        <v>18</v>
      </c>
      <c r="K97" s="73"/>
    </row>
    <row r="98" ht="30" spans="1:11">
      <c r="A98" s="52" t="s">
        <v>204</v>
      </c>
      <c r="B98" s="52" t="e">
        <f>VLOOKUP(A98,'SITE Fields NS'!B:C,2,FALSE)</f>
        <v>#N/A</v>
      </c>
      <c r="C98" s="52" t="e">
        <f>VLOOKUP(B98,'SITE Fields NS'!C:E,3,FALSE)</f>
        <v>#N/A</v>
      </c>
      <c r="D98" s="27" t="s">
        <v>164</v>
      </c>
      <c r="E98" s="27"/>
      <c r="F98" s="49"/>
      <c r="G98" s="51" t="s">
        <v>198</v>
      </c>
      <c r="H98" s="51" t="s">
        <v>198</v>
      </c>
      <c r="I98" s="75" t="s">
        <v>199</v>
      </c>
      <c r="J98" s="66" t="s">
        <v>18</v>
      </c>
      <c r="K98" s="73"/>
    </row>
    <row r="99" ht="30" spans="1:11">
      <c r="A99" s="52" t="s">
        <v>205</v>
      </c>
      <c r="B99" s="52" t="e">
        <f>VLOOKUP(A99,'SITE Fields NS'!B:C,2,FALSE)</f>
        <v>#N/A</v>
      </c>
      <c r="C99" s="52" t="e">
        <f>VLOOKUP(B99,'SITE Fields NS'!C:E,3,FALSE)</f>
        <v>#N/A</v>
      </c>
      <c r="D99" s="27" t="s">
        <v>164</v>
      </c>
      <c r="E99" s="27"/>
      <c r="F99" s="49"/>
      <c r="G99" s="51" t="s">
        <v>198</v>
      </c>
      <c r="H99" s="51" t="s">
        <v>198</v>
      </c>
      <c r="I99" s="75" t="s">
        <v>199</v>
      </c>
      <c r="J99" s="66" t="s">
        <v>18</v>
      </c>
      <c r="K99" s="73"/>
    </row>
    <row r="100" ht="30" spans="1:11">
      <c r="A100" s="52" t="s">
        <v>206</v>
      </c>
      <c r="B100" s="52" t="e">
        <f>VLOOKUP(A100,'SITE Fields NS'!B:C,2,FALSE)</f>
        <v>#N/A</v>
      </c>
      <c r="C100" s="52" t="e">
        <f>VLOOKUP(B100,'SITE Fields NS'!C:E,3,FALSE)</f>
        <v>#N/A</v>
      </c>
      <c r="D100" s="27" t="s">
        <v>164</v>
      </c>
      <c r="E100" s="27"/>
      <c r="F100" s="49"/>
      <c r="G100" s="51" t="s">
        <v>198</v>
      </c>
      <c r="H100" s="51" t="s">
        <v>198</v>
      </c>
      <c r="I100" s="75" t="s">
        <v>199</v>
      </c>
      <c r="J100" s="66" t="s">
        <v>18</v>
      </c>
      <c r="K100" s="73"/>
    </row>
    <row r="101" ht="30" spans="1:11">
      <c r="A101" s="52" t="s">
        <v>207</v>
      </c>
      <c r="B101" s="52" t="e">
        <f>VLOOKUP(A101,'SITE Fields NS'!B:C,2,FALSE)</f>
        <v>#N/A</v>
      </c>
      <c r="C101" s="52" t="e">
        <f>VLOOKUP(B101,'SITE Fields NS'!C:E,3,FALSE)</f>
        <v>#N/A</v>
      </c>
      <c r="D101" s="27" t="s">
        <v>164</v>
      </c>
      <c r="E101" s="27"/>
      <c r="F101" s="49"/>
      <c r="G101" s="51" t="s">
        <v>198</v>
      </c>
      <c r="H101" s="51" t="s">
        <v>198</v>
      </c>
      <c r="I101" s="51" t="s">
        <v>23</v>
      </c>
      <c r="J101" s="66" t="s">
        <v>78</v>
      </c>
      <c r="K101" s="73"/>
    </row>
    <row r="102" ht="30" spans="1:11">
      <c r="A102" s="52" t="s">
        <v>208</v>
      </c>
      <c r="B102" s="52" t="e">
        <f>VLOOKUP(A102,'SITE Fields NS'!B:C,2,FALSE)</f>
        <v>#N/A</v>
      </c>
      <c r="C102" s="52" t="e">
        <f>VLOOKUP(B102,'SITE Fields NS'!C:E,3,FALSE)</f>
        <v>#N/A</v>
      </c>
      <c r="D102" s="27" t="s">
        <v>164</v>
      </c>
      <c r="E102" s="27"/>
      <c r="F102" s="49"/>
      <c r="G102" s="51" t="s">
        <v>198</v>
      </c>
      <c r="H102" s="51" t="s">
        <v>198</v>
      </c>
      <c r="I102" s="76" t="s">
        <v>209</v>
      </c>
      <c r="J102" s="66" t="s">
        <v>18</v>
      </c>
      <c r="K102" s="73"/>
    </row>
    <row r="103" ht="30" spans="1:11">
      <c r="A103" s="52" t="s">
        <v>210</v>
      </c>
      <c r="B103" s="52" t="e">
        <f>VLOOKUP(A103,'SITE Fields NS'!B:C,2,FALSE)</f>
        <v>#N/A</v>
      </c>
      <c r="C103" s="52" t="e">
        <f>VLOOKUP(B103,'SITE Fields NS'!C:E,3,FALSE)</f>
        <v>#N/A</v>
      </c>
      <c r="D103" s="27" t="s">
        <v>164</v>
      </c>
      <c r="E103" s="27"/>
      <c r="F103" s="49"/>
      <c r="G103" s="51" t="s">
        <v>198</v>
      </c>
      <c r="H103" s="51" t="s">
        <v>198</v>
      </c>
      <c r="I103" s="51" t="s">
        <v>23</v>
      </c>
      <c r="J103" s="66" t="s">
        <v>78</v>
      </c>
      <c r="K103" s="73"/>
    </row>
    <row r="104" ht="30" spans="1:11">
      <c r="A104" s="52" t="s">
        <v>211</v>
      </c>
      <c r="B104" s="52" t="e">
        <f>VLOOKUP(A104,'SITE Fields NS'!B:C,2,FALSE)</f>
        <v>#N/A</v>
      </c>
      <c r="C104" s="52" t="e">
        <f>VLOOKUP(B104,'SITE Fields NS'!C:E,3,FALSE)</f>
        <v>#N/A</v>
      </c>
      <c r="D104" s="27" t="s">
        <v>164</v>
      </c>
      <c r="E104" s="27"/>
      <c r="F104" s="49"/>
      <c r="G104" s="51" t="s">
        <v>198</v>
      </c>
      <c r="H104" s="51" t="s">
        <v>198</v>
      </c>
      <c r="I104" s="76" t="s">
        <v>209</v>
      </c>
      <c r="J104" s="66" t="s">
        <v>18</v>
      </c>
      <c r="K104" s="74"/>
    </row>
  </sheetData>
  <autoFilter ref="A1:K104">
    <filterColumn colId="3">
      <filters>
        <filter val="create field"/>
      </filters>
    </filterColumn>
    <extLst/>
  </autoFilter>
  <mergeCells count="4">
    <mergeCell ref="K24:K27"/>
    <mergeCell ref="K64:K66"/>
    <mergeCell ref="K72:K84"/>
    <mergeCell ref="K94:K10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workbookViewId="0">
      <selection activeCell="D1" sqref="D1"/>
    </sheetView>
  </sheetViews>
  <sheetFormatPr defaultColWidth="10.2857142857143" defaultRowHeight="15" outlineLevelCol="5"/>
  <cols>
    <col min="1" max="1" width="34"/>
    <col min="2" max="2" width="34" style="3" customWidth="1"/>
    <col min="3" max="3" width="42.7142857142857" style="3" customWidth="1"/>
    <col min="4" max="4" width="9.71428571428571" style="3" customWidth="1"/>
    <col min="5" max="5" width="17.2857142857143" style="3" customWidth="1"/>
    <col min="6" max="6" width="21.5714285714286" style="3" customWidth="1"/>
    <col min="7" max="16384" width="10.2857142857143" style="3"/>
  </cols>
  <sheetData>
    <row r="1" s="2" customFormat="1" spans="1:6">
      <c r="A1" s="2" t="s">
        <v>212</v>
      </c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</row>
    <row r="2" s="3" customFormat="1" spans="1:6">
      <c r="A2" s="3" t="str">
        <f>VLOOKUP(B2,'SITE Fields'!A:A,1,FALSE)</f>
        <v>RADIX Site Table entry number</v>
      </c>
      <c r="B2" s="3" t="s">
        <v>10</v>
      </c>
      <c r="C2" s="3" t="s">
        <v>218</v>
      </c>
      <c r="D2" s="3" t="s">
        <v>219</v>
      </c>
      <c r="E2" s="3" t="s">
        <v>220</v>
      </c>
      <c r="F2" s="3" t="s">
        <v>221</v>
      </c>
    </row>
    <row r="3" s="3" customFormat="1" spans="1:6">
      <c r="A3" s="3" t="str">
        <f>VLOOKUP(B3,'SITE Fields'!A:A,1,FALSE)</f>
        <v>Site ID</v>
      </c>
      <c r="B3" s="3" t="s">
        <v>15</v>
      </c>
      <c r="C3" s="3" t="s">
        <v>222</v>
      </c>
      <c r="D3" s="3" t="s">
        <v>219</v>
      </c>
      <c r="E3" s="3" t="s">
        <v>20</v>
      </c>
      <c r="F3" s="3" t="s">
        <v>221</v>
      </c>
    </row>
    <row r="4" s="3" customFormat="1" spans="1:6">
      <c r="A4" s="3" t="str">
        <f>VLOOKUP(B4,'SITE Fields'!A:A,1,FALSE)</f>
        <v>Site Name</v>
      </c>
      <c r="B4" s="3" t="s">
        <v>19</v>
      </c>
      <c r="C4" s="3" t="s">
        <v>223</v>
      </c>
      <c r="D4" s="3" t="s">
        <v>219</v>
      </c>
      <c r="E4" s="3" t="s">
        <v>20</v>
      </c>
      <c r="F4" s="3" t="s">
        <v>221</v>
      </c>
    </row>
    <row r="5" s="3" customFormat="1" spans="1:6">
      <c r="A5" s="3" t="str">
        <f>VLOOKUP(B5,'SITE Fields'!A:A,1,FALSE)</f>
        <v>Alias</v>
      </c>
      <c r="B5" s="3" t="s">
        <v>21</v>
      </c>
      <c r="C5" s="3" t="s">
        <v>224</v>
      </c>
      <c r="D5" s="3" t="s">
        <v>219</v>
      </c>
      <c r="E5" s="3" t="s">
        <v>20</v>
      </c>
      <c r="F5" s="3" t="s">
        <v>221</v>
      </c>
    </row>
    <row r="6" s="3" customFormat="1" spans="1:6">
      <c r="A6" s="3" t="str">
        <f>VLOOKUP(B6,'SITE Fields'!A:A,1,FALSE)</f>
        <v>Site Status</v>
      </c>
      <c r="B6" s="3" t="s">
        <v>22</v>
      </c>
      <c r="C6" s="3" t="s">
        <v>225</v>
      </c>
      <c r="D6" s="3" t="s">
        <v>219</v>
      </c>
      <c r="E6" s="3" t="s">
        <v>226</v>
      </c>
      <c r="F6" s="3">
        <v>710</v>
      </c>
    </row>
    <row r="7" s="3" customFormat="1" spans="1:6">
      <c r="A7" s="3" t="str">
        <f>VLOOKUP(B7,'SITE Fields'!A:A,1,FALSE)</f>
        <v>Site Type</v>
      </c>
      <c r="B7" s="3" t="s">
        <v>25</v>
      </c>
      <c r="C7" s="3" t="s">
        <v>227</v>
      </c>
      <c r="D7" s="3" t="s">
        <v>219</v>
      </c>
      <c r="E7" s="3" t="s">
        <v>226</v>
      </c>
      <c r="F7" s="3">
        <v>712</v>
      </c>
    </row>
    <row r="8" s="3" customFormat="1" spans="1:6">
      <c r="A8" s="3" t="str">
        <f>VLOOKUP(B8,'SITE Fields'!A:A,1,FALSE)</f>
        <v>Multi Mast Sites</v>
      </c>
      <c r="B8" s="3" t="s">
        <v>27</v>
      </c>
      <c r="C8" s="3" t="s">
        <v>228</v>
      </c>
      <c r="D8" s="3" t="s">
        <v>219</v>
      </c>
      <c r="E8" s="3" t="s">
        <v>229</v>
      </c>
      <c r="F8" s="3" t="s">
        <v>221</v>
      </c>
    </row>
    <row r="9" s="3" customFormat="1" spans="1:6">
      <c r="A9" s="3" t="str">
        <f>VLOOKUP(B9,'SITE Fields'!A:A,1,FALSE)</f>
        <v>Old ID</v>
      </c>
      <c r="B9" s="3" t="s">
        <v>29</v>
      </c>
      <c r="C9" s="3" t="s">
        <v>230</v>
      </c>
      <c r="D9" s="3" t="s">
        <v>219</v>
      </c>
      <c r="E9" s="3" t="s">
        <v>20</v>
      </c>
      <c r="F9" s="3" t="s">
        <v>221</v>
      </c>
    </row>
    <row r="10" s="3" customFormat="1" spans="1:6">
      <c r="A10" s="3" t="str">
        <f>VLOOKUP(B10,'SITE Fields'!A:A,1,FALSE)</f>
        <v>Height ASL (m)</v>
      </c>
      <c r="B10" s="3" t="s">
        <v>40</v>
      </c>
      <c r="C10" s="3" t="s">
        <v>231</v>
      </c>
      <c r="D10" s="3" t="s">
        <v>219</v>
      </c>
      <c r="E10" s="3" t="s">
        <v>232</v>
      </c>
      <c r="F10" s="3" t="s">
        <v>221</v>
      </c>
    </row>
    <row r="11" s="3" customFormat="1" spans="1:6">
      <c r="A11" s="3" t="str">
        <f>VLOOKUP(B11,'SITE Fields'!A:A,1,FALSE)</f>
        <v>Site Level</v>
      </c>
      <c r="B11" s="3" t="s">
        <v>43</v>
      </c>
      <c r="C11" s="3" t="s">
        <v>233</v>
      </c>
      <c r="D11" s="3" t="s">
        <v>219</v>
      </c>
      <c r="E11" s="3" t="s">
        <v>226</v>
      </c>
      <c r="F11" s="3">
        <v>713</v>
      </c>
    </row>
    <row r="12" s="3" customFormat="1" spans="1:6">
      <c r="A12" s="3" t="str">
        <f>VLOOKUP(B12,'SITE Fields'!A:A,1,FALSE)</f>
        <v>Portfolio</v>
      </c>
      <c r="B12" s="3" t="s">
        <v>45</v>
      </c>
      <c r="C12" s="3" t="s">
        <v>234</v>
      </c>
      <c r="D12" s="3" t="s">
        <v>219</v>
      </c>
      <c r="E12" s="3" t="s">
        <v>226</v>
      </c>
      <c r="F12" s="3">
        <v>714</v>
      </c>
    </row>
    <row r="13" s="3" customFormat="1" spans="1:6">
      <c r="A13" s="3" t="str">
        <f>VLOOKUP(B13,'SITE Fields'!A:A,1,FALSE)</f>
        <v>SRF Status</v>
      </c>
      <c r="B13" s="3" t="s">
        <v>48</v>
      </c>
      <c r="C13" s="3" t="s">
        <v>235</v>
      </c>
      <c r="D13" s="3" t="s">
        <v>219</v>
      </c>
      <c r="E13" s="3" t="s">
        <v>226</v>
      </c>
      <c r="F13" s="3">
        <v>697</v>
      </c>
    </row>
    <row r="14" s="3" customFormat="1" spans="1:6">
      <c r="A14" s="3" t="str">
        <f>VLOOKUP(B14,'SITE Fields'!A:A,1,FALSE)</f>
        <v>SAF Status</v>
      </c>
      <c r="B14" s="3" t="s">
        <v>54</v>
      </c>
      <c r="C14" s="3" t="s">
        <v>236</v>
      </c>
      <c r="D14" s="3" t="s">
        <v>219</v>
      </c>
      <c r="E14" s="3" t="s">
        <v>226</v>
      </c>
      <c r="F14" s="3">
        <v>698</v>
      </c>
    </row>
    <row r="15" s="3" customFormat="1" spans="1:6">
      <c r="A15" s="3" t="str">
        <f>VLOOKUP(B15,'SITE Fields'!A:A,1,FALSE)</f>
        <v>Public</v>
      </c>
      <c r="B15" s="3" t="s">
        <v>57</v>
      </c>
      <c r="C15" s="3" t="s">
        <v>237</v>
      </c>
      <c r="D15" s="3" t="s">
        <v>219</v>
      </c>
      <c r="E15" s="3" t="s">
        <v>226</v>
      </c>
      <c r="F15" s="3">
        <v>684</v>
      </c>
    </row>
    <row r="16" s="3" customFormat="1" spans="1:6">
      <c r="A16" s="3" t="str">
        <f>VLOOKUP(B16,'SITE Fields'!A:A,1,FALSE)</f>
        <v>BTS Status</v>
      </c>
      <c r="B16" s="3" t="s">
        <v>59</v>
      </c>
      <c r="C16" s="3" t="s">
        <v>238</v>
      </c>
      <c r="D16" s="3" t="s">
        <v>219</v>
      </c>
      <c r="E16" s="3" t="s">
        <v>226</v>
      </c>
      <c r="F16" s="3">
        <v>715</v>
      </c>
    </row>
    <row r="17" s="3" customFormat="1" spans="1:6">
      <c r="A17" s="3" t="str">
        <f>VLOOKUP(B17,'SITE Fields'!A:A,1,FALSE)</f>
        <v>Address</v>
      </c>
      <c r="B17" s="3" t="s">
        <v>61</v>
      </c>
      <c r="C17" s="3" t="s">
        <v>239</v>
      </c>
      <c r="D17" s="3" t="s">
        <v>219</v>
      </c>
      <c r="E17" s="3" t="s">
        <v>20</v>
      </c>
      <c r="F17" s="3" t="s">
        <v>221</v>
      </c>
    </row>
    <row r="18" s="3" customFormat="1" spans="1:6">
      <c r="A18" s="3" t="str">
        <f>VLOOKUP(B18,'SITE Fields'!A:A,1,FALSE)</f>
        <v>Easting</v>
      </c>
      <c r="B18" s="3" t="s">
        <v>69</v>
      </c>
      <c r="C18" s="3" t="s">
        <v>240</v>
      </c>
      <c r="D18" s="3" t="s">
        <v>219</v>
      </c>
      <c r="E18" s="3" t="s">
        <v>232</v>
      </c>
      <c r="F18" s="3" t="s">
        <v>221</v>
      </c>
    </row>
    <row r="19" s="3" customFormat="1" spans="1:6">
      <c r="A19" s="3" t="str">
        <f>VLOOKUP(B19,'SITE Fields'!A:A,1,FALSE)</f>
        <v>Northing</v>
      </c>
      <c r="B19" s="3" t="s">
        <v>72</v>
      </c>
      <c r="C19" s="3" t="s">
        <v>241</v>
      </c>
      <c r="D19" s="3" t="s">
        <v>219</v>
      </c>
      <c r="E19" s="3" t="s">
        <v>232</v>
      </c>
      <c r="F19" s="3" t="s">
        <v>221</v>
      </c>
    </row>
    <row r="20" s="3" customFormat="1" spans="1:6">
      <c r="A20" s="3" t="str">
        <f>VLOOKUP(B20,'SITE Fields'!A:A,1,FALSE)</f>
        <v>Longitude</v>
      </c>
      <c r="B20" s="3" t="s">
        <v>73</v>
      </c>
      <c r="C20" s="3" t="s">
        <v>242</v>
      </c>
      <c r="D20" s="3" t="s">
        <v>219</v>
      </c>
      <c r="E20" s="3" t="s">
        <v>232</v>
      </c>
      <c r="F20" s="3" t="s">
        <v>221</v>
      </c>
    </row>
    <row r="21" s="3" customFormat="1" spans="1:6">
      <c r="A21" s="3" t="str">
        <f>VLOOKUP(B21,'SITE Fields'!A:A,1,FALSE)</f>
        <v>Latitude</v>
      </c>
      <c r="B21" s="3" t="s">
        <v>75</v>
      </c>
      <c r="C21" s="3" t="s">
        <v>243</v>
      </c>
      <c r="D21" s="3" t="s">
        <v>219</v>
      </c>
      <c r="E21" s="3" t="s">
        <v>232</v>
      </c>
      <c r="F21" s="3" t="s">
        <v>221</v>
      </c>
    </row>
    <row r="22" s="3" customFormat="1" spans="1:6">
      <c r="A22" s="3" t="str">
        <f>VLOOKUP(B22,'SITE Fields'!A:A,1,FALSE)</f>
        <v>SAF Auto Approve</v>
      </c>
      <c r="B22" s="3" t="s">
        <v>76</v>
      </c>
      <c r="C22" s="3" t="s">
        <v>244</v>
      </c>
      <c r="D22" s="3" t="s">
        <v>219</v>
      </c>
      <c r="E22" s="3" t="s">
        <v>229</v>
      </c>
      <c r="F22" s="3" t="s">
        <v>221</v>
      </c>
    </row>
    <row r="23" s="3" customFormat="1" spans="1:6">
      <c r="A23" s="3" t="str">
        <f>VLOOKUP(B23,'SITE Fields'!A:A,1,FALSE)</f>
        <v>Track Type</v>
      </c>
      <c r="B23" s="3" t="s">
        <v>79</v>
      </c>
      <c r="C23" s="3" t="s">
        <v>245</v>
      </c>
      <c r="D23" s="3" t="s">
        <v>219</v>
      </c>
      <c r="E23" s="3" t="s">
        <v>226</v>
      </c>
      <c r="F23" s="3">
        <v>716</v>
      </c>
    </row>
    <row r="24" s="3" customFormat="1" spans="1:6">
      <c r="A24" s="3" t="str">
        <f>VLOOKUP(B24,'SITE Fields'!A:A,1,FALSE)</f>
        <v>Easting (Access)</v>
      </c>
      <c r="B24" s="3" t="s">
        <v>81</v>
      </c>
      <c r="C24" s="3" t="s">
        <v>246</v>
      </c>
      <c r="D24" s="3" t="s">
        <v>219</v>
      </c>
      <c r="E24" s="3" t="s">
        <v>232</v>
      </c>
      <c r="F24" s="3" t="s">
        <v>221</v>
      </c>
    </row>
    <row r="25" s="3" customFormat="1" spans="1:6">
      <c r="A25" s="3" t="str">
        <f>VLOOKUP(B25,'SITE Fields'!A:A,1,FALSE)</f>
        <v>Northing (Access)</v>
      </c>
      <c r="B25" s="3" t="s">
        <v>82</v>
      </c>
      <c r="C25" s="3" t="s">
        <v>247</v>
      </c>
      <c r="D25" s="3" t="s">
        <v>219</v>
      </c>
      <c r="E25" s="3" t="s">
        <v>232</v>
      </c>
      <c r="F25" s="3" t="s">
        <v>221</v>
      </c>
    </row>
    <row r="26" s="3" customFormat="1" spans="1:6">
      <c r="A26" s="3" t="str">
        <f>VLOOKUP(B26,'SITE Fields'!A:A,1,FALSE)</f>
        <v>Longitude (Access)</v>
      </c>
      <c r="B26" s="3" t="s">
        <v>83</v>
      </c>
      <c r="C26" s="3" t="s">
        <v>248</v>
      </c>
      <c r="D26" s="3" t="s">
        <v>219</v>
      </c>
      <c r="E26" s="3" t="s">
        <v>232</v>
      </c>
      <c r="F26" s="3" t="s">
        <v>221</v>
      </c>
    </row>
    <row r="27" s="3" customFormat="1" spans="1:6">
      <c r="A27" s="3" t="str">
        <f>VLOOKUP(B27,'SITE Fields'!A:A,1,FALSE)</f>
        <v>Latitude (Access)</v>
      </c>
      <c r="B27" s="3" t="s">
        <v>84</v>
      </c>
      <c r="C27" s="3" t="s">
        <v>249</v>
      </c>
      <c r="D27" s="3" t="s">
        <v>219</v>
      </c>
      <c r="E27" s="3" t="s">
        <v>232</v>
      </c>
      <c r="F27" s="3" t="s">
        <v>221</v>
      </c>
    </row>
    <row r="28" s="3" customFormat="1" spans="1:6">
      <c r="A28" s="3" t="str">
        <f>VLOOKUP(B28,'SITE Fields'!A:A,1,FALSE)</f>
        <v>Directions</v>
      </c>
      <c r="B28" s="3" t="s">
        <v>86</v>
      </c>
      <c r="C28" s="3" t="s">
        <v>250</v>
      </c>
      <c r="D28" s="3" t="s">
        <v>219</v>
      </c>
      <c r="E28" s="3" t="s">
        <v>251</v>
      </c>
      <c r="F28" s="3" t="s">
        <v>221</v>
      </c>
    </row>
    <row r="29" s="3" customFormat="1" spans="1:6">
      <c r="A29" s="3" t="str">
        <f>VLOOKUP(B29,'SITE Fields'!A:A,1,FALSE)</f>
        <v>Instructions</v>
      </c>
      <c r="B29" s="3" t="s">
        <v>88</v>
      </c>
      <c r="C29" s="3" t="s">
        <v>252</v>
      </c>
      <c r="D29" s="3" t="s">
        <v>219</v>
      </c>
      <c r="E29" s="3" t="s">
        <v>251</v>
      </c>
      <c r="F29" s="3" t="s">
        <v>221</v>
      </c>
    </row>
    <row r="30" s="3" customFormat="1" spans="1:6">
      <c r="A30" s="3" t="str">
        <f>VLOOKUP(B30,'SITE Fields'!A:A,1,FALSE)</f>
        <v>Tenant Card Required</v>
      </c>
      <c r="B30" s="3" t="s">
        <v>89</v>
      </c>
      <c r="C30" s="3" t="s">
        <v>253</v>
      </c>
      <c r="D30" s="3" t="s">
        <v>219</v>
      </c>
      <c r="E30" s="3" t="s">
        <v>229</v>
      </c>
      <c r="F30" s="3" t="s">
        <v>221</v>
      </c>
    </row>
    <row r="31" s="3" customFormat="1" spans="1:6">
      <c r="A31" s="3" t="str">
        <f>VLOOKUP(B31,'SITE Fields'!A:A,1,FALSE)</f>
        <v>4x4 Required</v>
      </c>
      <c r="B31" s="3" t="s">
        <v>90</v>
      </c>
      <c r="C31" s="3" t="s">
        <v>254</v>
      </c>
      <c r="D31" s="3" t="s">
        <v>219</v>
      </c>
      <c r="E31" s="3" t="s">
        <v>229</v>
      </c>
      <c r="F31" s="3" t="s">
        <v>221</v>
      </c>
    </row>
    <row r="32" s="3" customFormat="1" spans="1:6">
      <c r="A32" s="3" t="str">
        <f>VLOOKUP(B32,'SITE Fields'!A:A,1,FALSE)</f>
        <v>Parking Restrictions</v>
      </c>
      <c r="B32" s="3" t="s">
        <v>91</v>
      </c>
      <c r="C32" s="3" t="s">
        <v>255</v>
      </c>
      <c r="D32" s="3" t="s">
        <v>219</v>
      </c>
      <c r="E32" s="3" t="s">
        <v>20</v>
      </c>
      <c r="F32" s="3" t="s">
        <v>221</v>
      </c>
    </row>
    <row r="33" s="3" customFormat="1" spans="1:6">
      <c r="A33" s="3" t="str">
        <f>VLOOKUP(B33,'SITE Fields'!A:A,1,FALSE)</f>
        <v>Crane/Mewp Access</v>
      </c>
      <c r="B33" s="3" t="s">
        <v>92</v>
      </c>
      <c r="C33" s="3" t="s">
        <v>256</v>
      </c>
      <c r="D33" s="3" t="s">
        <v>219</v>
      </c>
      <c r="E33" s="3" t="s">
        <v>229</v>
      </c>
      <c r="F33" s="3" t="s">
        <v>221</v>
      </c>
    </row>
    <row r="34" s="3" customFormat="1" spans="1:6">
      <c r="A34" s="3" t="str">
        <f>VLOOKUP(B34,'SITE Fields'!A:A,1,FALSE)</f>
        <v>Safety / Special Notes</v>
      </c>
      <c r="B34" s="3" t="s">
        <v>99</v>
      </c>
      <c r="C34" s="3" t="s">
        <v>257</v>
      </c>
      <c r="D34" s="3" t="s">
        <v>219</v>
      </c>
      <c r="E34" s="3" t="s">
        <v>251</v>
      </c>
      <c r="F34" s="3" t="s">
        <v>221</v>
      </c>
    </row>
    <row r="35" s="3" customFormat="1" spans="1:6">
      <c r="A35" s="3" t="str">
        <f>VLOOKUP(B35,'SITE Fields'!A:A,1,FALSE)</f>
        <v>Full Demised Area Fenced</v>
      </c>
      <c r="B35" s="3" t="s">
        <v>115</v>
      </c>
      <c r="C35" s="3" t="s">
        <v>258</v>
      </c>
      <c r="D35" s="3" t="s">
        <v>219</v>
      </c>
      <c r="E35" s="3" t="s">
        <v>229</v>
      </c>
      <c r="F35" s="3" t="s">
        <v>221</v>
      </c>
    </row>
    <row r="36" s="3" customFormat="1" spans="1:6">
      <c r="A36" s="3" t="str">
        <f>VLOOKUP(B36,'SITE Fields'!A:A,1,FALSE)</f>
        <v>Adjacent Ground Space</v>
      </c>
      <c r="B36" s="3" t="s">
        <v>117</v>
      </c>
      <c r="C36" s="3" t="s">
        <v>259</v>
      </c>
      <c r="D36" s="3" t="s">
        <v>219</v>
      </c>
      <c r="E36" s="3" t="s">
        <v>229</v>
      </c>
      <c r="F36" s="3" t="s">
        <v>221</v>
      </c>
    </row>
    <row r="37" s="3" customFormat="1" spans="1:6">
      <c r="A37" s="3" t="str">
        <f>VLOOKUP(B37,'SITE Fields'!A:A,1,FALSE)</f>
        <v>Adjacent Ground Owner</v>
      </c>
      <c r="B37" s="3" t="s">
        <v>118</v>
      </c>
      <c r="C37" s="3" t="s">
        <v>260</v>
      </c>
      <c r="D37" s="3" t="s">
        <v>219</v>
      </c>
      <c r="E37" s="3" t="s">
        <v>20</v>
      </c>
      <c r="F37" s="3" t="s">
        <v>221</v>
      </c>
    </row>
    <row r="38" s="3" customFormat="1" spans="1:6">
      <c r="A38" s="3" t="str">
        <f>VLOOKUP(B38,'SITE Fields'!A:A,1,FALSE)</f>
        <v>Perimeter Type</v>
      </c>
      <c r="B38" s="3" t="s">
        <v>119</v>
      </c>
      <c r="C38" s="3" t="s">
        <v>261</v>
      </c>
      <c r="D38" s="3" t="s">
        <v>219</v>
      </c>
      <c r="E38" s="3" t="s">
        <v>226</v>
      </c>
      <c r="F38" s="3">
        <v>717</v>
      </c>
    </row>
    <row r="39" s="3" customFormat="1" spans="1:6">
      <c r="A39" s="3" t="str">
        <f>VLOOKUP(B39,'SITE Fields'!A:A,1,FALSE)</f>
        <v>Fence Height (m)</v>
      </c>
      <c r="B39" s="3" t="s">
        <v>121</v>
      </c>
      <c r="C39" s="3" t="s">
        <v>262</v>
      </c>
      <c r="D39" s="3" t="s">
        <v>219</v>
      </c>
      <c r="E39" s="3" t="s">
        <v>220</v>
      </c>
      <c r="F39" s="3" t="s">
        <v>221</v>
      </c>
    </row>
    <row r="40" s="3" customFormat="1" spans="1:6">
      <c r="A40" s="3" t="str">
        <f>VLOOKUP(B40,'SITE Fields'!A:A,1,FALSE)</f>
        <v>Independent Power Supplies</v>
      </c>
      <c r="B40" s="3" t="s">
        <v>122</v>
      </c>
      <c r="C40" s="3" t="s">
        <v>263</v>
      </c>
      <c r="D40" s="3" t="s">
        <v>219</v>
      </c>
      <c r="E40" s="3" t="s">
        <v>220</v>
      </c>
      <c r="F40" s="3" t="s">
        <v>221</v>
      </c>
    </row>
    <row r="41" s="3" customFormat="1" spans="1:6">
      <c r="A41" s="3" t="str">
        <f>VLOOKUP(B41,'SITE Fields'!A:A,1,FALSE)</f>
        <v>Next Generator Service</v>
      </c>
      <c r="B41" s="3" t="s">
        <v>134</v>
      </c>
      <c r="C41" s="3" t="s">
        <v>264</v>
      </c>
      <c r="D41" s="3" t="s">
        <v>219</v>
      </c>
      <c r="E41" s="3" t="s">
        <v>137</v>
      </c>
      <c r="F41" s="3" t="s">
        <v>221</v>
      </c>
    </row>
    <row r="42" s="3" customFormat="1" spans="1:6">
      <c r="A42" s="3" t="str">
        <f>VLOOKUP(B42,'SITE Fields'!A:A,1,FALSE)</f>
        <v>Next Earth &amp; LP Test</v>
      </c>
      <c r="B42" s="3" t="s">
        <v>139</v>
      </c>
      <c r="C42" s="3" t="s">
        <v>265</v>
      </c>
      <c r="D42" s="3" t="s">
        <v>219</v>
      </c>
      <c r="E42" s="3" t="s">
        <v>137</v>
      </c>
      <c r="F42" s="3" t="s">
        <v>221</v>
      </c>
    </row>
    <row r="43" s="3" customFormat="1" spans="1:6">
      <c r="A43" s="3" t="str">
        <f>VLOOKUP(B43,'SITE Fields'!A:A,1,FALSE)</f>
        <v>Next Structure Inspection Date</v>
      </c>
      <c r="B43" s="3" t="s">
        <v>143</v>
      </c>
      <c r="C43" s="3" t="s">
        <v>266</v>
      </c>
      <c r="D43" s="3" t="s">
        <v>219</v>
      </c>
      <c r="E43" s="3" t="s">
        <v>137</v>
      </c>
      <c r="F43" s="3" t="s">
        <v>221</v>
      </c>
    </row>
    <row r="44" s="3" customFormat="1" spans="1:6">
      <c r="A44" s="3" t="str">
        <f>VLOOKUP(B44,'SITE Fields'!A:A,1,FALSE)</f>
        <v>Next Fall Arrest Certification Date</v>
      </c>
      <c r="B44" s="3" t="s">
        <v>147</v>
      </c>
      <c r="C44" s="3" t="s">
        <v>267</v>
      </c>
      <c r="D44" s="3" t="s">
        <v>219</v>
      </c>
      <c r="E44" s="3" t="s">
        <v>137</v>
      </c>
      <c r="F44" s="3" t="s">
        <v>221</v>
      </c>
    </row>
    <row r="45" s="3" customFormat="1" spans="1:6">
      <c r="A45" s="3" t="str">
        <f>VLOOKUP(B45,'SITE Fields'!A:A,1,FALSE)</f>
        <v>Next Tower Painting Date</v>
      </c>
      <c r="B45" s="3" t="s">
        <v>148</v>
      </c>
      <c r="C45" s="3" t="s">
        <v>268</v>
      </c>
      <c r="D45" s="3" t="s">
        <v>219</v>
      </c>
      <c r="E45" s="3" t="s">
        <v>137</v>
      </c>
      <c r="F45" s="3" t="s">
        <v>221</v>
      </c>
    </row>
    <row r="46" s="3" customFormat="1" spans="1:6">
      <c r="A46" s="3" t="str">
        <f>VLOOKUP(B46,'SITE Fields'!A:A,1,FALSE)</f>
        <v>Next Aircon Service Date</v>
      </c>
      <c r="B46" s="3" t="s">
        <v>152</v>
      </c>
      <c r="C46" s="3" t="s">
        <v>269</v>
      </c>
      <c r="D46" s="3" t="s">
        <v>219</v>
      </c>
      <c r="E46" s="3" t="s">
        <v>137</v>
      </c>
      <c r="F46" s="3" t="s">
        <v>221</v>
      </c>
    </row>
    <row r="47" s="3" customFormat="1" spans="1:6">
      <c r="A47" s="3" t="str">
        <f>VLOOKUP(B47,'SITE Fields'!A:A,1,FALSE)</f>
        <v>Next Fire Service Date</v>
      </c>
      <c r="B47" s="3" t="s">
        <v>155</v>
      </c>
      <c r="C47" s="3" t="s">
        <v>270</v>
      </c>
      <c r="D47" s="3" t="s">
        <v>219</v>
      </c>
      <c r="E47" s="3" t="s">
        <v>137</v>
      </c>
      <c r="F47" s="3" t="s">
        <v>221</v>
      </c>
    </row>
    <row r="48" s="3" customFormat="1" spans="1:6">
      <c r="A48" s="3" t="str">
        <f>VLOOKUP(B48,'SITE Fields'!A:A,1,FALSE)</f>
        <v>Next Alarm Service Date</v>
      </c>
      <c r="B48" s="3" t="s">
        <v>156</v>
      </c>
      <c r="C48" s="3" t="s">
        <v>271</v>
      </c>
      <c r="D48" s="3" t="s">
        <v>219</v>
      </c>
      <c r="E48" s="3" t="s">
        <v>137</v>
      </c>
      <c r="F48" s="3" t="s">
        <v>221</v>
      </c>
    </row>
    <row r="49" s="3" customFormat="1" spans="1:6">
      <c r="A49" s="3" t="str">
        <f>VLOOKUP(B49,'SITE Fields'!A:A,1,FALSE)</f>
        <v>Marketing Status</v>
      </c>
      <c r="B49" s="3" t="s">
        <v>160</v>
      </c>
      <c r="C49" s="3" t="s">
        <v>272</v>
      </c>
      <c r="D49" s="3" t="s">
        <v>219</v>
      </c>
      <c r="E49" s="3" t="s">
        <v>229</v>
      </c>
      <c r="F49" s="3" t="s">
        <v>221</v>
      </c>
    </row>
    <row r="50" s="3" customFormat="1" spans="1:6">
      <c r="A50" s="3" t="str">
        <f>VLOOKUP(B50,'SITE Fields'!A:A,1,FALSE)</f>
        <v>MNO Occupancy</v>
      </c>
      <c r="B50" s="3" t="s">
        <v>192</v>
      </c>
      <c r="C50" s="3" t="s">
        <v>273</v>
      </c>
      <c r="D50" s="3" t="s">
        <v>219</v>
      </c>
      <c r="E50" s="3" t="s">
        <v>220</v>
      </c>
      <c r="F50" s="3" t="s">
        <v>221</v>
      </c>
    </row>
    <row r="51" s="3" customFormat="1" spans="1:6">
      <c r="A51" s="3" t="str">
        <f>VLOOKUP(B51,'SITE Fields'!A:A,1,FALSE)</f>
        <v>Non-MNO Occupancy</v>
      </c>
      <c r="B51" s="3" t="s">
        <v>194</v>
      </c>
      <c r="C51" s="3" t="s">
        <v>274</v>
      </c>
      <c r="D51" s="3" t="s">
        <v>219</v>
      </c>
      <c r="E51" s="3" t="s">
        <v>220</v>
      </c>
      <c r="F51" s="3" t="s">
        <v>221</v>
      </c>
    </row>
    <row r="52" s="3" customFormat="1" spans="1:6">
      <c r="A52" s="3" t="str">
        <f>VLOOKUP(B52,'SITE Fields'!A:A,1,FALSE)</f>
        <v>Occupancy</v>
      </c>
      <c r="B52" s="3" t="s">
        <v>196</v>
      </c>
      <c r="C52" s="3" t="s">
        <v>275</v>
      </c>
      <c r="D52" s="3" t="s">
        <v>219</v>
      </c>
      <c r="E52" s="3" t="s">
        <v>220</v>
      </c>
      <c r="F52" s="3" t="s">
        <v>221</v>
      </c>
    </row>
    <row r="53" s="3" customFormat="1" spans="1:6">
      <c r="A53" s="3" t="str">
        <f>VLOOKUP(B53,'SITE Fields'!A:A,1,FALSE)</f>
        <v>What3Words</v>
      </c>
      <c r="B53" s="3" t="s">
        <v>67</v>
      </c>
      <c r="C53" s="3" t="s">
        <v>276</v>
      </c>
      <c r="D53" s="3" t="s">
        <v>219</v>
      </c>
      <c r="E53" s="3" t="s">
        <v>20</v>
      </c>
      <c r="F53" s="3" t="s">
        <v>221</v>
      </c>
    </row>
    <row r="54" s="3" customFormat="1" spans="1:6">
      <c r="A54" s="3" t="str">
        <f>VLOOKUP(B54,'SITE Fields'!A:A,1,FALSE)</f>
        <v>Access What3Words</v>
      </c>
      <c r="B54" s="3" t="s">
        <v>85</v>
      </c>
      <c r="C54" s="3" t="s">
        <v>277</v>
      </c>
      <c r="D54" s="3" t="s">
        <v>219</v>
      </c>
      <c r="E54" s="3" t="s">
        <v>20</v>
      </c>
      <c r="F54" s="3" t="s">
        <v>221</v>
      </c>
    </row>
    <row r="55" s="3" customFormat="1" spans="1:6">
      <c r="A55" s="3" t="str">
        <f>VLOOKUP(B55,'SITE Fields'!A:A,1,FALSE)</f>
        <v>Eircode</v>
      </c>
      <c r="B55" s="3" t="s">
        <v>64</v>
      </c>
      <c r="C55" s="3" t="s">
        <v>278</v>
      </c>
      <c r="D55" s="3" t="s">
        <v>219</v>
      </c>
      <c r="E55" s="3" t="s">
        <v>20</v>
      </c>
      <c r="F55" s="3" t="s">
        <v>221</v>
      </c>
    </row>
    <row r="56" s="3" customFormat="1" spans="1:6">
      <c r="A56" s="3" t="str">
        <f>VLOOKUP(B56,'SITE Fields'!A:A,1,FALSE)</f>
        <v>County</v>
      </c>
      <c r="B56" s="3" t="s">
        <v>68</v>
      </c>
      <c r="C56" s="3" t="s">
        <v>279</v>
      </c>
      <c r="D56" s="3" t="s">
        <v>219</v>
      </c>
      <c r="E56" s="3" t="s">
        <v>226</v>
      </c>
      <c r="F56" s="3">
        <v>-195</v>
      </c>
    </row>
    <row r="57" s="3" customFormat="1" spans="1:6">
      <c r="A57" s="3" t="e">
        <f>VLOOKUP(B57,'SITE Fields'!A:A,1,FALSE)</f>
        <v>#N/A</v>
      </c>
      <c r="B57" s="3" t="s">
        <v>280</v>
      </c>
      <c r="C57" s="3" t="s">
        <v>281</v>
      </c>
      <c r="D57" s="3" t="s">
        <v>219</v>
      </c>
      <c r="E57" s="3" t="s">
        <v>226</v>
      </c>
      <c r="F57" s="3">
        <v>740</v>
      </c>
    </row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3" customFormat="1"/>
    <row r="69" s="3" customFormat="1"/>
    <row r="70" s="3" customForma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8" tint="0.399975585192419"/>
  </sheetPr>
  <dimension ref="A1:M93"/>
  <sheetViews>
    <sheetView zoomScale="90" zoomScaleNormal="90" workbookViewId="0">
      <pane xSplit="1" ySplit="1" topLeftCell="B2" activePane="bottomRight" state="frozenSplit"/>
      <selection/>
      <selection pane="topRight"/>
      <selection pane="bottomLeft"/>
      <selection pane="bottomRight" activeCell="D39" sqref="D39"/>
    </sheetView>
  </sheetViews>
  <sheetFormatPr defaultColWidth="10.2857142857143" defaultRowHeight="15"/>
  <cols>
    <col min="1" max="1" width="44.7142857142857" style="3" customWidth="1"/>
    <col min="2" max="2" width="36.5714285714286" style="3" customWidth="1"/>
    <col min="3" max="3" width="17.2857142857143" style="3" customWidth="1"/>
    <col min="4" max="4" width="53.0571428571429" style="3" customWidth="1"/>
    <col min="5" max="5" width="13.1619047619048" style="3" customWidth="1"/>
    <col min="6" max="6" width="27.7142857142857" style="4" customWidth="1"/>
    <col min="7" max="7" width="16.7142857142857" style="4" customWidth="1"/>
    <col min="8" max="8" width="15.2857142857143" style="5" customWidth="1"/>
    <col min="9" max="9" width="36.7333333333333" style="4" customWidth="1"/>
    <col min="10" max="10" width="62.0380952380952" style="6" customWidth="1"/>
    <col min="11" max="11" width="66.1238095238095" style="6" customWidth="1"/>
    <col min="12" max="12" width="20.8952380952381" style="4" customWidth="1"/>
    <col min="13" max="13" width="30.8571428571429" style="5" customWidth="1"/>
    <col min="14" max="16384" width="10.447619047619" style="3"/>
  </cols>
  <sheetData>
    <row r="1" s="25" customFormat="1" ht="47.25" customHeight="1" spans="1:13">
      <c r="A1" s="21" t="s">
        <v>282</v>
      </c>
      <c r="B1" s="8" t="s">
        <v>1</v>
      </c>
      <c r="C1" s="8" t="s">
        <v>2</v>
      </c>
      <c r="D1" s="8" t="s">
        <v>3</v>
      </c>
      <c r="E1" s="8"/>
      <c r="F1" s="10" t="s">
        <v>283</v>
      </c>
      <c r="G1" s="10" t="s">
        <v>5</v>
      </c>
      <c r="H1" s="10" t="s">
        <v>284</v>
      </c>
      <c r="I1" s="10" t="s">
        <v>7</v>
      </c>
      <c r="J1" s="21" t="s">
        <v>8</v>
      </c>
      <c r="K1" s="21" t="s">
        <v>285</v>
      </c>
      <c r="L1" s="10" t="s">
        <v>286</v>
      </c>
      <c r="M1" s="10" t="s">
        <v>287</v>
      </c>
    </row>
    <row r="2" hidden="1" spans="1:13">
      <c r="A2" s="11" t="s">
        <v>288</v>
      </c>
      <c r="B2" s="11" t="str">
        <f>VLOOKUP(A2,'INFRASTRUCTURE Fields NS'!B:F,1,FALSE)</f>
        <v>Site</v>
      </c>
      <c r="C2" s="11" t="str">
        <f>VLOOKUP(A2,'INFRASTRUCTURE Fields NS'!B:F,3,FALSE)</f>
        <v>List/Record</v>
      </c>
      <c r="D2" s="11"/>
      <c r="E2" s="11"/>
      <c r="F2" s="12" t="s">
        <v>18</v>
      </c>
      <c r="G2" s="12" t="s">
        <v>33</v>
      </c>
      <c r="H2" s="12" t="s">
        <v>52</v>
      </c>
      <c r="I2" s="13" t="s">
        <v>289</v>
      </c>
      <c r="J2" s="22" t="s">
        <v>18</v>
      </c>
      <c r="K2" s="22" t="s">
        <v>290</v>
      </c>
      <c r="L2" s="12">
        <v>1</v>
      </c>
      <c r="M2" s="14" t="s">
        <v>291</v>
      </c>
    </row>
    <row r="3" hidden="1" spans="1:13">
      <c r="A3" s="11" t="s">
        <v>292</v>
      </c>
      <c r="B3" s="11" t="str">
        <f>VLOOKUP(A3,'INFRASTRUCTURE Fields NS'!B:F,1,FALSE)</f>
        <v>Infrastructure Type</v>
      </c>
      <c r="C3" s="11" t="str">
        <f>VLOOKUP(A3,'INFRASTRUCTURE Fields NS'!B:F,3,FALSE)</f>
        <v>List/Record</v>
      </c>
      <c r="D3" s="11"/>
      <c r="E3" s="11"/>
      <c r="F3" s="12"/>
      <c r="G3" s="12" t="s">
        <v>33</v>
      </c>
      <c r="H3" s="12" t="s">
        <v>52</v>
      </c>
      <c r="I3" s="14" t="s">
        <v>23</v>
      </c>
      <c r="J3" s="22" t="s">
        <v>293</v>
      </c>
      <c r="K3" s="22" t="s">
        <v>66</v>
      </c>
      <c r="L3" s="12">
        <v>2</v>
      </c>
      <c r="M3" s="14" t="s">
        <v>291</v>
      </c>
    </row>
    <row r="4" hidden="1" spans="1:13">
      <c r="A4" s="11" t="s">
        <v>294</v>
      </c>
      <c r="B4" s="11" t="str">
        <f>VLOOKUP(A4,'INFRASTRUCTURE Fields NS'!B:F,1,FALSE)</f>
        <v>Infrastructure ID</v>
      </c>
      <c r="C4" s="11" t="str">
        <f>VLOOKUP(A4,'INFRASTRUCTURE Fields NS'!B:F,3,FALSE)</f>
        <v>Free-Form Text</v>
      </c>
      <c r="D4" s="11"/>
      <c r="E4" s="11"/>
      <c r="F4" s="12" t="s">
        <v>50</v>
      </c>
      <c r="G4" s="12" t="s">
        <v>33</v>
      </c>
      <c r="H4" s="12" t="s">
        <v>52</v>
      </c>
      <c r="I4" s="12" t="s">
        <v>20</v>
      </c>
      <c r="J4" s="22" t="s">
        <v>18</v>
      </c>
      <c r="K4" s="22" t="s">
        <v>295</v>
      </c>
      <c r="L4" s="12">
        <v>3</v>
      </c>
      <c r="M4" s="14" t="s">
        <v>291</v>
      </c>
    </row>
    <row r="5" hidden="1" spans="1:13">
      <c r="A5" s="11" t="s">
        <v>296</v>
      </c>
      <c r="B5" s="11" t="str">
        <f>VLOOKUP(A5,'INFRASTRUCTURE Fields NS'!B:F,1,FALSE)</f>
        <v>Legacy ID</v>
      </c>
      <c r="C5" s="11" t="str">
        <f>VLOOKUP(A5,'INFRASTRUCTURE Fields NS'!B:F,3,FALSE)</f>
        <v>Free-Form Text</v>
      </c>
      <c r="D5" s="11"/>
      <c r="E5" s="11"/>
      <c r="F5" s="12" t="s">
        <v>50</v>
      </c>
      <c r="G5" s="12" t="s">
        <v>33</v>
      </c>
      <c r="H5" s="12" t="s">
        <v>52</v>
      </c>
      <c r="I5" s="12" t="s">
        <v>20</v>
      </c>
      <c r="J5" s="22" t="s">
        <v>18</v>
      </c>
      <c r="K5" s="22"/>
      <c r="L5" s="12">
        <v>4</v>
      </c>
      <c r="M5" s="14" t="s">
        <v>51</v>
      </c>
    </row>
    <row r="6" hidden="1" spans="1:13">
      <c r="A6" s="11" t="s">
        <v>297</v>
      </c>
      <c r="B6" s="11" t="str">
        <f>VLOOKUP(A6,'INFRASTRUCTURE Fields NS'!B:F,1,FALSE)</f>
        <v>Status</v>
      </c>
      <c r="C6" s="11" t="str">
        <f>VLOOKUP(A6,'INFRASTRUCTURE Fields NS'!B:F,3,FALSE)</f>
        <v>List/Record</v>
      </c>
      <c r="D6" s="11"/>
      <c r="E6" s="11"/>
      <c r="F6" s="12" t="s">
        <v>50</v>
      </c>
      <c r="G6" s="12" t="s">
        <v>33</v>
      </c>
      <c r="H6" s="12" t="s">
        <v>52</v>
      </c>
      <c r="I6" s="14" t="s">
        <v>23</v>
      </c>
      <c r="J6" s="22" t="s">
        <v>298</v>
      </c>
      <c r="K6" s="22"/>
      <c r="L6" s="12">
        <v>6</v>
      </c>
      <c r="M6" s="14" t="s">
        <v>291</v>
      </c>
    </row>
    <row r="7" hidden="1" spans="1:13">
      <c r="A7" s="11" t="s">
        <v>48</v>
      </c>
      <c r="B7" s="11" t="str">
        <f>VLOOKUP(A7,'INFRASTRUCTURE Fields NS'!B:F,1,FALSE)</f>
        <v>SRF Status</v>
      </c>
      <c r="C7" s="11" t="str">
        <f>VLOOKUP(A7,'INFRASTRUCTURE Fields NS'!B:F,3,FALSE)</f>
        <v>List/Record</v>
      </c>
      <c r="D7" s="11"/>
      <c r="E7" s="11" t="s">
        <v>49</v>
      </c>
      <c r="F7" s="12" t="s">
        <v>50</v>
      </c>
      <c r="G7" s="12" t="s">
        <v>33</v>
      </c>
      <c r="H7" s="12" t="s">
        <v>52</v>
      </c>
      <c r="I7" s="14" t="s">
        <v>23</v>
      </c>
      <c r="J7" s="22" t="s">
        <v>53</v>
      </c>
      <c r="K7" s="22"/>
      <c r="L7" s="12">
        <v>11</v>
      </c>
      <c r="M7" s="14" t="s">
        <v>299</v>
      </c>
    </row>
    <row r="8" ht="30" hidden="1" spans="1:13">
      <c r="A8" s="11" t="s">
        <v>54</v>
      </c>
      <c r="B8" s="11" t="str">
        <f>VLOOKUP(A8,'INFRASTRUCTURE Fields NS'!B:F,1,FALSE)</f>
        <v>SAF Status</v>
      </c>
      <c r="C8" s="11" t="str">
        <f>VLOOKUP(A8,'INFRASTRUCTURE Fields NS'!B:F,3,FALSE)</f>
        <v>List/Record</v>
      </c>
      <c r="D8" s="11"/>
      <c r="E8" s="11" t="s">
        <v>55</v>
      </c>
      <c r="F8" s="12" t="s">
        <v>50</v>
      </c>
      <c r="G8" s="12" t="s">
        <v>33</v>
      </c>
      <c r="H8" s="12" t="s">
        <v>52</v>
      </c>
      <c r="I8" s="14" t="s">
        <v>23</v>
      </c>
      <c r="J8" s="22" t="s">
        <v>56</v>
      </c>
      <c r="K8" s="22"/>
      <c r="L8" s="12">
        <v>12</v>
      </c>
      <c r="M8" s="14" t="s">
        <v>299</v>
      </c>
    </row>
    <row r="9" ht="30" hidden="1" spans="1:13">
      <c r="A9" s="11" t="s">
        <v>76</v>
      </c>
      <c r="B9" s="11" t="str">
        <f>VLOOKUP(A9,'INFRASTRUCTURE Fields NS'!B:F,1,FALSE)</f>
        <v>SAF Auto Approve</v>
      </c>
      <c r="C9" s="11" t="str">
        <f>VLOOKUP(A9,'INFRASTRUCTURE Fields NS'!B:F,3,FALSE)</f>
        <v>Check Box</v>
      </c>
      <c r="D9" s="11"/>
      <c r="E9" s="11"/>
      <c r="F9" s="12" t="s">
        <v>11</v>
      </c>
      <c r="G9" s="12" t="s">
        <v>33</v>
      </c>
      <c r="H9" s="12" t="s">
        <v>52</v>
      </c>
      <c r="I9" s="12" t="s">
        <v>23</v>
      </c>
      <c r="J9" s="22" t="s">
        <v>78</v>
      </c>
      <c r="K9" s="22" t="s">
        <v>300</v>
      </c>
      <c r="L9" s="12">
        <v>20</v>
      </c>
      <c r="M9" s="14" t="s">
        <v>299</v>
      </c>
    </row>
    <row r="10" ht="45" hidden="1" spans="1:13">
      <c r="A10" s="11" t="s">
        <v>301</v>
      </c>
      <c r="B10" s="11" t="str">
        <f>VLOOKUP(A10,'INFRASTRUCTURE Fields NS'!B:F,1,FALSE)</f>
        <v>Schedule</v>
      </c>
      <c r="C10" s="11" t="str">
        <f>VLOOKUP(A10,'INFRASTRUCTURE Fields NS'!B:F,3,FALSE)</f>
        <v>List/Record</v>
      </c>
      <c r="D10" s="11"/>
      <c r="E10" s="11"/>
      <c r="F10" s="12" t="s">
        <v>50</v>
      </c>
      <c r="G10" s="12" t="s">
        <v>33</v>
      </c>
      <c r="H10" s="12" t="s">
        <v>52</v>
      </c>
      <c r="I10" s="14" t="s">
        <v>23</v>
      </c>
      <c r="J10" s="22" t="s">
        <v>302</v>
      </c>
      <c r="K10" s="22"/>
      <c r="L10" s="12">
        <v>5</v>
      </c>
      <c r="M10" s="14" t="s">
        <v>51</v>
      </c>
    </row>
    <row r="11" hidden="1" spans="1:13">
      <c r="A11" s="11" t="s">
        <v>303</v>
      </c>
      <c r="B11" s="11" t="str">
        <f>VLOOKUP(A11,'INFRASTRUCTURE Fields NS'!B:F,1,FALSE)</f>
        <v>Infrastructure Ownership</v>
      </c>
      <c r="C11" s="11" t="str">
        <f>VLOOKUP(A11,'INFRASTRUCTURE Fields NS'!B:F,3,FALSE)</f>
        <v>List/Record</v>
      </c>
      <c r="D11" s="11"/>
      <c r="E11" s="11"/>
      <c r="F11" s="12" t="s">
        <v>50</v>
      </c>
      <c r="G11" s="12" t="s">
        <v>33</v>
      </c>
      <c r="H11" s="12" t="s">
        <v>52</v>
      </c>
      <c r="I11" s="13" t="s">
        <v>209</v>
      </c>
      <c r="J11" s="22" t="s">
        <v>18</v>
      </c>
      <c r="K11" s="22" t="s">
        <v>304</v>
      </c>
      <c r="L11" s="12">
        <v>7</v>
      </c>
      <c r="M11" s="14" t="s">
        <v>291</v>
      </c>
    </row>
    <row r="12" hidden="1" spans="1:13">
      <c r="A12" s="11" t="s">
        <v>305</v>
      </c>
      <c r="B12" s="11" t="str">
        <f>VLOOKUP(A12,'INFRASTRUCTURE Fields NS'!B:F,1,FALSE)</f>
        <v>O&amp;M Ownership</v>
      </c>
      <c r="C12" s="11" t="str">
        <f>VLOOKUP(A12,'INFRASTRUCTURE Fields NS'!B:F,3,FALSE)</f>
        <v>List/Record</v>
      </c>
      <c r="D12" s="11"/>
      <c r="E12" s="11"/>
      <c r="F12" s="12" t="s">
        <v>50</v>
      </c>
      <c r="G12" s="12" t="s">
        <v>33</v>
      </c>
      <c r="H12" s="12" t="s">
        <v>52</v>
      </c>
      <c r="I12" s="13" t="s">
        <v>209</v>
      </c>
      <c r="J12" s="22" t="s">
        <v>18</v>
      </c>
      <c r="K12" s="22" t="s">
        <v>304</v>
      </c>
      <c r="L12" s="12">
        <v>8</v>
      </c>
      <c r="M12" s="14" t="s">
        <v>291</v>
      </c>
    </row>
    <row r="13" hidden="1" spans="1:13">
      <c r="A13" s="11" t="s">
        <v>306</v>
      </c>
      <c r="B13" s="11" t="str">
        <f>VLOOKUP(A13,'INFRASTRUCTURE Fields NS'!B:F,1,FALSE)</f>
        <v>Insurance Ownership</v>
      </c>
      <c r="C13" s="11" t="str">
        <f>VLOOKUP(A13,'INFRASTRUCTURE Fields NS'!B:F,3,FALSE)</f>
        <v>List/Record</v>
      </c>
      <c r="D13" s="11"/>
      <c r="E13" s="11"/>
      <c r="F13" s="12" t="s">
        <v>50</v>
      </c>
      <c r="G13" s="12" t="s">
        <v>33</v>
      </c>
      <c r="H13" s="12" t="s">
        <v>52</v>
      </c>
      <c r="I13" s="13" t="s">
        <v>209</v>
      </c>
      <c r="J13" s="22" t="s">
        <v>18</v>
      </c>
      <c r="K13" s="22" t="s">
        <v>304</v>
      </c>
      <c r="L13" s="12">
        <v>9</v>
      </c>
      <c r="M13" s="14" t="s">
        <v>291</v>
      </c>
    </row>
    <row r="14" hidden="1" spans="1:13">
      <c r="A14" s="11" t="s">
        <v>160</v>
      </c>
      <c r="B14" s="11" t="str">
        <f>VLOOKUP(A14,'INFRASTRUCTURE Fields NS'!B:F,1,FALSE)</f>
        <v>Marketing Status</v>
      </c>
      <c r="C14" s="11" t="str">
        <f>VLOOKUP(A14,'INFRASTRUCTURE Fields NS'!B:F,3,FALSE)</f>
        <v>Check Box</v>
      </c>
      <c r="D14" s="11"/>
      <c r="E14" s="11"/>
      <c r="F14" s="12" t="s">
        <v>50</v>
      </c>
      <c r="G14" s="12" t="s">
        <v>33</v>
      </c>
      <c r="H14" s="12" t="s">
        <v>52</v>
      </c>
      <c r="I14" s="14" t="s">
        <v>23</v>
      </c>
      <c r="J14" s="22" t="s">
        <v>28</v>
      </c>
      <c r="K14" s="22"/>
      <c r="L14" s="12">
        <v>10</v>
      </c>
      <c r="M14" s="14" t="s">
        <v>291</v>
      </c>
    </row>
    <row r="15" hidden="1" spans="1:13">
      <c r="A15" s="11" t="s">
        <v>57</v>
      </c>
      <c r="B15" s="11" t="str">
        <f>VLOOKUP(A15,'INFRASTRUCTURE Fields NS'!B:F,1,FALSE)</f>
        <v>Public</v>
      </c>
      <c r="C15" s="11" t="str">
        <f>VLOOKUP(A15,'INFRASTRUCTURE Fields NS'!B:F,3,FALSE)</f>
        <v>List/Record</v>
      </c>
      <c r="D15" s="11"/>
      <c r="E15" s="11"/>
      <c r="F15" s="12" t="s">
        <v>11</v>
      </c>
      <c r="G15" s="12" t="s">
        <v>33</v>
      </c>
      <c r="H15" s="12" t="s">
        <v>52</v>
      </c>
      <c r="I15" s="12" t="s">
        <v>23</v>
      </c>
      <c r="J15" s="22" t="s">
        <v>58</v>
      </c>
      <c r="K15" s="22"/>
      <c r="L15" s="12">
        <v>13</v>
      </c>
      <c r="M15" s="14" t="s">
        <v>291</v>
      </c>
    </row>
    <row r="16" ht="30" hidden="1" spans="1:13">
      <c r="A16" s="15" t="s">
        <v>307</v>
      </c>
      <c r="B16" s="15" t="e">
        <f>VLOOKUP(A16,'INFRASTRUCTURE Fields NS'!B:F,1,FALSE)</f>
        <v>#N/A</v>
      </c>
      <c r="C16" s="15" t="e">
        <f>VLOOKUP(A16,'INFRASTRUCTURE Fields NS'!B:F,3,FALSE)</f>
        <v>#N/A</v>
      </c>
      <c r="D16" s="26" t="s">
        <v>31</v>
      </c>
      <c r="E16" s="15"/>
      <c r="F16" s="12" t="s">
        <v>308</v>
      </c>
      <c r="G16" s="12" t="s">
        <v>33</v>
      </c>
      <c r="H16" s="12" t="s">
        <v>77</v>
      </c>
      <c r="I16" s="29" t="s">
        <v>97</v>
      </c>
      <c r="J16" s="22" t="s">
        <v>18</v>
      </c>
      <c r="K16" s="22" t="s">
        <v>309</v>
      </c>
      <c r="L16" s="12" t="s">
        <v>310</v>
      </c>
      <c r="M16" s="14" t="s">
        <v>311</v>
      </c>
    </row>
    <row r="17" ht="30" hidden="1" spans="1:13">
      <c r="A17" s="15" t="s">
        <v>312</v>
      </c>
      <c r="B17" s="15" t="e">
        <f>VLOOKUP(A17,'INFRASTRUCTURE Fields NS'!B:F,1,FALSE)</f>
        <v>#N/A</v>
      </c>
      <c r="C17" s="15" t="e">
        <f>VLOOKUP(A17,'INFRASTRUCTURE Fields NS'!B:F,3,FALSE)</f>
        <v>#N/A</v>
      </c>
      <c r="D17" s="26" t="s">
        <v>31</v>
      </c>
      <c r="E17" s="15"/>
      <c r="F17" s="12"/>
      <c r="G17" s="12" t="s">
        <v>33</v>
      </c>
      <c r="H17" s="14" t="s">
        <v>313</v>
      </c>
      <c r="I17" s="29" t="s">
        <v>314</v>
      </c>
      <c r="J17" s="22"/>
      <c r="K17" s="22" t="s">
        <v>315</v>
      </c>
      <c r="L17" s="12" t="s">
        <v>310</v>
      </c>
      <c r="M17" s="14" t="s">
        <v>316</v>
      </c>
    </row>
    <row r="18" hidden="1" spans="1:13">
      <c r="A18" s="11" t="s">
        <v>317</v>
      </c>
      <c r="B18" s="11" t="str">
        <f>VLOOKUP(A18,'INFRASTRUCTURE Fields NS'!B:F,1,FALSE)</f>
        <v>Comments</v>
      </c>
      <c r="C18" s="11" t="str">
        <f>VLOOKUP(A18,'INFRASTRUCTURE Fields NS'!B:F,3,FALSE)</f>
        <v>Free-Form Text</v>
      </c>
      <c r="D18" s="11"/>
      <c r="E18" s="11"/>
      <c r="F18" s="12" t="s">
        <v>18</v>
      </c>
      <c r="G18" s="12" t="s">
        <v>33</v>
      </c>
      <c r="H18" s="12" t="s">
        <v>52</v>
      </c>
      <c r="I18" s="12" t="s">
        <v>20</v>
      </c>
      <c r="J18" s="22" t="s">
        <v>18</v>
      </c>
      <c r="K18" s="22"/>
      <c r="L18" s="12">
        <v>14</v>
      </c>
      <c r="M18" s="14" t="s">
        <v>291</v>
      </c>
    </row>
    <row r="19" hidden="1" spans="1:13">
      <c r="A19" s="11" t="s">
        <v>69</v>
      </c>
      <c r="B19" s="11" t="str">
        <f>VLOOKUP(A19,'INFRASTRUCTURE Fields NS'!B:F,1,FALSE)</f>
        <v>Easting</v>
      </c>
      <c r="C19" s="11" t="str">
        <f>VLOOKUP(A19,'INFRASTRUCTURE Fields NS'!B:F,3,FALSE)</f>
        <v>Decimal Number</v>
      </c>
      <c r="D19" s="11"/>
      <c r="E19" s="11"/>
      <c r="F19" s="12" t="s">
        <v>308</v>
      </c>
      <c r="G19" s="12" t="s">
        <v>33</v>
      </c>
      <c r="H19" s="14" t="s">
        <v>62</v>
      </c>
      <c r="I19" s="12" t="s">
        <v>70</v>
      </c>
      <c r="J19" s="22" t="s">
        <v>18</v>
      </c>
      <c r="K19" s="30" t="s">
        <v>318</v>
      </c>
      <c r="L19" s="12">
        <v>24</v>
      </c>
      <c r="M19" s="14" t="s">
        <v>316</v>
      </c>
    </row>
    <row r="20" hidden="1" spans="1:13">
      <c r="A20" s="11" t="s">
        <v>72</v>
      </c>
      <c r="B20" s="11" t="str">
        <f>VLOOKUP(A20,'INFRASTRUCTURE Fields NS'!B:F,1,FALSE)</f>
        <v>Northing</v>
      </c>
      <c r="C20" s="11" t="str">
        <f>VLOOKUP(A20,'INFRASTRUCTURE Fields NS'!B:F,3,FALSE)</f>
        <v>Decimal Number</v>
      </c>
      <c r="D20" s="11"/>
      <c r="E20" s="11"/>
      <c r="F20" s="12" t="s">
        <v>308</v>
      </c>
      <c r="G20" s="12" t="s">
        <v>33</v>
      </c>
      <c r="H20" s="14" t="s">
        <v>62</v>
      </c>
      <c r="I20" s="12" t="s">
        <v>70</v>
      </c>
      <c r="J20" s="22" t="s">
        <v>18</v>
      </c>
      <c r="K20" s="31"/>
      <c r="L20" s="12">
        <v>25</v>
      </c>
      <c r="M20" s="14" t="s">
        <v>316</v>
      </c>
    </row>
    <row r="21" hidden="1" spans="1:13">
      <c r="A21" s="11" t="s">
        <v>73</v>
      </c>
      <c r="B21" s="11" t="str">
        <f>VLOOKUP(A21,'INFRASTRUCTURE Fields NS'!B:F,1,FALSE)</f>
        <v>Longitude</v>
      </c>
      <c r="C21" s="11" t="str">
        <f>VLOOKUP(A21,'INFRASTRUCTURE Fields NS'!B:F,3,FALSE)</f>
        <v>Decimal Number</v>
      </c>
      <c r="D21" s="11"/>
      <c r="E21" s="11"/>
      <c r="F21" s="12" t="s">
        <v>308</v>
      </c>
      <c r="G21" s="12" t="s">
        <v>33</v>
      </c>
      <c r="H21" s="14" t="s">
        <v>62</v>
      </c>
      <c r="I21" s="12" t="s">
        <v>74</v>
      </c>
      <c r="J21" s="22" t="s">
        <v>18</v>
      </c>
      <c r="K21" s="31"/>
      <c r="L21" s="12">
        <v>26</v>
      </c>
      <c r="M21" s="14" t="s">
        <v>316</v>
      </c>
    </row>
    <row r="22" hidden="1" spans="1:13">
      <c r="A22" s="11" t="s">
        <v>75</v>
      </c>
      <c r="B22" s="11" t="str">
        <f>VLOOKUP(A22,'INFRASTRUCTURE Fields NS'!B:F,1,FALSE)</f>
        <v>Latitude</v>
      </c>
      <c r="C22" s="11" t="str">
        <f>VLOOKUP(A22,'INFRASTRUCTURE Fields NS'!B:F,3,FALSE)</f>
        <v>Decimal Number</v>
      </c>
      <c r="D22" s="11"/>
      <c r="E22" s="11"/>
      <c r="F22" s="12" t="s">
        <v>308</v>
      </c>
      <c r="G22" s="12" t="s">
        <v>33</v>
      </c>
      <c r="H22" s="14" t="s">
        <v>62</v>
      </c>
      <c r="I22" s="12" t="s">
        <v>74</v>
      </c>
      <c r="J22" s="22" t="s">
        <v>18</v>
      </c>
      <c r="K22" s="32"/>
      <c r="L22" s="12">
        <v>27</v>
      </c>
      <c r="M22" s="14" t="s">
        <v>316</v>
      </c>
    </row>
    <row r="23" ht="30" hidden="1" spans="1:13">
      <c r="A23" s="11" t="s">
        <v>319</v>
      </c>
      <c r="B23" s="11" t="str">
        <f>VLOOKUP(A23,'INFRASTRUCTURE Fields NS'!B:F,1,FALSE)</f>
        <v>Structure Type</v>
      </c>
      <c r="C23" s="11" t="str">
        <f>VLOOKUP(A23,'INFRASTRUCTURE Fields NS'!B:F,3,FALSE)</f>
        <v>List/Record</v>
      </c>
      <c r="D23" s="11"/>
      <c r="E23" s="11"/>
      <c r="F23" s="12" t="s">
        <v>320</v>
      </c>
      <c r="G23" s="12" t="s">
        <v>51</v>
      </c>
      <c r="H23" s="12" t="s">
        <v>52</v>
      </c>
      <c r="I23" s="12" t="s">
        <v>23</v>
      </c>
      <c r="J23" s="22" t="s">
        <v>321</v>
      </c>
      <c r="K23" s="22"/>
      <c r="L23" s="12">
        <v>15</v>
      </c>
      <c r="M23" s="14" t="s">
        <v>51</v>
      </c>
    </row>
    <row r="24" s="3" customFormat="1" hidden="1" spans="1:13">
      <c r="A24" s="11" t="s">
        <v>322</v>
      </c>
      <c r="B24" s="11" t="str">
        <f>VLOOKUP(A24,'INFRASTRUCTURE Fields NS'!B:F,1,FALSE)</f>
        <v>Tower Family</v>
      </c>
      <c r="C24" s="11" t="str">
        <f>VLOOKUP(A24,'INFRASTRUCTURE Fields NS'!B:F,3,FALSE)</f>
        <v>Free-Form Text</v>
      </c>
      <c r="D24" s="11"/>
      <c r="E24" s="11"/>
      <c r="F24" s="12" t="s">
        <v>320</v>
      </c>
      <c r="G24" s="12" t="s">
        <v>51</v>
      </c>
      <c r="H24" s="12" t="s">
        <v>52</v>
      </c>
      <c r="I24" s="12" t="s">
        <v>23</v>
      </c>
      <c r="J24" s="22" t="s">
        <v>323</v>
      </c>
      <c r="K24" s="22" t="s">
        <v>18</v>
      </c>
      <c r="L24" s="12">
        <v>16</v>
      </c>
      <c r="M24" s="14" t="s">
        <v>51</v>
      </c>
    </row>
    <row r="25" hidden="1" spans="1:13">
      <c r="A25" s="11" t="s">
        <v>324</v>
      </c>
      <c r="B25" s="11" t="str">
        <f>VLOOKUP(A25,'INFRASTRUCTURE Fields NS'!B:F,1,FALSE)</f>
        <v>Structure Height (m)</v>
      </c>
      <c r="C25" s="11" t="str">
        <f>VLOOKUP(A25,'INFRASTRUCTURE Fields NS'!B:F,3,FALSE)</f>
        <v>Decimal Number</v>
      </c>
      <c r="D25" s="11"/>
      <c r="E25" s="11"/>
      <c r="F25" s="12" t="s">
        <v>320</v>
      </c>
      <c r="G25" s="12" t="s">
        <v>51</v>
      </c>
      <c r="H25" s="12" t="s">
        <v>52</v>
      </c>
      <c r="I25" s="12" t="s">
        <v>42</v>
      </c>
      <c r="J25" s="22" t="s">
        <v>18</v>
      </c>
      <c r="K25" s="22" t="s">
        <v>18</v>
      </c>
      <c r="L25" s="12">
        <v>17</v>
      </c>
      <c r="M25" s="14" t="s">
        <v>51</v>
      </c>
    </row>
    <row r="26" hidden="1" spans="1:13">
      <c r="A26" s="11" t="s">
        <v>325</v>
      </c>
      <c r="B26" s="11" t="str">
        <f>VLOOKUP(A26,'INFRASTRUCTURE Fields NS'!B:F,1,FALSE)</f>
        <v>Future Planned Structure Height (m)</v>
      </c>
      <c r="C26" s="11" t="str">
        <f>VLOOKUP(A26,'INFRASTRUCTURE Fields NS'!B:F,3,FALSE)</f>
        <v>Decimal Number</v>
      </c>
      <c r="D26" s="11"/>
      <c r="E26" s="11"/>
      <c r="F26" s="12" t="s">
        <v>32</v>
      </c>
      <c r="G26" s="12" t="s">
        <v>51</v>
      </c>
      <c r="H26" s="12" t="s">
        <v>52</v>
      </c>
      <c r="I26" s="12" t="s">
        <v>42</v>
      </c>
      <c r="J26" s="22"/>
      <c r="K26" s="22"/>
      <c r="L26" s="12">
        <v>18</v>
      </c>
      <c r="M26" s="14" t="s">
        <v>51</v>
      </c>
    </row>
    <row r="27" hidden="1" spans="1:13">
      <c r="A27" s="11" t="s">
        <v>326</v>
      </c>
      <c r="B27" s="11" t="str">
        <f>VLOOKUP(A27,'INFRASTRUCTURE Fields NS'!B:F,1,FALSE)</f>
        <v>Rooftop Height (m)</v>
      </c>
      <c r="C27" s="11" t="str">
        <f>VLOOKUP(A27,'INFRASTRUCTURE Fields NS'!B:F,3,FALSE)</f>
        <v>Decimal Number</v>
      </c>
      <c r="D27" s="11"/>
      <c r="E27" s="11"/>
      <c r="F27" s="12" t="s">
        <v>320</v>
      </c>
      <c r="G27" s="12" t="s">
        <v>51</v>
      </c>
      <c r="H27" s="12" t="s">
        <v>52</v>
      </c>
      <c r="I27" s="12" t="s">
        <v>42</v>
      </c>
      <c r="J27" s="22" t="s">
        <v>18</v>
      </c>
      <c r="K27" s="22" t="s">
        <v>18</v>
      </c>
      <c r="L27" s="12">
        <v>19</v>
      </c>
      <c r="M27" s="14" t="s">
        <v>51</v>
      </c>
    </row>
    <row r="28" hidden="1" spans="1:13">
      <c r="A28" s="15" t="s">
        <v>327</v>
      </c>
      <c r="B28" s="15" t="e">
        <f>VLOOKUP(A28,'INFRASTRUCTURE Fields NS'!B:F,1,FALSE)</f>
        <v>#N/A</v>
      </c>
      <c r="C28" s="15" t="e">
        <f>VLOOKUP(A28,'INFRASTRUCTURE Fields NS'!B:F,3,FALSE)</f>
        <v>#N/A</v>
      </c>
      <c r="D28" s="26" t="s">
        <v>31</v>
      </c>
      <c r="E28" s="15"/>
      <c r="F28" s="12" t="s">
        <v>328</v>
      </c>
      <c r="G28" s="12" t="s">
        <v>51</v>
      </c>
      <c r="H28" s="14" t="s">
        <v>52</v>
      </c>
      <c r="I28" s="29" t="s">
        <v>329</v>
      </c>
      <c r="J28" s="22" t="s">
        <v>18</v>
      </c>
      <c r="K28" s="22" t="s">
        <v>330</v>
      </c>
      <c r="L28" s="12" t="s">
        <v>310</v>
      </c>
      <c r="M28" s="14" t="s">
        <v>51</v>
      </c>
    </row>
    <row r="29" hidden="1" spans="1:13">
      <c r="A29" s="11" t="s">
        <v>331</v>
      </c>
      <c r="B29" s="11" t="str">
        <f>VLOOKUP(A29,'INFRASTRUCTURE Fields NS'!B:F,1,FALSE)</f>
        <v>Fall Arrest Status</v>
      </c>
      <c r="C29" s="11" t="str">
        <f>VLOOKUP(A29,'INFRASTRUCTURE Fields NS'!B:F,3,FALSE)</f>
        <v>List/Record</v>
      </c>
      <c r="D29" s="11"/>
      <c r="E29" s="11"/>
      <c r="F29" s="12" t="s">
        <v>11</v>
      </c>
      <c r="G29" s="12" t="s">
        <v>51</v>
      </c>
      <c r="H29" s="12" t="s">
        <v>77</v>
      </c>
      <c r="I29" s="12" t="s">
        <v>23</v>
      </c>
      <c r="J29" s="22" t="s">
        <v>332</v>
      </c>
      <c r="K29" s="22" t="s">
        <v>18</v>
      </c>
      <c r="L29" s="12">
        <v>21</v>
      </c>
      <c r="M29" s="14" t="s">
        <v>51</v>
      </c>
    </row>
    <row r="30" hidden="1" spans="1:13">
      <c r="A30" s="11" t="s">
        <v>333</v>
      </c>
      <c r="B30" s="11" t="str">
        <f>VLOOKUP(A30,'INFRASTRUCTURE Fields NS'!B:F,1,FALSE)</f>
        <v>Fall Arrest Type</v>
      </c>
      <c r="C30" s="11" t="str">
        <f>VLOOKUP(A30,'INFRASTRUCTURE Fields NS'!B:F,3,FALSE)</f>
        <v>List/Record</v>
      </c>
      <c r="D30" s="11"/>
      <c r="E30" s="11"/>
      <c r="F30" s="12" t="s">
        <v>11</v>
      </c>
      <c r="G30" s="12" t="s">
        <v>51</v>
      </c>
      <c r="H30" s="12" t="s">
        <v>77</v>
      </c>
      <c r="I30" s="12" t="s">
        <v>23</v>
      </c>
      <c r="J30" s="22" t="s">
        <v>334</v>
      </c>
      <c r="K30" s="22" t="s">
        <v>335</v>
      </c>
      <c r="L30" s="12">
        <v>22</v>
      </c>
      <c r="M30" s="14" t="s">
        <v>51</v>
      </c>
    </row>
    <row r="31" hidden="1" spans="1:13">
      <c r="A31" s="11" t="s">
        <v>336</v>
      </c>
      <c r="B31" s="11" t="str">
        <f>VLOOKUP(A31,'INFRASTRUCTURE Fields NS'!B:F,1,FALSE)</f>
        <v>Anti Climb</v>
      </c>
      <c r="C31" s="11" t="str">
        <f>VLOOKUP(A31,'INFRASTRUCTURE Fields NS'!B:F,3,FALSE)</f>
        <v>Check Box</v>
      </c>
      <c r="D31" s="11"/>
      <c r="E31" s="11"/>
      <c r="F31" s="12" t="s">
        <v>11</v>
      </c>
      <c r="G31" s="12" t="s">
        <v>51</v>
      </c>
      <c r="H31" s="12" t="s">
        <v>77</v>
      </c>
      <c r="I31" s="12" t="s">
        <v>23</v>
      </c>
      <c r="J31" s="22" t="s">
        <v>78</v>
      </c>
      <c r="K31" s="22" t="s">
        <v>18</v>
      </c>
      <c r="L31" s="12">
        <v>23</v>
      </c>
      <c r="M31" s="14" t="s">
        <v>51</v>
      </c>
    </row>
    <row r="32" hidden="1" spans="1:13">
      <c r="A32" s="11" t="s">
        <v>337</v>
      </c>
      <c r="B32" s="11" t="str">
        <f>VLOOKUP(A32,'INFRASTRUCTURE Fields NS'!B:F,1,FALSE)</f>
        <v>Next Site Inspection Date</v>
      </c>
      <c r="C32" s="11" t="str">
        <f>VLOOKUP(A32,'INFRASTRUCTURE Fields NS'!B:F,3,FALSE)</f>
        <v>Date</v>
      </c>
      <c r="D32" s="11"/>
      <c r="E32" s="11"/>
      <c r="F32" s="12" t="s">
        <v>308</v>
      </c>
      <c r="G32" s="12" t="s">
        <v>51</v>
      </c>
      <c r="H32" s="14" t="s">
        <v>338</v>
      </c>
      <c r="I32" s="12" t="s">
        <v>137</v>
      </c>
      <c r="J32" s="22" t="s">
        <v>18</v>
      </c>
      <c r="K32" s="22" t="s">
        <v>18</v>
      </c>
      <c r="L32" s="12">
        <v>28</v>
      </c>
      <c r="M32" s="14" t="s">
        <v>51</v>
      </c>
    </row>
    <row r="33" ht="30" hidden="1" spans="1:13">
      <c r="A33" s="11" t="s">
        <v>147</v>
      </c>
      <c r="B33" s="11" t="str">
        <f>VLOOKUP(A33,'INFRASTRUCTURE Fields NS'!B:F,1,FALSE)</f>
        <v>Next Fall Arrest Certification Date</v>
      </c>
      <c r="C33" s="11" t="str">
        <f>VLOOKUP(A33,'INFRASTRUCTURE Fields NS'!B:F,3,FALSE)</f>
        <v>Date</v>
      </c>
      <c r="D33" s="11"/>
      <c r="E33" s="11"/>
      <c r="F33" s="12"/>
      <c r="G33" s="12" t="s">
        <v>51</v>
      </c>
      <c r="H33" s="14" t="s">
        <v>338</v>
      </c>
      <c r="I33" s="12" t="s">
        <v>137</v>
      </c>
      <c r="J33" s="22"/>
      <c r="K33" s="22" t="s">
        <v>339</v>
      </c>
      <c r="L33" s="12">
        <v>29</v>
      </c>
      <c r="M33" s="14" t="s">
        <v>51</v>
      </c>
    </row>
    <row r="34" hidden="1" spans="1:13">
      <c r="A34" s="11" t="s">
        <v>340</v>
      </c>
      <c r="B34" s="11" t="str">
        <f>VLOOKUP(A34,'INFRASTRUCTURE Fields NS'!B:F,1,FALSE)</f>
        <v>Tower Last Painted Date</v>
      </c>
      <c r="C34" s="11" t="str">
        <f>VLOOKUP(A34,'INFRASTRUCTURE Fields NS'!B:F,3,FALSE)</f>
        <v>Date</v>
      </c>
      <c r="D34" s="11"/>
      <c r="E34" s="11"/>
      <c r="F34" s="12" t="s">
        <v>308</v>
      </c>
      <c r="G34" s="12" t="s">
        <v>51</v>
      </c>
      <c r="H34" s="14" t="s">
        <v>338</v>
      </c>
      <c r="I34" s="12" t="s">
        <v>137</v>
      </c>
      <c r="J34" s="22" t="s">
        <v>18</v>
      </c>
      <c r="K34" s="22" t="s">
        <v>18</v>
      </c>
      <c r="L34" s="12">
        <v>30</v>
      </c>
      <c r="M34" s="14" t="s">
        <v>51</v>
      </c>
    </row>
    <row r="35" hidden="1" spans="1:13">
      <c r="A35" s="11" t="s">
        <v>341</v>
      </c>
      <c r="B35" s="11" t="str">
        <f>VLOOKUP(A35,'INFRASTRUCTURE Fields NS'!B:F,1,FALSE)</f>
        <v>Scheduled Next Painting Date</v>
      </c>
      <c r="C35" s="11" t="str">
        <f>VLOOKUP(A35,'INFRASTRUCTURE Fields NS'!B:F,3,FALSE)</f>
        <v>Date</v>
      </c>
      <c r="D35" s="11"/>
      <c r="E35" s="11"/>
      <c r="F35" s="12" t="s">
        <v>308</v>
      </c>
      <c r="G35" s="12" t="s">
        <v>51</v>
      </c>
      <c r="H35" s="14" t="s">
        <v>338</v>
      </c>
      <c r="I35" s="12" t="s">
        <v>137</v>
      </c>
      <c r="J35" s="22" t="s">
        <v>18</v>
      </c>
      <c r="K35" s="22" t="s">
        <v>18</v>
      </c>
      <c r="L35" s="12">
        <v>31</v>
      </c>
      <c r="M35" s="14" t="s">
        <v>51</v>
      </c>
    </row>
    <row r="36" hidden="1" spans="1:13">
      <c r="A36" s="11" t="s">
        <v>342</v>
      </c>
      <c r="B36" s="11" t="str">
        <f>VLOOKUP(A36,'INFRASTRUCTURE Fields NS'!B:F,1,FALSE)</f>
        <v>Painting Warranty Expiry Date</v>
      </c>
      <c r="C36" s="11" t="str">
        <f>VLOOKUP(A36,'INFRASTRUCTURE Fields NS'!B:F,3,FALSE)</f>
        <v>Date</v>
      </c>
      <c r="D36" s="11"/>
      <c r="E36" s="11"/>
      <c r="F36" s="12" t="s">
        <v>308</v>
      </c>
      <c r="G36" s="12" t="s">
        <v>51</v>
      </c>
      <c r="H36" s="14" t="s">
        <v>338</v>
      </c>
      <c r="I36" s="12" t="s">
        <v>137</v>
      </c>
      <c r="J36" s="22" t="s">
        <v>18</v>
      </c>
      <c r="K36" s="22" t="s">
        <v>18</v>
      </c>
      <c r="L36" s="12">
        <v>32</v>
      </c>
      <c r="M36" s="14" t="s">
        <v>51</v>
      </c>
    </row>
    <row r="37" ht="30" hidden="1" spans="1:13">
      <c r="A37" s="15" t="s">
        <v>149</v>
      </c>
      <c r="B37" s="15" t="e">
        <f>VLOOKUP(A37,'INFRASTRUCTURE Fields NS'!B:F,1,FALSE)</f>
        <v>#N/A</v>
      </c>
      <c r="C37" s="15" t="e">
        <f>VLOOKUP(A37,'INFRASTRUCTURE Fields NS'!B:F,3,FALSE)</f>
        <v>#N/A</v>
      </c>
      <c r="D37" s="26" t="s">
        <v>31</v>
      </c>
      <c r="E37" s="15"/>
      <c r="F37" s="12" t="s">
        <v>308</v>
      </c>
      <c r="G37" s="12" t="s">
        <v>51</v>
      </c>
      <c r="H37" s="14" t="s">
        <v>338</v>
      </c>
      <c r="I37" s="29" t="s">
        <v>150</v>
      </c>
      <c r="J37" s="22" t="s">
        <v>18</v>
      </c>
      <c r="K37" s="22" t="s">
        <v>343</v>
      </c>
      <c r="L37" s="12" t="s">
        <v>310</v>
      </c>
      <c r="M37" s="14" t="s">
        <v>51</v>
      </c>
    </row>
    <row r="38" hidden="1" spans="1:13">
      <c r="A38" s="11" t="s">
        <v>344</v>
      </c>
      <c r="B38" s="11" t="str">
        <f>VLOOKUP(A38,'INFRASTRUCTURE Fields NS'!B:F,1,FALSE)</f>
        <v>Structure Design</v>
      </c>
      <c r="C38" s="11" t="str">
        <f>VLOOKUP(A38,'INFRASTRUCTURE Fields NS'!B:F,3,FALSE)</f>
        <v>Text Area</v>
      </c>
      <c r="D38" s="11"/>
      <c r="E38" s="11"/>
      <c r="F38" s="12"/>
      <c r="G38" s="12" t="s">
        <v>51</v>
      </c>
      <c r="H38" s="14" t="s">
        <v>345</v>
      </c>
      <c r="I38" s="12" t="s">
        <v>87</v>
      </c>
      <c r="J38" s="22"/>
      <c r="K38" s="22"/>
      <c r="L38" s="12">
        <v>33</v>
      </c>
      <c r="M38" s="14" t="s">
        <v>51</v>
      </c>
    </row>
    <row r="39" spans="1:13">
      <c r="A39" s="11" t="s">
        <v>346</v>
      </c>
      <c r="B39" s="11" t="e">
        <f>VLOOKUP(A39,'INFRASTRUCTURE Fields NS'!B:F,1,FALSE)</f>
        <v>#N/A</v>
      </c>
      <c r="C39" s="11" t="e">
        <f>VLOOKUP(A39,'INFRASTRUCTURE Fields NS'!B:F,3,FALSE)</f>
        <v>#N/A</v>
      </c>
      <c r="D39" s="11" t="s">
        <v>164</v>
      </c>
      <c r="E39" s="11"/>
      <c r="F39" s="12"/>
      <c r="G39" s="12" t="s">
        <v>51</v>
      </c>
      <c r="H39" s="14" t="s">
        <v>345</v>
      </c>
      <c r="I39" s="33" t="s">
        <v>199</v>
      </c>
      <c r="J39" s="22"/>
      <c r="K39" s="34" t="s">
        <v>347</v>
      </c>
      <c r="L39" s="12" t="s">
        <v>310</v>
      </c>
      <c r="M39" s="14" t="s">
        <v>51</v>
      </c>
    </row>
    <row r="40" hidden="1" spans="1:13">
      <c r="A40" s="11" t="s">
        <v>348</v>
      </c>
      <c r="B40" s="11" t="str">
        <f>VLOOKUP(A40,'INFRASTRUCTURE Fields NS'!B:F,1,FALSE)</f>
        <v>Year of Build</v>
      </c>
      <c r="C40" s="11" t="str">
        <f>VLOOKUP(A40,'INFRASTRUCTURE Fields NS'!B:F,3,FALSE)</f>
        <v>Integer Number</v>
      </c>
      <c r="D40" s="11"/>
      <c r="E40" s="11"/>
      <c r="F40" s="12"/>
      <c r="G40" s="12" t="s">
        <v>51</v>
      </c>
      <c r="H40" s="14" t="s">
        <v>345</v>
      </c>
      <c r="I40" s="12" t="s">
        <v>14</v>
      </c>
      <c r="J40" s="22"/>
      <c r="K40" s="22"/>
      <c r="L40" s="12">
        <v>34</v>
      </c>
      <c r="M40" s="14" t="s">
        <v>51</v>
      </c>
    </row>
    <row r="41" hidden="1" spans="1:13">
      <c r="A41" s="11" t="s">
        <v>349</v>
      </c>
      <c r="B41" s="11" t="str">
        <f>VLOOKUP(A41,'INFRASTRUCTURE Fields NS'!B:F,1,FALSE)</f>
        <v>Geotype</v>
      </c>
      <c r="C41" s="11" t="str">
        <f>VLOOKUP(A41,'INFRASTRUCTURE Fields NS'!B:F,3,FALSE)</f>
        <v>List/Record</v>
      </c>
      <c r="D41" s="11"/>
      <c r="E41" s="11"/>
      <c r="F41" s="12"/>
      <c r="G41" s="12" t="s">
        <v>51</v>
      </c>
      <c r="H41" s="14" t="s">
        <v>345</v>
      </c>
      <c r="I41" s="12" t="s">
        <v>23</v>
      </c>
      <c r="J41" s="22" t="s">
        <v>350</v>
      </c>
      <c r="K41" s="22"/>
      <c r="L41" s="12">
        <v>35</v>
      </c>
      <c r="M41" s="14" t="s">
        <v>51</v>
      </c>
    </row>
    <row r="42" hidden="1" spans="1:13">
      <c r="A42" s="11" t="s">
        <v>351</v>
      </c>
      <c r="B42" s="11" t="str">
        <f>VLOOKUP(A42,'INFRASTRUCTURE Fields NS'!B:F,1,FALSE)</f>
        <v>Proximity to Body of Water (km)</v>
      </c>
      <c r="C42" s="11" t="str">
        <f>VLOOKUP(A42,'INFRASTRUCTURE Fields NS'!B:F,3,FALSE)</f>
        <v>Decimal Number</v>
      </c>
      <c r="D42" s="11"/>
      <c r="E42" s="11"/>
      <c r="F42" s="12"/>
      <c r="G42" s="12" t="s">
        <v>51</v>
      </c>
      <c r="H42" s="14" t="s">
        <v>345</v>
      </c>
      <c r="I42" s="12" t="s">
        <v>352</v>
      </c>
      <c r="J42" s="22"/>
      <c r="K42" s="22"/>
      <c r="L42" s="12">
        <v>36</v>
      </c>
      <c r="M42" s="14" t="s">
        <v>51</v>
      </c>
    </row>
    <row r="43" hidden="1" spans="1:13">
      <c r="A43" s="11" t="s">
        <v>353</v>
      </c>
      <c r="B43" s="11" t="str">
        <f>VLOOKUP(A43,'INFRASTRUCTURE Fields NS'!B:F,1,FALSE)</f>
        <v>Land Topology</v>
      </c>
      <c r="C43" s="11" t="str">
        <f>VLOOKUP(A43,'INFRASTRUCTURE Fields NS'!B:F,3,FALSE)</f>
        <v>List/Record</v>
      </c>
      <c r="D43" s="11"/>
      <c r="E43" s="11"/>
      <c r="F43" s="12"/>
      <c r="G43" s="12" t="s">
        <v>51</v>
      </c>
      <c r="H43" s="14" t="s">
        <v>345</v>
      </c>
      <c r="I43" s="12" t="s">
        <v>23</v>
      </c>
      <c r="J43" s="22" t="s">
        <v>354</v>
      </c>
      <c r="K43" s="22"/>
      <c r="L43" s="12">
        <v>37</v>
      </c>
      <c r="M43" s="14" t="s">
        <v>51</v>
      </c>
    </row>
    <row r="44" hidden="1" spans="1:13">
      <c r="A44" s="11" t="s">
        <v>355</v>
      </c>
      <c r="B44" s="11" t="str">
        <f>VLOOKUP(A44,'INFRASTRUCTURE Fields NS'!B:F,1,FALSE)</f>
        <v>Wind Map Vb,map (m/s)</v>
      </c>
      <c r="C44" s="11" t="str">
        <f>VLOOKUP(A44,'INFRASTRUCTURE Fields NS'!B:F,3,FALSE)</f>
        <v>Integer Number</v>
      </c>
      <c r="D44" s="11"/>
      <c r="E44" s="11"/>
      <c r="F44" s="12"/>
      <c r="G44" s="12" t="s">
        <v>51</v>
      </c>
      <c r="H44" s="14" t="s">
        <v>345</v>
      </c>
      <c r="I44" s="12" t="s">
        <v>14</v>
      </c>
      <c r="J44" s="22"/>
      <c r="K44" s="22"/>
      <c r="L44" s="12">
        <v>38</v>
      </c>
      <c r="M44" s="14" t="s">
        <v>51</v>
      </c>
    </row>
    <row r="45" hidden="1" spans="1:13">
      <c r="A45" s="11" t="s">
        <v>356</v>
      </c>
      <c r="B45" s="11" t="str">
        <f>VLOOKUP(A45,'INFRASTRUCTURE Fields NS'!B:F,1,FALSE)</f>
        <v>Foundation Type</v>
      </c>
      <c r="C45" s="11" t="str">
        <f>VLOOKUP(A45,'INFRASTRUCTURE Fields NS'!B:F,3,FALSE)</f>
        <v>List/Record</v>
      </c>
      <c r="D45" s="11"/>
      <c r="E45" s="11"/>
      <c r="F45" s="12"/>
      <c r="G45" s="12" t="s">
        <v>51</v>
      </c>
      <c r="H45" s="14" t="s">
        <v>345</v>
      </c>
      <c r="I45" s="12" t="s">
        <v>23</v>
      </c>
      <c r="J45" s="22" t="s">
        <v>357</v>
      </c>
      <c r="K45" s="22"/>
      <c r="L45" s="12">
        <v>39</v>
      </c>
      <c r="M45" s="14" t="s">
        <v>51</v>
      </c>
    </row>
    <row r="46" hidden="1" spans="1:13">
      <c r="A46" s="11" t="s">
        <v>358</v>
      </c>
      <c r="B46" s="11" t="str">
        <f>VLOOKUP(A46,'INFRASTRUCTURE Fields NS'!B:F,1,FALSE)</f>
        <v>Foundation Design</v>
      </c>
      <c r="C46" s="11" t="str">
        <f>VLOOKUP(A46,'INFRASTRUCTURE Fields NS'!B:F,3,FALSE)</f>
        <v>Text Area</v>
      </c>
      <c r="D46" s="11"/>
      <c r="E46" s="11"/>
      <c r="F46" s="12"/>
      <c r="G46" s="12" t="s">
        <v>51</v>
      </c>
      <c r="H46" s="14" t="s">
        <v>345</v>
      </c>
      <c r="I46" s="12" t="s">
        <v>87</v>
      </c>
      <c r="J46" s="22"/>
      <c r="K46" s="22"/>
      <c r="L46" s="12">
        <v>40</v>
      </c>
      <c r="M46" s="14" t="s">
        <v>51</v>
      </c>
    </row>
    <row r="47" hidden="1" spans="1:13">
      <c r="A47" s="11" t="s">
        <v>359</v>
      </c>
      <c r="B47" s="11" t="str">
        <f>VLOOKUP(A47,'INFRASTRUCTURE Fields NS'!B:F,1,FALSE)</f>
        <v>Foundation Dimensions</v>
      </c>
      <c r="C47" s="11" t="str">
        <f>VLOOKUP(A47,'INFRASTRUCTURE Fields NS'!B:F,3,FALSE)</f>
        <v>Free-Form Text</v>
      </c>
      <c r="D47" s="11"/>
      <c r="E47" s="11"/>
      <c r="F47" s="12"/>
      <c r="G47" s="12" t="s">
        <v>51</v>
      </c>
      <c r="H47" s="14" t="s">
        <v>345</v>
      </c>
      <c r="I47" s="12" t="s">
        <v>20</v>
      </c>
      <c r="J47" s="22"/>
      <c r="K47" s="22"/>
      <c r="L47" s="12">
        <v>41</v>
      </c>
      <c r="M47" s="14" t="s">
        <v>51</v>
      </c>
    </row>
    <row r="48" hidden="1" spans="1:13">
      <c r="A48" s="11" t="s">
        <v>360</v>
      </c>
      <c r="B48" s="11" t="str">
        <f>VLOOKUP(A48,'INFRASTRUCTURE Fields NS'!B:F,1,FALSE)</f>
        <v>Foundation Contractor</v>
      </c>
      <c r="C48" s="11" t="str">
        <f>VLOOKUP(A48,'INFRASTRUCTURE Fields NS'!B:F,3,FALSE)</f>
        <v>List/Record</v>
      </c>
      <c r="D48" s="11"/>
      <c r="E48" s="11"/>
      <c r="F48" s="11"/>
      <c r="G48" s="14" t="s">
        <v>198</v>
      </c>
      <c r="H48" s="14" t="s">
        <v>198</v>
      </c>
      <c r="I48" s="16" t="s">
        <v>209</v>
      </c>
      <c r="J48" s="22" t="s">
        <v>18</v>
      </c>
      <c r="K48" s="22" t="s">
        <v>304</v>
      </c>
      <c r="L48" s="12">
        <v>42</v>
      </c>
      <c r="M48" s="14" t="s">
        <v>51</v>
      </c>
    </row>
    <row r="49" hidden="1" spans="1:13">
      <c r="A49" s="11" t="s">
        <v>361</v>
      </c>
      <c r="B49" s="11" t="str">
        <f>VLOOKUP(A49,'INFRASTRUCTURE Fields NS'!B:F,1,FALSE)</f>
        <v>Soil Bearing DCP/SI (kN/m)</v>
      </c>
      <c r="C49" s="11" t="str">
        <f>VLOOKUP(A49,'INFRASTRUCTURE Fields NS'!B:F,3,FALSE)</f>
        <v>Decimal Number</v>
      </c>
      <c r="D49" s="11"/>
      <c r="E49" s="11"/>
      <c r="F49" s="12"/>
      <c r="G49" s="12" t="s">
        <v>51</v>
      </c>
      <c r="H49" s="14" t="s">
        <v>345</v>
      </c>
      <c r="I49" s="12" t="s">
        <v>352</v>
      </c>
      <c r="J49" s="22"/>
      <c r="K49" s="22"/>
      <c r="L49" s="12">
        <v>43</v>
      </c>
      <c r="M49" s="14" t="s">
        <v>51</v>
      </c>
    </row>
    <row r="50" hidden="1" spans="1:13">
      <c r="A50" s="11" t="s">
        <v>362</v>
      </c>
      <c r="B50" s="11" t="str">
        <f>VLOOKUP(A50,'INFRASTRUCTURE Fields NS'!B:F,1,FALSE)</f>
        <v>Ground Water (BGL)</v>
      </c>
      <c r="C50" s="11" t="str">
        <f>VLOOKUP(A50,'INFRASTRUCTURE Fields NS'!B:F,3,FALSE)</f>
        <v>Decimal Number</v>
      </c>
      <c r="D50" s="11"/>
      <c r="E50" s="11"/>
      <c r="F50" s="12"/>
      <c r="G50" s="12" t="s">
        <v>51</v>
      </c>
      <c r="H50" s="14" t="s">
        <v>345</v>
      </c>
      <c r="I50" s="12" t="s">
        <v>352</v>
      </c>
      <c r="J50" s="22"/>
      <c r="K50" s="22"/>
      <c r="L50" s="12">
        <v>44</v>
      </c>
      <c r="M50" s="14" t="s">
        <v>51</v>
      </c>
    </row>
    <row r="51" hidden="1" spans="1:13">
      <c r="A51" s="11" t="s">
        <v>363</v>
      </c>
      <c r="B51" s="11" t="str">
        <f>VLOOKUP(A51,'INFRASTRUCTURE Fields NS'!B:F,1,FALSE)</f>
        <v>Foundation FOS</v>
      </c>
      <c r="C51" s="11" t="str">
        <f>VLOOKUP(A51,'INFRASTRUCTURE Fields NS'!B:F,3,FALSE)</f>
        <v>Decimal Number</v>
      </c>
      <c r="D51" s="11"/>
      <c r="E51" s="11"/>
      <c r="F51" s="12"/>
      <c r="G51" s="12" t="s">
        <v>51</v>
      </c>
      <c r="H51" s="14" t="s">
        <v>345</v>
      </c>
      <c r="I51" s="12" t="s">
        <v>352</v>
      </c>
      <c r="J51" s="22"/>
      <c r="K51" s="22"/>
      <c r="L51" s="12">
        <v>45</v>
      </c>
      <c r="M51" s="14" t="s">
        <v>51</v>
      </c>
    </row>
    <row r="52" hidden="1" spans="1:13">
      <c r="A52" s="11" t="s">
        <v>364</v>
      </c>
      <c r="B52" s="11" t="str">
        <f>VLOOKUP(A52,'INFRASTRUCTURE Fields NS'!B:F,1,FALSE)</f>
        <v>Foundation Overturning (kN/m)</v>
      </c>
      <c r="C52" s="11" t="str">
        <f>VLOOKUP(A52,'INFRASTRUCTURE Fields NS'!B:F,3,FALSE)</f>
        <v>Decimal Number</v>
      </c>
      <c r="D52" s="11"/>
      <c r="E52" s="11"/>
      <c r="F52" s="12"/>
      <c r="G52" s="12" t="s">
        <v>51</v>
      </c>
      <c r="H52" s="14" t="s">
        <v>345</v>
      </c>
      <c r="I52" s="12" t="s">
        <v>352</v>
      </c>
      <c r="J52" s="22"/>
      <c r="K52" s="22"/>
      <c r="L52" s="12">
        <v>46</v>
      </c>
      <c r="M52" s="14" t="s">
        <v>51</v>
      </c>
    </row>
    <row r="53" hidden="1" spans="1:13">
      <c r="A53" s="11" t="s">
        <v>365</v>
      </c>
      <c r="B53" s="11" t="str">
        <f>VLOOKUP(A53,'INFRASTRUCTURE Fields NS'!B:F,1,FALSE)</f>
        <v>Structure   Capacity Σ ESA_(m²)</v>
      </c>
      <c r="C53" s="11" t="str">
        <f>VLOOKUP(A53,'INFRASTRUCTURE Fields NS'!B:F,3,FALSE)</f>
        <v>Decimal Number</v>
      </c>
      <c r="D53" s="11"/>
      <c r="E53" s="11"/>
      <c r="F53" s="12"/>
      <c r="G53" s="12" t="s">
        <v>51</v>
      </c>
      <c r="H53" s="14" t="s">
        <v>345</v>
      </c>
      <c r="I53" s="12" t="s">
        <v>352</v>
      </c>
      <c r="J53" s="22"/>
      <c r="K53" s="22"/>
      <c r="L53" s="12">
        <v>47</v>
      </c>
      <c r="M53" s="14" t="s">
        <v>51</v>
      </c>
    </row>
    <row r="54" hidden="1" spans="1:13">
      <c r="A54" s="11" t="s">
        <v>366</v>
      </c>
      <c r="B54" s="11" t="str">
        <f>VLOOKUP(A54,'INFRASTRUCTURE Fields NS'!B:F,1,FALSE)</f>
        <v>Structure  Capacity Σ E-BM_(m².m)</v>
      </c>
      <c r="C54" s="11" t="str">
        <f>VLOOKUP(A54,'INFRASTRUCTURE Fields NS'!B:F,3,FALSE)</f>
        <v>Decimal Number</v>
      </c>
      <c r="D54" s="11"/>
      <c r="E54" s="11"/>
      <c r="F54" s="12"/>
      <c r="G54" s="12" t="s">
        <v>51</v>
      </c>
      <c r="H54" s="14" t="s">
        <v>345</v>
      </c>
      <c r="I54" s="12" t="s">
        <v>352</v>
      </c>
      <c r="J54" s="22"/>
      <c r="K54" s="22"/>
      <c r="L54" s="12">
        <v>48</v>
      </c>
      <c r="M54" s="14" t="s">
        <v>51</v>
      </c>
    </row>
    <row r="55" hidden="1" spans="1:13">
      <c r="A55" s="11" t="s">
        <v>367</v>
      </c>
      <c r="B55" s="11" t="str">
        <f>VLOOKUP(A55,'INFRASTRUCTURE Fields NS'!B:F,1,FALSE)</f>
        <v>Structure  Equipment loading Σ E-BM_(m².m)</v>
      </c>
      <c r="C55" s="11" t="str">
        <f>VLOOKUP(A55,'INFRASTRUCTURE Fields NS'!B:F,3,FALSE)</f>
        <v>Decimal Number</v>
      </c>
      <c r="D55" s="11"/>
      <c r="E55" s="11"/>
      <c r="F55" s="12"/>
      <c r="G55" s="12" t="s">
        <v>51</v>
      </c>
      <c r="H55" s="14" t="s">
        <v>345</v>
      </c>
      <c r="I55" s="12" t="s">
        <v>352</v>
      </c>
      <c r="J55" s="22"/>
      <c r="K55" s="22"/>
      <c r="L55" s="12">
        <v>49</v>
      </c>
      <c r="M55" s="14" t="s">
        <v>51</v>
      </c>
    </row>
    <row r="56" hidden="1" spans="1:13">
      <c r="A56" s="11" t="s">
        <v>368</v>
      </c>
      <c r="B56" s="11" t="str">
        <f>VLOOKUP(A56,'INFRASTRUCTURE Fields NS'!B:F,1,FALSE)</f>
        <v>% Capacity used</v>
      </c>
      <c r="C56" s="11" t="str">
        <f>VLOOKUP(A56,'INFRASTRUCTURE Fields NS'!B:F,3,FALSE)</f>
        <v>Integer Number</v>
      </c>
      <c r="D56" s="11"/>
      <c r="E56" s="11"/>
      <c r="F56" s="12"/>
      <c r="G56" s="12" t="s">
        <v>51</v>
      </c>
      <c r="H56" s="14" t="s">
        <v>369</v>
      </c>
      <c r="I56" s="12" t="s">
        <v>14</v>
      </c>
      <c r="J56" s="22"/>
      <c r="K56" s="22"/>
      <c r="L56" s="12">
        <v>50</v>
      </c>
      <c r="M56" s="14" t="s">
        <v>51</v>
      </c>
    </row>
    <row r="57" hidden="1" spans="1:13">
      <c r="A57" s="11" t="s">
        <v>370</v>
      </c>
      <c r="B57" s="11" t="str">
        <f>VLOOKUP(A57,'INFRASTRUCTURE Fields NS'!B:F,1,FALSE)</f>
        <v>% Capacity remaining</v>
      </c>
      <c r="C57" s="11" t="str">
        <f>VLOOKUP(A57,'INFRASTRUCTURE Fields NS'!B:F,3,FALSE)</f>
        <v>Integer Number</v>
      </c>
      <c r="D57" s="11"/>
      <c r="E57" s="11"/>
      <c r="F57" s="12"/>
      <c r="G57" s="12" t="s">
        <v>51</v>
      </c>
      <c r="H57" s="14" t="s">
        <v>369</v>
      </c>
      <c r="I57" s="12" t="s">
        <v>14</v>
      </c>
      <c r="J57" s="22"/>
      <c r="K57" s="22"/>
      <c r="L57" s="12">
        <v>51</v>
      </c>
      <c r="M57" s="14" t="s">
        <v>51</v>
      </c>
    </row>
    <row r="58" hidden="1" spans="1:13">
      <c r="A58" s="11" t="s">
        <v>371</v>
      </c>
      <c r="B58" s="11" t="str">
        <f>VLOOKUP(A58,'INFRASTRUCTURE Fields NS'!B:F,1,FALSE)</f>
        <v>TLM</v>
      </c>
      <c r="C58" s="11" t="str">
        <f>VLOOKUP(A58,'INFRASTRUCTURE Fields NS'!B:F,3,FALSE)</f>
        <v>List/Record</v>
      </c>
      <c r="D58" s="11"/>
      <c r="E58" s="11"/>
      <c r="F58" s="12"/>
      <c r="G58" s="12" t="s">
        <v>51</v>
      </c>
      <c r="H58" s="14" t="s">
        <v>369</v>
      </c>
      <c r="I58" s="12" t="s">
        <v>23</v>
      </c>
      <c r="J58" s="22" t="s">
        <v>372</v>
      </c>
      <c r="K58" s="22"/>
      <c r="L58" s="12">
        <v>52</v>
      </c>
      <c r="M58" s="14" t="s">
        <v>51</v>
      </c>
    </row>
    <row r="59" ht="30" hidden="1" spans="1:13">
      <c r="A59" s="15" t="s">
        <v>373</v>
      </c>
      <c r="B59" s="15" t="e">
        <f>VLOOKUP(A59,'INFRASTRUCTURE Fields NS'!B:F,1,FALSE)</f>
        <v>#N/A</v>
      </c>
      <c r="C59" s="15" t="e">
        <f>VLOOKUP(A59,'INFRASTRUCTURE Fields NS'!B:F,3,FALSE)</f>
        <v>#N/A</v>
      </c>
      <c r="D59" s="26" t="s">
        <v>31</v>
      </c>
      <c r="E59" s="15"/>
      <c r="F59" s="12" t="s">
        <v>308</v>
      </c>
      <c r="G59" s="12" t="s">
        <v>51</v>
      </c>
      <c r="H59" s="14" t="s">
        <v>369</v>
      </c>
      <c r="I59" s="29" t="s">
        <v>374</v>
      </c>
      <c r="J59" s="22" t="s">
        <v>18</v>
      </c>
      <c r="K59" s="22" t="s">
        <v>375</v>
      </c>
      <c r="L59" s="12" t="s">
        <v>310</v>
      </c>
      <c r="M59" s="14" t="s">
        <v>51</v>
      </c>
    </row>
    <row r="60" hidden="1" spans="1:13">
      <c r="A60" s="27" t="s">
        <v>376</v>
      </c>
      <c r="B60" s="27" t="e">
        <f>VLOOKUP(A60,'INFRASTRUCTURE Fields NS'!B:F,1,FALSE)</f>
        <v>#N/A</v>
      </c>
      <c r="C60" s="27" t="e">
        <f>VLOOKUP(A60,'INFRASTRUCTURE Fields NS'!B:F,3,FALSE)</f>
        <v>#N/A</v>
      </c>
      <c r="D60" s="27"/>
      <c r="E60" s="27"/>
      <c r="F60" s="27"/>
      <c r="G60" s="28" t="s">
        <v>198</v>
      </c>
      <c r="H60" s="28" t="s">
        <v>198</v>
      </c>
      <c r="I60" s="35" t="s">
        <v>23</v>
      </c>
      <c r="J60" s="34" t="s">
        <v>78</v>
      </c>
      <c r="K60" s="34" t="s">
        <v>377</v>
      </c>
      <c r="L60" s="12" t="s">
        <v>310</v>
      </c>
      <c r="M60" s="14" t="s">
        <v>51</v>
      </c>
    </row>
    <row r="61" hidden="1" spans="1:13">
      <c r="A61" s="27" t="s">
        <v>378</v>
      </c>
      <c r="B61" s="27" t="e">
        <f>VLOOKUP(A61,'INFRASTRUCTURE Fields NS'!B:F,1,FALSE)</f>
        <v>#N/A</v>
      </c>
      <c r="C61" s="27" t="e">
        <f>VLOOKUP(A61,'INFRASTRUCTURE Fields NS'!B:F,3,FALSE)</f>
        <v>#N/A</v>
      </c>
      <c r="D61" s="27"/>
      <c r="E61" s="27"/>
      <c r="F61" s="27"/>
      <c r="G61" s="28" t="s">
        <v>198</v>
      </c>
      <c r="H61" s="28" t="s">
        <v>198</v>
      </c>
      <c r="I61" s="35" t="s">
        <v>14</v>
      </c>
      <c r="J61" s="34" t="s">
        <v>18</v>
      </c>
      <c r="K61" s="34" t="s">
        <v>377</v>
      </c>
      <c r="L61" s="12" t="s">
        <v>310</v>
      </c>
      <c r="M61" s="14" t="s">
        <v>51</v>
      </c>
    </row>
    <row r="62" hidden="1" spans="1:13">
      <c r="A62" s="27" t="s">
        <v>379</v>
      </c>
      <c r="B62" s="27" t="e">
        <f>VLOOKUP(A62,'INFRASTRUCTURE Fields NS'!B:F,1,FALSE)</f>
        <v>#N/A</v>
      </c>
      <c r="C62" s="27" t="e">
        <f>VLOOKUP(A62,'INFRASTRUCTURE Fields NS'!B:F,3,FALSE)</f>
        <v>#N/A</v>
      </c>
      <c r="D62" s="27"/>
      <c r="E62" s="27"/>
      <c r="F62" s="27"/>
      <c r="G62" s="28" t="s">
        <v>198</v>
      </c>
      <c r="H62" s="28" t="s">
        <v>198</v>
      </c>
      <c r="I62" s="35" t="s">
        <v>23</v>
      </c>
      <c r="J62" s="34" t="s">
        <v>78</v>
      </c>
      <c r="K62" s="34" t="s">
        <v>377</v>
      </c>
      <c r="L62" s="12" t="s">
        <v>310</v>
      </c>
      <c r="M62" s="14" t="s">
        <v>51</v>
      </c>
    </row>
    <row r="63" hidden="1" spans="1:13">
      <c r="A63" s="27" t="s">
        <v>380</v>
      </c>
      <c r="B63" s="27" t="e">
        <f>VLOOKUP(A63,'INFRASTRUCTURE Fields NS'!B:F,1,FALSE)</f>
        <v>#N/A</v>
      </c>
      <c r="C63" s="27" t="e">
        <f>VLOOKUP(A63,'INFRASTRUCTURE Fields NS'!B:F,3,FALSE)</f>
        <v>#N/A</v>
      </c>
      <c r="D63" s="27"/>
      <c r="E63" s="27"/>
      <c r="F63" s="27"/>
      <c r="G63" s="28" t="s">
        <v>198</v>
      </c>
      <c r="H63" s="28" t="s">
        <v>198</v>
      </c>
      <c r="I63" s="35" t="s">
        <v>381</v>
      </c>
      <c r="J63" s="34" t="s">
        <v>18</v>
      </c>
      <c r="K63" s="34" t="s">
        <v>377</v>
      </c>
      <c r="L63" s="12" t="s">
        <v>310</v>
      </c>
      <c r="M63" s="14" t="s">
        <v>51</v>
      </c>
    </row>
    <row r="64" hidden="1" spans="1:13">
      <c r="A64" s="11" t="s">
        <v>382</v>
      </c>
      <c r="B64" s="11" t="str">
        <f>VLOOKUP(A64,'INFRASTRUCTURE Fields NS'!B:F,1,FALSE)</f>
        <v>Accomodation Type</v>
      </c>
      <c r="C64" s="11" t="str">
        <f>VLOOKUP(A64,'INFRASTRUCTURE Fields NS'!B:F,3,FALSE)</f>
        <v>List/Record</v>
      </c>
      <c r="D64" s="11"/>
      <c r="E64" s="11"/>
      <c r="F64" s="12" t="s">
        <v>18</v>
      </c>
      <c r="G64" s="12" t="s">
        <v>383</v>
      </c>
      <c r="H64" s="12" t="s">
        <v>52</v>
      </c>
      <c r="I64" s="12" t="s">
        <v>23</v>
      </c>
      <c r="J64" s="22" t="s">
        <v>384</v>
      </c>
      <c r="K64" s="22" t="s">
        <v>18</v>
      </c>
      <c r="L64" s="12">
        <v>53</v>
      </c>
      <c r="M64" s="14" t="s">
        <v>383</v>
      </c>
    </row>
    <row r="65" hidden="1" spans="1:13">
      <c r="A65" s="11" t="s">
        <v>385</v>
      </c>
      <c r="B65" s="11" t="str">
        <f>VLOOKUP(A65,'INFRASTRUCTURE Fields NS'!B:F,1,FALSE)</f>
        <v>Accommodation Dimensions</v>
      </c>
      <c r="C65" s="11" t="str">
        <f>VLOOKUP(A65,'INFRASTRUCTURE Fields NS'!B:F,3,FALSE)</f>
        <v>Free-Form Text</v>
      </c>
      <c r="D65" s="11"/>
      <c r="E65" s="11"/>
      <c r="F65" s="12"/>
      <c r="G65" s="12" t="s">
        <v>383</v>
      </c>
      <c r="H65" s="12" t="s">
        <v>52</v>
      </c>
      <c r="I65" s="12" t="s">
        <v>20</v>
      </c>
      <c r="J65" s="22"/>
      <c r="K65" s="22"/>
      <c r="L65" s="12">
        <v>54</v>
      </c>
      <c r="M65" s="14" t="s">
        <v>383</v>
      </c>
    </row>
    <row r="66" hidden="1" spans="1:13">
      <c r="A66" s="11" t="s">
        <v>386</v>
      </c>
      <c r="B66" s="11" t="str">
        <f>VLOOKUP(A66,'INFRASTRUCTURE Fields NS'!B:F,1,FALSE)</f>
        <v>Rack Spaces Available</v>
      </c>
      <c r="C66" s="11" t="str">
        <f>VLOOKUP(A66,'INFRASTRUCTURE Fields NS'!B:F,3,FALSE)</f>
        <v>Integer Number</v>
      </c>
      <c r="D66" s="11"/>
      <c r="E66" s="11"/>
      <c r="F66" s="12" t="s">
        <v>18</v>
      </c>
      <c r="G66" s="12" t="s">
        <v>383</v>
      </c>
      <c r="H66" s="12" t="s">
        <v>52</v>
      </c>
      <c r="I66" s="12" t="s">
        <v>14</v>
      </c>
      <c r="J66" s="22" t="s">
        <v>18</v>
      </c>
      <c r="K66" s="22" t="s">
        <v>18</v>
      </c>
      <c r="L66" s="12">
        <v>55</v>
      </c>
      <c r="M66" s="14" t="s">
        <v>383</v>
      </c>
    </row>
    <row r="67" hidden="1" spans="1:13">
      <c r="A67" s="11" t="s">
        <v>387</v>
      </c>
      <c r="B67" s="11" t="str">
        <f>VLOOKUP(A67,'INFRASTRUCTURE Fields NS'!B:F,1,FALSE)</f>
        <v>Units</v>
      </c>
      <c r="C67" s="11" t="str">
        <f>VLOOKUP(A67,'INFRASTRUCTURE Fields NS'!B:F,3,FALSE)</f>
        <v>Integer Number</v>
      </c>
      <c r="D67" s="11"/>
      <c r="E67" s="11"/>
      <c r="F67" s="12" t="s">
        <v>18</v>
      </c>
      <c r="G67" s="12" t="s">
        <v>383</v>
      </c>
      <c r="H67" s="12" t="s">
        <v>388</v>
      </c>
      <c r="I67" s="12" t="s">
        <v>14</v>
      </c>
      <c r="J67" s="22"/>
      <c r="K67" s="22"/>
      <c r="L67" s="12">
        <v>56</v>
      </c>
      <c r="M67" s="14" t="s">
        <v>383</v>
      </c>
    </row>
    <row r="68" hidden="1" spans="1:13">
      <c r="A68" s="11" t="s">
        <v>389</v>
      </c>
      <c r="B68" s="11" t="str">
        <f>VLOOKUP(A68,'INFRASTRUCTURE Fields NS'!B:F,1,FALSE)</f>
        <v>Model</v>
      </c>
      <c r="C68" s="11" t="str">
        <f>VLOOKUP(A68,'INFRASTRUCTURE Fields NS'!B:F,3,FALSE)</f>
        <v>Free-Form Text</v>
      </c>
      <c r="D68" s="11"/>
      <c r="E68" s="11"/>
      <c r="F68" s="12" t="s">
        <v>18</v>
      </c>
      <c r="G68" s="12" t="s">
        <v>383</v>
      </c>
      <c r="H68" s="12" t="s">
        <v>388</v>
      </c>
      <c r="I68" s="12" t="s">
        <v>20</v>
      </c>
      <c r="J68" s="22"/>
      <c r="K68" s="22"/>
      <c r="L68" s="12">
        <v>57</v>
      </c>
      <c r="M68" s="14" t="s">
        <v>383</v>
      </c>
    </row>
    <row r="69" hidden="1" spans="1:13">
      <c r="A69" s="11" t="s">
        <v>390</v>
      </c>
      <c r="B69" s="11" t="str">
        <f>VLOOKUP(A69,'INFRASTRUCTURE Fields NS'!B:F,1,FALSE)</f>
        <v>Installed</v>
      </c>
      <c r="C69" s="11" t="str">
        <f>VLOOKUP(A69,'INFRASTRUCTURE Fields NS'!B:F,3,FALSE)</f>
        <v>Date</v>
      </c>
      <c r="D69" s="11"/>
      <c r="E69" s="11"/>
      <c r="F69" s="12" t="s">
        <v>18</v>
      </c>
      <c r="G69" s="12" t="s">
        <v>383</v>
      </c>
      <c r="H69" s="12" t="s">
        <v>388</v>
      </c>
      <c r="I69" s="12" t="s">
        <v>137</v>
      </c>
      <c r="J69" s="22"/>
      <c r="K69" s="22"/>
      <c r="L69" s="12">
        <v>58</v>
      </c>
      <c r="M69" s="14" t="s">
        <v>383</v>
      </c>
    </row>
    <row r="70" hidden="1" spans="1:13">
      <c r="A70" s="11" t="s">
        <v>391</v>
      </c>
      <c r="B70" s="11" t="str">
        <f>VLOOKUP(A70,'INFRASTRUCTURE Fields NS'!B:F,1,FALSE)</f>
        <v>AC Feed Phase</v>
      </c>
      <c r="C70" s="11" t="str">
        <f>VLOOKUP(A70,'INFRASTRUCTURE Fields NS'!B:F,3,FALSE)</f>
        <v>List/Record</v>
      </c>
      <c r="D70" s="11"/>
      <c r="E70" s="11"/>
      <c r="F70" s="12"/>
      <c r="G70" s="12" t="s">
        <v>383</v>
      </c>
      <c r="H70" s="12" t="s">
        <v>388</v>
      </c>
      <c r="I70" s="12" t="s">
        <v>23</v>
      </c>
      <c r="J70" s="22" t="s">
        <v>392</v>
      </c>
      <c r="K70" s="22"/>
      <c r="L70" s="12">
        <v>59</v>
      </c>
      <c r="M70" s="14" t="s">
        <v>383</v>
      </c>
    </row>
    <row r="71" hidden="1" spans="1:13">
      <c r="A71" s="11" t="s">
        <v>393</v>
      </c>
      <c r="B71" s="11" t="str">
        <f>VLOOKUP(A71,'INFRASTRUCTURE Fields NS'!B:F,1,FALSE)</f>
        <v>Loadings</v>
      </c>
      <c r="C71" s="11" t="str">
        <f>VLOOKUP(A71,'INFRASTRUCTURE Fields NS'!B:F,3,FALSE)</f>
        <v>Integer Number</v>
      </c>
      <c r="D71" s="11"/>
      <c r="E71" s="11"/>
      <c r="F71" s="12"/>
      <c r="G71" s="12" t="s">
        <v>383</v>
      </c>
      <c r="H71" s="12" t="s">
        <v>388</v>
      </c>
      <c r="I71" s="12" t="s">
        <v>14</v>
      </c>
      <c r="J71" s="22"/>
      <c r="K71" s="22" t="s">
        <v>394</v>
      </c>
      <c r="L71" s="12">
        <v>60</v>
      </c>
      <c r="M71" s="14" t="s">
        <v>383</v>
      </c>
    </row>
    <row r="72" hidden="1" spans="1:13">
      <c r="A72" s="11" t="s">
        <v>395</v>
      </c>
      <c r="B72" s="11" t="str">
        <f>VLOOKUP(A72,'INFRASTRUCTURE Fields NS'!B:F,1,FALSE)</f>
        <v>Noise Level</v>
      </c>
      <c r="C72" s="11" t="str">
        <f>VLOOKUP(A72,'INFRASTRUCTURE Fields NS'!B:F,3,FALSE)</f>
        <v>Integer Number</v>
      </c>
      <c r="D72" s="11"/>
      <c r="E72" s="11"/>
      <c r="F72" s="12"/>
      <c r="G72" s="12" t="s">
        <v>383</v>
      </c>
      <c r="H72" s="12" t="s">
        <v>388</v>
      </c>
      <c r="I72" s="12" t="s">
        <v>14</v>
      </c>
      <c r="J72" s="22"/>
      <c r="K72" s="36" t="s">
        <v>396</v>
      </c>
      <c r="L72" s="12">
        <v>61</v>
      </c>
      <c r="M72" s="14" t="s">
        <v>383</v>
      </c>
    </row>
    <row r="73" hidden="1" spans="1:13">
      <c r="A73" s="11" t="s">
        <v>397</v>
      </c>
      <c r="B73" s="11" t="str">
        <f>VLOOKUP(A73,'INFRASTRUCTURE Fields NS'!B:F,1,FALSE)</f>
        <v>Next Aircon Service</v>
      </c>
      <c r="C73" s="11" t="str">
        <f>VLOOKUP(A73,'INFRASTRUCTURE Fields NS'!B:F,3,FALSE)</f>
        <v>Date</v>
      </c>
      <c r="D73" s="11"/>
      <c r="E73" s="11"/>
      <c r="F73" s="12"/>
      <c r="G73" s="12" t="s">
        <v>383</v>
      </c>
      <c r="H73" s="12" t="s">
        <v>388</v>
      </c>
      <c r="I73" s="12" t="s">
        <v>137</v>
      </c>
      <c r="J73" s="22"/>
      <c r="K73" s="22"/>
      <c r="L73" s="12">
        <v>62</v>
      </c>
      <c r="M73" s="14" t="s">
        <v>383</v>
      </c>
    </row>
    <row r="74" hidden="1" spans="1:13">
      <c r="A74" s="11" t="s">
        <v>398</v>
      </c>
      <c r="B74" s="11" t="str">
        <f>VLOOKUP(A74,'INFRASTRUCTURE Fields NS'!B:F,1,FALSE)</f>
        <v>Intruder Alarm Present</v>
      </c>
      <c r="C74" s="11" t="str">
        <f>VLOOKUP(A74,'INFRASTRUCTURE Fields NS'!B:F,3,FALSE)</f>
        <v>Check Box</v>
      </c>
      <c r="D74" s="11"/>
      <c r="E74" s="11"/>
      <c r="F74" s="12"/>
      <c r="G74" s="12" t="s">
        <v>383</v>
      </c>
      <c r="H74" s="12" t="s">
        <v>399</v>
      </c>
      <c r="I74" s="12" t="s">
        <v>23</v>
      </c>
      <c r="J74" s="22" t="s">
        <v>78</v>
      </c>
      <c r="K74" s="22"/>
      <c r="L74" s="12">
        <v>63</v>
      </c>
      <c r="M74" s="14" t="s">
        <v>383</v>
      </c>
    </row>
    <row r="75" hidden="1" spans="1:13">
      <c r="A75" s="11" t="s">
        <v>400</v>
      </c>
      <c r="B75" s="11" t="str">
        <f>VLOOKUP(A75,'INFRASTRUCTURE Fields NS'!B:F,1,FALSE)</f>
        <v>Intruder Code</v>
      </c>
      <c r="C75" s="11" t="str">
        <f>VLOOKUP(A75,'INFRASTRUCTURE Fields NS'!B:F,3,FALSE)</f>
        <v>Free-Form Text</v>
      </c>
      <c r="D75" s="11"/>
      <c r="E75" s="11"/>
      <c r="F75" s="12"/>
      <c r="G75" s="12" t="s">
        <v>383</v>
      </c>
      <c r="H75" s="12" t="s">
        <v>399</v>
      </c>
      <c r="I75" s="12" t="s">
        <v>20</v>
      </c>
      <c r="J75" s="22" t="s">
        <v>18</v>
      </c>
      <c r="K75" s="22"/>
      <c r="L75" s="12">
        <v>64</v>
      </c>
      <c r="M75" s="14" t="s">
        <v>383</v>
      </c>
    </row>
    <row r="76" hidden="1" spans="1:13">
      <c r="A76" s="11" t="s">
        <v>401</v>
      </c>
      <c r="B76" s="11" t="str">
        <f>VLOOKUP(A76,'INFRASTRUCTURE Fields NS'!B:F,1,FALSE)</f>
        <v>Fire Alarm Present</v>
      </c>
      <c r="C76" s="11" t="str">
        <f>VLOOKUP(A76,'INFRASTRUCTURE Fields NS'!B:F,3,FALSE)</f>
        <v>Check Box</v>
      </c>
      <c r="D76" s="11"/>
      <c r="E76" s="11"/>
      <c r="F76" s="12"/>
      <c r="G76" s="12" t="s">
        <v>383</v>
      </c>
      <c r="H76" s="12" t="s">
        <v>402</v>
      </c>
      <c r="I76" s="12" t="s">
        <v>23</v>
      </c>
      <c r="J76" s="22" t="s">
        <v>78</v>
      </c>
      <c r="K76" s="22"/>
      <c r="L76" s="12">
        <v>65</v>
      </c>
      <c r="M76" s="14" t="s">
        <v>383</v>
      </c>
    </row>
    <row r="77" hidden="1" spans="1:13">
      <c r="A77" s="11" t="s">
        <v>403</v>
      </c>
      <c r="B77" s="11" t="str">
        <f>VLOOKUP(A77,'INFRASTRUCTURE Fields NS'!B:F,1,FALSE)</f>
        <v>Next Fire Service</v>
      </c>
      <c r="C77" s="11" t="str">
        <f>VLOOKUP(A77,'INFRASTRUCTURE Fields NS'!B:F,3,FALSE)</f>
        <v>Date</v>
      </c>
      <c r="D77" s="11"/>
      <c r="E77" s="11"/>
      <c r="F77" s="12"/>
      <c r="G77" s="12" t="s">
        <v>383</v>
      </c>
      <c r="H77" s="12" t="s">
        <v>402</v>
      </c>
      <c r="I77" s="12" t="s">
        <v>137</v>
      </c>
      <c r="J77" s="22"/>
      <c r="K77" s="22"/>
      <c r="L77" s="12">
        <v>66</v>
      </c>
      <c r="M77" s="14" t="s">
        <v>383</v>
      </c>
    </row>
    <row r="78" hidden="1" spans="1:13">
      <c r="A78" s="11" t="s">
        <v>404</v>
      </c>
      <c r="B78" s="11" t="str">
        <f>VLOOKUP(A78,'INFRASTRUCTURE Fields NS'!B:F,1,FALSE)</f>
        <v>Next Alarm Service</v>
      </c>
      <c r="C78" s="11" t="str">
        <f>VLOOKUP(A78,'INFRASTRUCTURE Fields NS'!B:F,3,FALSE)</f>
        <v>Date</v>
      </c>
      <c r="D78" s="11"/>
      <c r="E78" s="11"/>
      <c r="F78" s="12"/>
      <c r="G78" s="12" t="s">
        <v>383</v>
      </c>
      <c r="H78" s="12" t="s">
        <v>399</v>
      </c>
      <c r="I78" s="12" t="s">
        <v>137</v>
      </c>
      <c r="J78" s="22"/>
      <c r="K78" s="22"/>
      <c r="L78" s="12">
        <v>67</v>
      </c>
      <c r="M78" s="14" t="s">
        <v>383</v>
      </c>
    </row>
    <row r="79" ht="30" hidden="1" spans="1:13">
      <c r="A79" s="15" t="s">
        <v>405</v>
      </c>
      <c r="B79" s="15" t="e">
        <f>VLOOKUP(A79,'INFRASTRUCTURE Fields NS'!B:F,1,FALSE)</f>
        <v>#N/A</v>
      </c>
      <c r="C79" s="15" t="e">
        <f>VLOOKUP(A79,'INFRASTRUCTURE Fields NS'!B:F,3,FALSE)</f>
        <v>#N/A</v>
      </c>
      <c r="D79" s="26" t="s">
        <v>31</v>
      </c>
      <c r="E79" s="15"/>
      <c r="F79" s="12"/>
      <c r="G79" s="12" t="s">
        <v>383</v>
      </c>
      <c r="H79" s="12" t="s">
        <v>406</v>
      </c>
      <c r="I79" s="29" t="s">
        <v>407</v>
      </c>
      <c r="J79" s="22"/>
      <c r="K79" s="22" t="s">
        <v>408</v>
      </c>
      <c r="L79" s="12" t="s">
        <v>310</v>
      </c>
      <c r="M79" s="14" t="s">
        <v>383</v>
      </c>
    </row>
    <row r="80" spans="1:13">
      <c r="A80" s="11" t="s">
        <v>409</v>
      </c>
      <c r="B80" s="11" t="e">
        <f>VLOOKUP(A80,'INFRASTRUCTURE Fields NS'!B:F,1,FALSE)</f>
        <v>#N/A</v>
      </c>
      <c r="C80" s="11" t="e">
        <f>VLOOKUP(A80,'INFRASTRUCTURE Fields NS'!B:F,3,FALSE)</f>
        <v>#N/A</v>
      </c>
      <c r="D80" s="11" t="s">
        <v>164</v>
      </c>
      <c r="E80" s="11"/>
      <c r="F80" s="12"/>
      <c r="G80" s="12" t="s">
        <v>410</v>
      </c>
      <c r="H80" s="12" t="s">
        <v>52</v>
      </c>
      <c r="I80" s="14" t="s">
        <v>23</v>
      </c>
      <c r="J80" s="22" t="s">
        <v>411</v>
      </c>
      <c r="K80" s="22" t="s">
        <v>377</v>
      </c>
      <c r="L80" s="12" t="s">
        <v>310</v>
      </c>
      <c r="M80" s="14" t="s">
        <v>410</v>
      </c>
    </row>
    <row r="81" spans="1:13">
      <c r="A81" s="11" t="s">
        <v>412</v>
      </c>
      <c r="B81" s="11" t="e">
        <f>VLOOKUP(A81,'INFRASTRUCTURE Fields NS'!B:F,1,FALSE)</f>
        <v>#N/A</v>
      </c>
      <c r="C81" s="11" t="e">
        <f>VLOOKUP(A81,'INFRASTRUCTURE Fields NS'!B:F,3,FALSE)</f>
        <v>#N/A</v>
      </c>
      <c r="D81" s="11" t="s">
        <v>164</v>
      </c>
      <c r="E81" s="11"/>
      <c r="F81" s="12" t="s">
        <v>18</v>
      </c>
      <c r="G81" s="12" t="s">
        <v>410</v>
      </c>
      <c r="H81" s="12" t="s">
        <v>52</v>
      </c>
      <c r="I81" s="12" t="s">
        <v>23</v>
      </c>
      <c r="J81" s="22" t="s">
        <v>413</v>
      </c>
      <c r="K81" s="22" t="s">
        <v>377</v>
      </c>
      <c r="L81" s="12" t="s">
        <v>310</v>
      </c>
      <c r="M81" s="14" t="s">
        <v>410</v>
      </c>
    </row>
    <row r="82" spans="1:13">
      <c r="A82" s="11" t="s">
        <v>414</v>
      </c>
      <c r="B82" s="11" t="e">
        <f>VLOOKUP(A82,'INFRASTRUCTURE Fields NS'!B:F,1,FALSE)</f>
        <v>#N/A</v>
      </c>
      <c r="C82" s="11" t="e">
        <f>VLOOKUP(A82,'INFRASTRUCTURE Fields NS'!B:F,3,FALSE)</f>
        <v>#N/A</v>
      </c>
      <c r="D82" s="11" t="s">
        <v>164</v>
      </c>
      <c r="E82" s="11"/>
      <c r="F82" s="12"/>
      <c r="G82" s="12" t="s">
        <v>410</v>
      </c>
      <c r="H82" s="12" t="s">
        <v>52</v>
      </c>
      <c r="I82" s="14" t="s">
        <v>23</v>
      </c>
      <c r="J82" s="22" t="s">
        <v>415</v>
      </c>
      <c r="K82" s="22" t="s">
        <v>377</v>
      </c>
      <c r="L82" s="12" t="s">
        <v>310</v>
      </c>
      <c r="M82" s="14" t="s">
        <v>410</v>
      </c>
    </row>
    <row r="83" spans="1:13">
      <c r="A83" s="11" t="s">
        <v>416</v>
      </c>
      <c r="B83" s="11" t="e">
        <f>VLOOKUP(A83,'INFRASTRUCTURE Fields NS'!B:F,1,FALSE)</f>
        <v>#N/A</v>
      </c>
      <c r="C83" s="11" t="e">
        <f>VLOOKUP(A83,'INFRASTRUCTURE Fields NS'!B:F,3,FALSE)</f>
        <v>#N/A</v>
      </c>
      <c r="D83" s="11" t="s">
        <v>164</v>
      </c>
      <c r="E83" s="11"/>
      <c r="F83" s="12" t="s">
        <v>18</v>
      </c>
      <c r="G83" s="12" t="s">
        <v>410</v>
      </c>
      <c r="H83" s="12" t="s">
        <v>52</v>
      </c>
      <c r="I83" s="12" t="s">
        <v>176</v>
      </c>
      <c r="J83" s="22" t="s">
        <v>417</v>
      </c>
      <c r="K83" s="22" t="s">
        <v>377</v>
      </c>
      <c r="L83" s="12" t="s">
        <v>310</v>
      </c>
      <c r="M83" s="14" t="s">
        <v>410</v>
      </c>
    </row>
    <row r="84" spans="1:13">
      <c r="A84" s="11" t="s">
        <v>418</v>
      </c>
      <c r="B84" s="11" t="e">
        <f>VLOOKUP(A84,'INFRASTRUCTURE Fields NS'!B:F,1,FALSE)</f>
        <v>#N/A</v>
      </c>
      <c r="C84" s="11" t="e">
        <f>VLOOKUP(A84,'INFRASTRUCTURE Fields NS'!B:F,3,FALSE)</f>
        <v>#N/A</v>
      </c>
      <c r="D84" s="11" t="s">
        <v>164</v>
      </c>
      <c r="E84" s="11"/>
      <c r="F84" s="12" t="s">
        <v>18</v>
      </c>
      <c r="G84" s="12" t="s">
        <v>410</v>
      </c>
      <c r="H84" s="12" t="s">
        <v>52</v>
      </c>
      <c r="I84" s="12" t="s">
        <v>20</v>
      </c>
      <c r="J84" s="22" t="s">
        <v>18</v>
      </c>
      <c r="K84" s="22" t="s">
        <v>377</v>
      </c>
      <c r="L84" s="12" t="s">
        <v>310</v>
      </c>
      <c r="M84" s="14" t="s">
        <v>410</v>
      </c>
    </row>
    <row r="85" spans="1:13">
      <c r="A85" s="11" t="s">
        <v>419</v>
      </c>
      <c r="B85" s="11" t="e">
        <f>VLOOKUP(A85,'INFRASTRUCTURE Fields NS'!B:F,1,FALSE)</f>
        <v>#N/A</v>
      </c>
      <c r="C85" s="11" t="e">
        <f>VLOOKUP(A85,'INFRASTRUCTURE Fields NS'!B:F,3,FALSE)</f>
        <v>#N/A</v>
      </c>
      <c r="D85" s="11" t="s">
        <v>164</v>
      </c>
      <c r="E85" s="11"/>
      <c r="F85" s="12" t="s">
        <v>18</v>
      </c>
      <c r="G85" s="12" t="s">
        <v>410</v>
      </c>
      <c r="H85" s="12" t="s">
        <v>52</v>
      </c>
      <c r="I85" s="12" t="s">
        <v>20</v>
      </c>
      <c r="J85" s="22" t="s">
        <v>18</v>
      </c>
      <c r="K85" s="22" t="s">
        <v>377</v>
      </c>
      <c r="L85" s="12" t="s">
        <v>310</v>
      </c>
      <c r="M85" s="14" t="s">
        <v>410</v>
      </c>
    </row>
    <row r="86" spans="1:13">
      <c r="A86" s="11" t="s">
        <v>420</v>
      </c>
      <c r="B86" s="11" t="e">
        <f>VLOOKUP(A86,'INFRASTRUCTURE Fields NS'!B:F,1,FALSE)</f>
        <v>#N/A</v>
      </c>
      <c r="C86" s="11" t="e">
        <f>VLOOKUP(A86,'INFRASTRUCTURE Fields NS'!B:F,3,FALSE)</f>
        <v>#N/A</v>
      </c>
      <c r="D86" s="11" t="s">
        <v>164</v>
      </c>
      <c r="E86" s="11"/>
      <c r="F86" s="12" t="s">
        <v>18</v>
      </c>
      <c r="G86" s="12" t="s">
        <v>410</v>
      </c>
      <c r="H86" s="12" t="s">
        <v>52</v>
      </c>
      <c r="I86" s="12" t="s">
        <v>20</v>
      </c>
      <c r="J86" s="22" t="s">
        <v>18</v>
      </c>
      <c r="K86" s="22" t="s">
        <v>377</v>
      </c>
      <c r="L86" s="12" t="s">
        <v>310</v>
      </c>
      <c r="M86" s="14" t="s">
        <v>410</v>
      </c>
    </row>
    <row r="87" spans="1:13">
      <c r="A87" s="11" t="s">
        <v>421</v>
      </c>
      <c r="B87" s="11" t="e">
        <f>VLOOKUP(A87,'INFRASTRUCTURE Fields NS'!B:F,1,FALSE)</f>
        <v>#N/A</v>
      </c>
      <c r="C87" s="11" t="e">
        <f>VLOOKUP(A87,'INFRASTRUCTURE Fields NS'!B:F,3,FALSE)</f>
        <v>#N/A</v>
      </c>
      <c r="D87" s="11" t="s">
        <v>164</v>
      </c>
      <c r="E87" s="11"/>
      <c r="F87" s="12" t="s">
        <v>18</v>
      </c>
      <c r="G87" s="12" t="s">
        <v>410</v>
      </c>
      <c r="H87" s="12" t="s">
        <v>52</v>
      </c>
      <c r="I87" s="12" t="s">
        <v>20</v>
      </c>
      <c r="J87" s="22" t="s">
        <v>18</v>
      </c>
      <c r="K87" s="22" t="s">
        <v>377</v>
      </c>
      <c r="L87" s="12" t="s">
        <v>310</v>
      </c>
      <c r="M87" s="14" t="s">
        <v>410</v>
      </c>
    </row>
    <row r="88" hidden="1" spans="1:13">
      <c r="A88" s="11" t="s">
        <v>422</v>
      </c>
      <c r="B88" s="11" t="str">
        <f>VLOOKUP(A88,'INFRASTRUCTURE Fields NS'!B:F,1,FALSE)</f>
        <v>Generator Model</v>
      </c>
      <c r="C88" s="11" t="str">
        <f>VLOOKUP(A88,'INFRASTRUCTURE Fields NS'!B:F,3,FALSE)</f>
        <v>Free-Form Text</v>
      </c>
      <c r="D88" s="11"/>
      <c r="E88" s="11"/>
      <c r="F88" s="11"/>
      <c r="G88" s="12" t="s">
        <v>423</v>
      </c>
      <c r="H88" s="12" t="s">
        <v>52</v>
      </c>
      <c r="I88" s="12" t="s">
        <v>20</v>
      </c>
      <c r="J88" s="22"/>
      <c r="K88" s="11"/>
      <c r="L88" s="12">
        <v>68</v>
      </c>
      <c r="M88" s="14" t="s">
        <v>423</v>
      </c>
    </row>
    <row r="89" hidden="1" spans="1:13">
      <c r="A89" s="11" t="s">
        <v>424</v>
      </c>
      <c r="B89" s="11" t="str">
        <f>VLOOKUP(A89,'INFRASTRUCTURE Fields NS'!B:F,1,FALSE)</f>
        <v>Power Capacity</v>
      </c>
      <c r="C89" s="11" t="str">
        <f>VLOOKUP(A89,'INFRASTRUCTURE Fields NS'!B:F,3,FALSE)</f>
        <v>Integer Number</v>
      </c>
      <c r="D89" s="11"/>
      <c r="E89" s="11"/>
      <c r="F89" s="11"/>
      <c r="G89" s="12" t="s">
        <v>423</v>
      </c>
      <c r="H89" s="12" t="s">
        <v>52</v>
      </c>
      <c r="I89" s="12" t="s">
        <v>14</v>
      </c>
      <c r="J89" s="22" t="s">
        <v>18</v>
      </c>
      <c r="K89" s="11"/>
      <c r="L89" s="12">
        <v>69</v>
      </c>
      <c r="M89" s="14" t="s">
        <v>423</v>
      </c>
    </row>
    <row r="90" hidden="1" spans="1:13">
      <c r="A90" s="11" t="s">
        <v>425</v>
      </c>
      <c r="B90" s="11" t="str">
        <f>VLOOKUP(A90,'INFRASTRUCTURE Fields NS'!B:F,1,FALSE)</f>
        <v>Tank Capacity (l)</v>
      </c>
      <c r="C90" s="11" t="str">
        <f>VLOOKUP(A90,'INFRASTRUCTURE Fields NS'!B:F,3,FALSE)</f>
        <v>Integer Number</v>
      </c>
      <c r="D90" s="11"/>
      <c r="E90" s="11"/>
      <c r="F90" s="11"/>
      <c r="G90" s="12" t="s">
        <v>423</v>
      </c>
      <c r="H90" s="12" t="s">
        <v>52</v>
      </c>
      <c r="I90" s="12" t="s">
        <v>14</v>
      </c>
      <c r="J90" s="22" t="s">
        <v>18</v>
      </c>
      <c r="K90" s="11"/>
      <c r="L90" s="12">
        <v>70</v>
      </c>
      <c r="M90" s="14" t="s">
        <v>423</v>
      </c>
    </row>
    <row r="91" ht="30" hidden="1" spans="1:13">
      <c r="A91" s="15" t="s">
        <v>426</v>
      </c>
      <c r="B91" s="15" t="e">
        <f>VLOOKUP(A91,'INFRASTRUCTURE Fields NS'!B:F,1,FALSE)</f>
        <v>#N/A</v>
      </c>
      <c r="C91" s="15" t="e">
        <f>VLOOKUP(A91,'INFRASTRUCTURE Fields NS'!B:F,3,FALSE)</f>
        <v>#N/A</v>
      </c>
      <c r="D91" s="26" t="s">
        <v>31</v>
      </c>
      <c r="E91" s="15"/>
      <c r="F91" s="11"/>
      <c r="G91" s="12" t="s">
        <v>423</v>
      </c>
      <c r="H91" s="12" t="s">
        <v>52</v>
      </c>
      <c r="I91" s="29" t="s">
        <v>427</v>
      </c>
      <c r="J91" s="22"/>
      <c r="K91" s="22" t="s">
        <v>428</v>
      </c>
      <c r="L91" s="12" t="s">
        <v>310</v>
      </c>
      <c r="M91" s="14" t="s">
        <v>423</v>
      </c>
    </row>
    <row r="92" hidden="1" spans="1:13">
      <c r="A92" s="11" t="s">
        <v>134</v>
      </c>
      <c r="B92" s="11" t="str">
        <f>VLOOKUP(A92,'INFRASTRUCTURE Fields NS'!B:F,1,FALSE)</f>
        <v>Next Generator Service</v>
      </c>
      <c r="C92" s="11" t="str">
        <f>VLOOKUP(A92,'INFRASTRUCTURE Fields NS'!B:F,3,FALSE)</f>
        <v>Date</v>
      </c>
      <c r="D92" s="11"/>
      <c r="E92" s="11"/>
      <c r="F92" s="11"/>
      <c r="G92" s="12" t="s">
        <v>423</v>
      </c>
      <c r="H92" s="12" t="s">
        <v>52</v>
      </c>
      <c r="I92" s="12" t="s">
        <v>137</v>
      </c>
      <c r="J92" s="22" t="s">
        <v>18</v>
      </c>
      <c r="K92" s="11"/>
      <c r="L92" s="12">
        <v>71</v>
      </c>
      <c r="M92" s="14" t="s">
        <v>423</v>
      </c>
    </row>
    <row r="93" hidden="1" spans="1:13">
      <c r="A93" s="11" t="s">
        <v>429</v>
      </c>
      <c r="B93" s="11" t="str">
        <f>VLOOKUP(A93,'INFRASTRUCTURE Fields NS'!B:F,1,FALSE)</f>
        <v>Next Generator Service Type</v>
      </c>
      <c r="C93" s="11" t="str">
        <f>VLOOKUP(A93,'INFRASTRUCTURE Fields NS'!B:F,3,FALSE)</f>
        <v>List/Record</v>
      </c>
      <c r="D93" s="11"/>
      <c r="E93" s="11"/>
      <c r="F93" s="11"/>
      <c r="G93" s="12" t="s">
        <v>423</v>
      </c>
      <c r="H93" s="12" t="s">
        <v>52</v>
      </c>
      <c r="I93" s="12" t="s">
        <v>23</v>
      </c>
      <c r="J93" s="22" t="s">
        <v>430</v>
      </c>
      <c r="K93" s="11"/>
      <c r="L93" s="12">
        <v>72</v>
      </c>
      <c r="M93" s="14" t="s">
        <v>423</v>
      </c>
    </row>
  </sheetData>
  <autoFilter ref="A1:M93">
    <filterColumn colId="3">
      <filters>
        <filter val="create field"/>
      </filters>
    </filterColumn>
    <extLst/>
  </autoFilter>
  <mergeCells count="1">
    <mergeCell ref="K19:K2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80"/>
  <sheetViews>
    <sheetView workbookViewId="0">
      <selection activeCell="D59" sqref="D59"/>
    </sheetView>
  </sheetViews>
  <sheetFormatPr defaultColWidth="9.14285714285714" defaultRowHeight="15" outlineLevelCol="5"/>
  <cols>
    <col min="2" max="2" width="47.1428571428571" customWidth="1"/>
    <col min="3" max="3" width="41.8571428571429" customWidth="1"/>
    <col min="4" max="4" width="17.2857142857143" customWidth="1"/>
    <col min="5" max="5" width="43.5714285714286" customWidth="1"/>
    <col min="6" max="6" width="14.7142857142857" customWidth="1"/>
  </cols>
  <sheetData>
    <row r="1" s="1" customFormat="1" spans="2:6">
      <c r="B1" s="1" t="s">
        <v>431</v>
      </c>
      <c r="C1" s="1" t="s">
        <v>214</v>
      </c>
      <c r="D1" s="1" t="s">
        <v>432</v>
      </c>
      <c r="E1" s="1" t="s">
        <v>433</v>
      </c>
      <c r="F1" s="1" t="s">
        <v>434</v>
      </c>
    </row>
    <row r="2" hidden="1" spans="1:6">
      <c r="A2" t="str">
        <f>VLOOKUP(B2,'INFRASTRUCTURE Fields'!A:A,1,FALSE)</f>
        <v>Site</v>
      </c>
      <c r="B2" t="s">
        <v>288</v>
      </c>
      <c r="C2" t="s">
        <v>435</v>
      </c>
      <c r="D2" t="s">
        <v>226</v>
      </c>
      <c r="E2" t="s">
        <v>436</v>
      </c>
      <c r="F2" t="s">
        <v>437</v>
      </c>
    </row>
    <row r="3" hidden="1" spans="1:6">
      <c r="A3" t="str">
        <f>VLOOKUP(B3,'INFRASTRUCTURE Fields'!A:A,1,FALSE)</f>
        <v>Infrastructure Type</v>
      </c>
      <c r="B3" t="s">
        <v>292</v>
      </c>
      <c r="C3" t="s">
        <v>438</v>
      </c>
      <c r="D3" t="s">
        <v>226</v>
      </c>
      <c r="E3" t="s">
        <v>439</v>
      </c>
      <c r="F3" t="s">
        <v>437</v>
      </c>
    </row>
    <row r="4" hidden="1" spans="1:6">
      <c r="A4" t="str">
        <f>VLOOKUP(B4,'INFRASTRUCTURE Fields'!A:A,1,FALSE)</f>
        <v>Infrastructure ID</v>
      </c>
      <c r="B4" t="s">
        <v>294</v>
      </c>
      <c r="C4" t="s">
        <v>440</v>
      </c>
      <c r="D4" t="s">
        <v>20</v>
      </c>
      <c r="E4" t="s">
        <v>221</v>
      </c>
      <c r="F4" t="s">
        <v>437</v>
      </c>
    </row>
    <row r="5" hidden="1" spans="1:6">
      <c r="A5" t="str">
        <f>VLOOKUP(B5,'INFRASTRUCTURE Fields'!A:A,1,FALSE)</f>
        <v>Legacy ID</v>
      </c>
      <c r="B5" t="s">
        <v>296</v>
      </c>
      <c r="C5" t="s">
        <v>441</v>
      </c>
      <c r="D5" t="s">
        <v>20</v>
      </c>
      <c r="E5" t="s">
        <v>221</v>
      </c>
      <c r="F5" t="s">
        <v>437</v>
      </c>
    </row>
    <row r="6" hidden="1" spans="1:6">
      <c r="A6" t="str">
        <f>VLOOKUP(B6,'INFRASTRUCTURE Fields'!A:A,1,FALSE)</f>
        <v>Status</v>
      </c>
      <c r="B6" t="s">
        <v>297</v>
      </c>
      <c r="C6" t="s">
        <v>442</v>
      </c>
      <c r="D6" t="s">
        <v>226</v>
      </c>
      <c r="E6" t="s">
        <v>443</v>
      </c>
      <c r="F6" t="s">
        <v>437</v>
      </c>
    </row>
    <row r="7" hidden="1" spans="1:6">
      <c r="A7" t="str">
        <f>VLOOKUP(B7,'INFRASTRUCTURE Fields'!A:A,1,FALSE)</f>
        <v>SRF Status</v>
      </c>
      <c r="B7" t="s">
        <v>48</v>
      </c>
      <c r="C7" t="s">
        <v>444</v>
      </c>
      <c r="D7" t="s">
        <v>226</v>
      </c>
      <c r="E7" t="s">
        <v>445</v>
      </c>
      <c r="F7" t="s">
        <v>437</v>
      </c>
    </row>
    <row r="8" hidden="1" spans="1:6">
      <c r="A8" t="str">
        <f>VLOOKUP(B8,'INFRASTRUCTURE Fields'!A:A,1,FALSE)</f>
        <v>SAF Status</v>
      </c>
      <c r="B8" t="s">
        <v>54</v>
      </c>
      <c r="C8" t="s">
        <v>446</v>
      </c>
      <c r="D8" t="s">
        <v>226</v>
      </c>
      <c r="E8" t="s">
        <v>447</v>
      </c>
      <c r="F8" t="s">
        <v>437</v>
      </c>
    </row>
    <row r="9" hidden="1" spans="1:6">
      <c r="A9" t="str">
        <f>VLOOKUP(B9,'INFRASTRUCTURE Fields'!A:A,1,FALSE)</f>
        <v>SAF Auto Approve</v>
      </c>
      <c r="B9" t="s">
        <v>76</v>
      </c>
      <c r="C9" t="s">
        <v>448</v>
      </c>
      <c r="D9" t="s">
        <v>229</v>
      </c>
      <c r="E9" t="s">
        <v>221</v>
      </c>
      <c r="F9" t="s">
        <v>437</v>
      </c>
    </row>
    <row r="10" hidden="1" spans="1:6">
      <c r="A10" t="str">
        <f>VLOOKUP(B10,'INFRASTRUCTURE Fields'!A:A,1,FALSE)</f>
        <v>Schedule</v>
      </c>
      <c r="B10" t="s">
        <v>301</v>
      </c>
      <c r="C10" t="s">
        <v>449</v>
      </c>
      <c r="D10" t="s">
        <v>226</v>
      </c>
      <c r="E10" t="s">
        <v>450</v>
      </c>
      <c r="F10" t="s">
        <v>437</v>
      </c>
    </row>
    <row r="11" hidden="1" spans="1:6">
      <c r="A11" t="str">
        <f>VLOOKUP(B11,'INFRASTRUCTURE Fields'!A:A,1,FALSE)</f>
        <v>Infrastructure Ownership</v>
      </c>
      <c r="B11" t="s">
        <v>303</v>
      </c>
      <c r="C11" t="s">
        <v>451</v>
      </c>
      <c r="D11" t="s">
        <v>226</v>
      </c>
      <c r="E11">
        <v>-2</v>
      </c>
      <c r="F11" t="s">
        <v>437</v>
      </c>
    </row>
    <row r="12" hidden="1" spans="1:6">
      <c r="A12" t="str">
        <f>VLOOKUP(B12,'INFRASTRUCTURE Fields'!A:A,1,FALSE)</f>
        <v>O&amp;M Ownership</v>
      </c>
      <c r="B12" t="s">
        <v>305</v>
      </c>
      <c r="C12" t="s">
        <v>452</v>
      </c>
      <c r="D12" t="s">
        <v>226</v>
      </c>
      <c r="E12">
        <v>-2</v>
      </c>
      <c r="F12" t="s">
        <v>437</v>
      </c>
    </row>
    <row r="13" hidden="1" spans="1:6">
      <c r="A13" t="str">
        <f>VLOOKUP(B13,'INFRASTRUCTURE Fields'!A:A,1,FALSE)</f>
        <v>Insurance Ownership</v>
      </c>
      <c r="B13" t="s">
        <v>306</v>
      </c>
      <c r="C13" t="s">
        <v>453</v>
      </c>
      <c r="D13" t="s">
        <v>226</v>
      </c>
      <c r="E13">
        <v>-2</v>
      </c>
      <c r="F13" t="s">
        <v>437</v>
      </c>
    </row>
    <row r="14" hidden="1" spans="1:6">
      <c r="A14" t="str">
        <f>VLOOKUP(B14,'INFRASTRUCTURE Fields'!A:A,1,FALSE)</f>
        <v>Marketing Status</v>
      </c>
      <c r="B14" t="s">
        <v>160</v>
      </c>
      <c r="C14" t="s">
        <v>454</v>
      </c>
      <c r="D14" t="s">
        <v>229</v>
      </c>
      <c r="E14" t="s">
        <v>221</v>
      </c>
      <c r="F14" t="s">
        <v>437</v>
      </c>
    </row>
    <row r="15" hidden="1" spans="1:6">
      <c r="A15" t="str">
        <f>VLOOKUP(B15,'INFRASTRUCTURE Fields'!A:A,1,FALSE)</f>
        <v>Public</v>
      </c>
      <c r="B15" t="s">
        <v>57</v>
      </c>
      <c r="C15" t="s">
        <v>455</v>
      </c>
      <c r="D15" t="s">
        <v>226</v>
      </c>
      <c r="E15" t="s">
        <v>456</v>
      </c>
      <c r="F15" t="s">
        <v>437</v>
      </c>
    </row>
    <row r="16" hidden="1" spans="1:6">
      <c r="A16" t="e">
        <f>VLOOKUP(B16,'INFRASTRUCTURE Fields'!A:A,1,FALSE)</f>
        <v>#N/A</v>
      </c>
      <c r="B16" t="s">
        <v>457</v>
      </c>
      <c r="C16" t="s">
        <v>458</v>
      </c>
      <c r="D16" t="s">
        <v>226</v>
      </c>
      <c r="E16" t="s">
        <v>459</v>
      </c>
      <c r="F16" t="s">
        <v>437</v>
      </c>
    </row>
    <row r="17" hidden="1" spans="1:6">
      <c r="A17" t="e">
        <f>VLOOKUP(B17,'INFRASTRUCTURE Fields'!A:A,1,FALSE)</f>
        <v>#N/A</v>
      </c>
      <c r="B17" t="s">
        <v>460</v>
      </c>
      <c r="C17" t="s">
        <v>461</v>
      </c>
      <c r="D17" t="s">
        <v>226</v>
      </c>
      <c r="E17" t="s">
        <v>462</v>
      </c>
      <c r="F17" t="s">
        <v>437</v>
      </c>
    </row>
    <row r="18" hidden="1" spans="1:6">
      <c r="A18" t="str">
        <f>VLOOKUP(B18,'INFRASTRUCTURE Fields'!A:A,1,FALSE)</f>
        <v>Comments</v>
      </c>
      <c r="B18" t="s">
        <v>317</v>
      </c>
      <c r="C18" t="s">
        <v>463</v>
      </c>
      <c r="D18" t="s">
        <v>20</v>
      </c>
      <c r="E18" t="s">
        <v>221</v>
      </c>
      <c r="F18" t="s">
        <v>437</v>
      </c>
    </row>
    <row r="19" hidden="1" spans="1:6">
      <c r="A19" t="str">
        <f>VLOOKUP(B19,'INFRASTRUCTURE Fields'!A:A,1,FALSE)</f>
        <v>Easting</v>
      </c>
      <c r="B19" t="s">
        <v>69</v>
      </c>
      <c r="C19" t="s">
        <v>464</v>
      </c>
      <c r="D19" t="s">
        <v>232</v>
      </c>
      <c r="E19" t="s">
        <v>221</v>
      </c>
      <c r="F19" t="s">
        <v>437</v>
      </c>
    </row>
    <row r="20" hidden="1" spans="1:6">
      <c r="A20" t="str">
        <f>VLOOKUP(B20,'INFRASTRUCTURE Fields'!A:A,1,FALSE)</f>
        <v>Northing</v>
      </c>
      <c r="B20" t="s">
        <v>72</v>
      </c>
      <c r="C20" t="s">
        <v>465</v>
      </c>
      <c r="D20" t="s">
        <v>232</v>
      </c>
      <c r="E20" t="s">
        <v>221</v>
      </c>
      <c r="F20" t="s">
        <v>437</v>
      </c>
    </row>
    <row r="21" hidden="1" spans="1:6">
      <c r="A21" t="str">
        <f>VLOOKUP(B21,'INFRASTRUCTURE Fields'!A:A,1,FALSE)</f>
        <v>Longitude</v>
      </c>
      <c r="B21" t="s">
        <v>73</v>
      </c>
      <c r="C21" t="s">
        <v>466</v>
      </c>
      <c r="D21" t="s">
        <v>232</v>
      </c>
      <c r="E21" t="s">
        <v>221</v>
      </c>
      <c r="F21" t="s">
        <v>437</v>
      </c>
    </row>
    <row r="22" hidden="1" spans="1:6">
      <c r="A22" t="str">
        <f>VLOOKUP(B22,'INFRASTRUCTURE Fields'!A:A,1,FALSE)</f>
        <v>Latitude</v>
      </c>
      <c r="B22" t="s">
        <v>75</v>
      </c>
      <c r="C22" t="s">
        <v>467</v>
      </c>
      <c r="D22" t="s">
        <v>232</v>
      </c>
      <c r="E22" t="s">
        <v>221</v>
      </c>
      <c r="F22" t="s">
        <v>437</v>
      </c>
    </row>
    <row r="23" hidden="1" spans="1:6">
      <c r="A23" t="str">
        <f>VLOOKUP(B23,'INFRASTRUCTURE Fields'!A:A,1,FALSE)</f>
        <v>Structure Type</v>
      </c>
      <c r="B23" t="s">
        <v>319</v>
      </c>
      <c r="C23" t="s">
        <v>468</v>
      </c>
      <c r="D23" t="s">
        <v>226</v>
      </c>
      <c r="E23" t="s">
        <v>469</v>
      </c>
      <c r="F23" t="s">
        <v>437</v>
      </c>
    </row>
    <row r="24" hidden="1" spans="1:6">
      <c r="A24" t="str">
        <f>VLOOKUP(B24,'INFRASTRUCTURE Fields'!A:A,1,FALSE)</f>
        <v>Tower Family</v>
      </c>
      <c r="B24" t="s">
        <v>322</v>
      </c>
      <c r="C24" t="s">
        <v>470</v>
      </c>
      <c r="D24" t="s">
        <v>20</v>
      </c>
      <c r="E24" t="s">
        <v>221</v>
      </c>
      <c r="F24" t="s">
        <v>437</v>
      </c>
    </row>
    <row r="25" hidden="1" spans="1:6">
      <c r="A25" t="str">
        <f>VLOOKUP(B25,'INFRASTRUCTURE Fields'!A:A,1,FALSE)</f>
        <v>Structure Height (m)</v>
      </c>
      <c r="B25" t="s">
        <v>324</v>
      </c>
      <c r="C25" t="s">
        <v>471</v>
      </c>
      <c r="D25" t="s">
        <v>232</v>
      </c>
      <c r="E25" t="s">
        <v>221</v>
      </c>
      <c r="F25" t="s">
        <v>437</v>
      </c>
    </row>
    <row r="26" hidden="1" spans="1:6">
      <c r="A26" t="str">
        <f>VLOOKUP(B26,'INFRASTRUCTURE Fields'!A:A,1,FALSE)</f>
        <v>Future Planned Structure Height (m)</v>
      </c>
      <c r="B26" t="s">
        <v>325</v>
      </c>
      <c r="C26" t="s">
        <v>472</v>
      </c>
      <c r="D26" t="s">
        <v>232</v>
      </c>
      <c r="E26" t="s">
        <v>221</v>
      </c>
      <c r="F26" t="s">
        <v>437</v>
      </c>
    </row>
    <row r="27" hidden="1" spans="1:6">
      <c r="A27" t="str">
        <f>VLOOKUP(B27,'INFRASTRUCTURE Fields'!A:A,1,FALSE)</f>
        <v>Rooftop Height (m)</v>
      </c>
      <c r="B27" t="s">
        <v>326</v>
      </c>
      <c r="C27" t="s">
        <v>473</v>
      </c>
      <c r="D27" t="s">
        <v>232</v>
      </c>
      <c r="E27" t="s">
        <v>221</v>
      </c>
      <c r="F27" t="s">
        <v>437</v>
      </c>
    </row>
    <row r="28" hidden="1" spans="1:6">
      <c r="A28" t="e">
        <f>VLOOKUP(B28,'INFRASTRUCTURE Fields'!A:A,1,FALSE)</f>
        <v>#N/A</v>
      </c>
      <c r="B28" t="s">
        <v>474</v>
      </c>
      <c r="C28" t="s">
        <v>475</v>
      </c>
      <c r="D28" t="s">
        <v>226</v>
      </c>
      <c r="E28" t="s">
        <v>476</v>
      </c>
      <c r="F28" t="s">
        <v>437</v>
      </c>
    </row>
    <row r="29" hidden="1" spans="1:6">
      <c r="A29" t="str">
        <f>VLOOKUP(B29,'INFRASTRUCTURE Fields'!A:A,1,FALSE)</f>
        <v>Fall Arrest Status</v>
      </c>
      <c r="B29" t="s">
        <v>331</v>
      </c>
      <c r="C29" t="s">
        <v>477</v>
      </c>
      <c r="D29" t="s">
        <v>226</v>
      </c>
      <c r="E29" t="s">
        <v>478</v>
      </c>
      <c r="F29" t="s">
        <v>437</v>
      </c>
    </row>
    <row r="30" hidden="1" spans="1:6">
      <c r="A30" t="str">
        <f>VLOOKUP(B30,'INFRASTRUCTURE Fields'!A:A,1,FALSE)</f>
        <v>Fall Arrest Type</v>
      </c>
      <c r="B30" t="s">
        <v>333</v>
      </c>
      <c r="C30" t="s">
        <v>479</v>
      </c>
      <c r="D30" t="s">
        <v>226</v>
      </c>
      <c r="E30" t="s">
        <v>480</v>
      </c>
      <c r="F30" t="s">
        <v>437</v>
      </c>
    </row>
    <row r="31" hidden="1" spans="1:6">
      <c r="A31" t="str">
        <f>VLOOKUP(B31,'INFRASTRUCTURE Fields'!A:A,1,FALSE)</f>
        <v>Anti Climb</v>
      </c>
      <c r="B31" t="s">
        <v>336</v>
      </c>
      <c r="C31" t="s">
        <v>481</v>
      </c>
      <c r="D31" t="s">
        <v>229</v>
      </c>
      <c r="E31" t="s">
        <v>221</v>
      </c>
      <c r="F31" t="s">
        <v>437</v>
      </c>
    </row>
    <row r="32" hidden="1" spans="1:6">
      <c r="A32" t="str">
        <f>VLOOKUP(B32,'INFRASTRUCTURE Fields'!A:A,1,FALSE)</f>
        <v>Next Site Inspection Date</v>
      </c>
      <c r="B32" t="s">
        <v>337</v>
      </c>
      <c r="C32" t="s">
        <v>482</v>
      </c>
      <c r="D32" t="s">
        <v>137</v>
      </c>
      <c r="E32" t="s">
        <v>221</v>
      </c>
      <c r="F32" t="s">
        <v>437</v>
      </c>
    </row>
    <row r="33" hidden="1" spans="1:6">
      <c r="A33" t="str">
        <f>VLOOKUP(B33,'INFRASTRUCTURE Fields'!A:A,1,FALSE)</f>
        <v>Next Fall Arrest Certification Date</v>
      </c>
      <c r="B33" t="s">
        <v>147</v>
      </c>
      <c r="C33" t="s">
        <v>483</v>
      </c>
      <c r="D33" t="s">
        <v>137</v>
      </c>
      <c r="E33" t="s">
        <v>221</v>
      </c>
      <c r="F33" t="s">
        <v>437</v>
      </c>
    </row>
    <row r="34" hidden="1" spans="1:6">
      <c r="A34" t="str">
        <f>VLOOKUP(B34,'INFRASTRUCTURE Fields'!A:A,1,FALSE)</f>
        <v>Tower Last Painted Date</v>
      </c>
      <c r="B34" t="s">
        <v>340</v>
      </c>
      <c r="C34" t="s">
        <v>484</v>
      </c>
      <c r="D34" t="s">
        <v>137</v>
      </c>
      <c r="E34" t="s">
        <v>221</v>
      </c>
      <c r="F34" t="s">
        <v>437</v>
      </c>
    </row>
    <row r="35" hidden="1" spans="1:6">
      <c r="A35" t="str">
        <f>VLOOKUP(B35,'INFRASTRUCTURE Fields'!A:A,1,FALSE)</f>
        <v>Scheduled Next Painting Date</v>
      </c>
      <c r="B35" t="s">
        <v>341</v>
      </c>
      <c r="C35" t="s">
        <v>485</v>
      </c>
      <c r="D35" t="s">
        <v>137</v>
      </c>
      <c r="E35" t="s">
        <v>221</v>
      </c>
      <c r="F35" t="s">
        <v>437</v>
      </c>
    </row>
    <row r="36" hidden="1" spans="1:6">
      <c r="A36" t="str">
        <f>VLOOKUP(B36,'INFRASTRUCTURE Fields'!A:A,1,FALSE)</f>
        <v>Painting Warranty Expiry Date</v>
      </c>
      <c r="B36" t="s">
        <v>342</v>
      </c>
      <c r="C36" t="s">
        <v>486</v>
      </c>
      <c r="D36" t="s">
        <v>137</v>
      </c>
      <c r="E36" t="s">
        <v>221</v>
      </c>
      <c r="F36" t="s">
        <v>437</v>
      </c>
    </row>
    <row r="37" hidden="1" spans="1:6">
      <c r="A37" t="e">
        <f>VLOOKUP(B37,'INFRASTRUCTURE Fields'!A:A,1,FALSE)</f>
        <v>#N/A</v>
      </c>
      <c r="B37" t="s">
        <v>338</v>
      </c>
      <c r="C37" t="s">
        <v>487</v>
      </c>
      <c r="D37" t="s">
        <v>226</v>
      </c>
      <c r="E37" t="s">
        <v>488</v>
      </c>
      <c r="F37" t="s">
        <v>437</v>
      </c>
    </row>
    <row r="38" hidden="1" spans="1:6">
      <c r="A38" t="str">
        <f>VLOOKUP(B38,'INFRASTRUCTURE Fields'!A:A,1,FALSE)</f>
        <v>Structure Design</v>
      </c>
      <c r="B38" t="s">
        <v>344</v>
      </c>
      <c r="C38" t="s">
        <v>489</v>
      </c>
      <c r="D38" t="s">
        <v>87</v>
      </c>
      <c r="E38" t="s">
        <v>221</v>
      </c>
      <c r="F38" t="s">
        <v>437</v>
      </c>
    </row>
    <row r="39" hidden="1" spans="1:6">
      <c r="A39" t="str">
        <f>VLOOKUP(B39,'INFRASTRUCTURE Fields'!A:A,1,FALSE)</f>
        <v>Year of Build</v>
      </c>
      <c r="B39" t="s">
        <v>348</v>
      </c>
      <c r="C39" t="s">
        <v>490</v>
      </c>
      <c r="D39" t="s">
        <v>220</v>
      </c>
      <c r="E39" t="s">
        <v>221</v>
      </c>
      <c r="F39" t="s">
        <v>437</v>
      </c>
    </row>
    <row r="40" hidden="1" spans="1:6">
      <c r="A40" t="str">
        <f>VLOOKUP(B40,'INFRASTRUCTURE Fields'!A:A,1,FALSE)</f>
        <v>Geotype</v>
      </c>
      <c r="B40" t="s">
        <v>349</v>
      </c>
      <c r="C40" t="s">
        <v>491</v>
      </c>
      <c r="D40" t="s">
        <v>226</v>
      </c>
      <c r="E40" t="s">
        <v>492</v>
      </c>
      <c r="F40" t="s">
        <v>437</v>
      </c>
    </row>
    <row r="41" hidden="1" spans="1:6">
      <c r="A41" t="str">
        <f>VLOOKUP(B41,'INFRASTRUCTURE Fields'!A:A,1,FALSE)</f>
        <v>Proximity to Body of Water (km)</v>
      </c>
      <c r="B41" t="s">
        <v>351</v>
      </c>
      <c r="C41" t="s">
        <v>493</v>
      </c>
      <c r="D41" t="s">
        <v>232</v>
      </c>
      <c r="E41" t="s">
        <v>221</v>
      </c>
      <c r="F41" t="s">
        <v>437</v>
      </c>
    </row>
    <row r="42" hidden="1" spans="1:6">
      <c r="A42" t="str">
        <f>VLOOKUP(B42,'INFRASTRUCTURE Fields'!A:A,1,FALSE)</f>
        <v>Land Topology</v>
      </c>
      <c r="B42" t="s">
        <v>353</v>
      </c>
      <c r="C42" t="s">
        <v>494</v>
      </c>
      <c r="D42" t="s">
        <v>226</v>
      </c>
      <c r="E42" t="s">
        <v>495</v>
      </c>
      <c r="F42" t="s">
        <v>437</v>
      </c>
    </row>
    <row r="43" hidden="1" spans="1:6">
      <c r="A43" t="str">
        <f>VLOOKUP(B43,'INFRASTRUCTURE Fields'!A:A,1,FALSE)</f>
        <v>Wind Map Vb,map (m/s)</v>
      </c>
      <c r="B43" t="s">
        <v>355</v>
      </c>
      <c r="C43" t="s">
        <v>496</v>
      </c>
      <c r="D43" t="s">
        <v>220</v>
      </c>
      <c r="E43" t="s">
        <v>221</v>
      </c>
      <c r="F43" t="s">
        <v>437</v>
      </c>
    </row>
    <row r="44" hidden="1" spans="1:6">
      <c r="A44" t="str">
        <f>VLOOKUP(B44,'INFRASTRUCTURE Fields'!A:A,1,FALSE)</f>
        <v>Foundation Type</v>
      </c>
      <c r="B44" t="s">
        <v>356</v>
      </c>
      <c r="C44" t="s">
        <v>497</v>
      </c>
      <c r="D44" t="s">
        <v>226</v>
      </c>
      <c r="E44" t="s">
        <v>498</v>
      </c>
      <c r="F44" t="s">
        <v>437</v>
      </c>
    </row>
    <row r="45" hidden="1" spans="1:6">
      <c r="A45" t="str">
        <f>VLOOKUP(B45,'INFRASTRUCTURE Fields'!A:A,1,FALSE)</f>
        <v>Foundation Design</v>
      </c>
      <c r="B45" t="s">
        <v>358</v>
      </c>
      <c r="C45" t="s">
        <v>499</v>
      </c>
      <c r="D45" t="s">
        <v>87</v>
      </c>
      <c r="E45" t="s">
        <v>221</v>
      </c>
      <c r="F45" t="s">
        <v>437</v>
      </c>
    </row>
    <row r="46" hidden="1" spans="1:6">
      <c r="A46" t="str">
        <f>VLOOKUP(B46,'INFRASTRUCTURE Fields'!A:A,1,FALSE)</f>
        <v>Foundation Dimensions</v>
      </c>
      <c r="B46" t="s">
        <v>359</v>
      </c>
      <c r="C46" t="s">
        <v>500</v>
      </c>
      <c r="D46" t="s">
        <v>20</v>
      </c>
      <c r="E46" t="s">
        <v>221</v>
      </c>
      <c r="F46" t="s">
        <v>437</v>
      </c>
    </row>
    <row r="47" hidden="1" spans="1:6">
      <c r="A47" t="str">
        <f>VLOOKUP(B47,'INFRASTRUCTURE Fields'!A:A,1,FALSE)</f>
        <v>Foundation Contractor</v>
      </c>
      <c r="B47" t="s">
        <v>360</v>
      </c>
      <c r="C47" t="s">
        <v>501</v>
      </c>
      <c r="D47" t="s">
        <v>226</v>
      </c>
      <c r="E47">
        <v>-2</v>
      </c>
      <c r="F47" t="s">
        <v>437</v>
      </c>
    </row>
    <row r="48" hidden="1" spans="1:6">
      <c r="A48" t="str">
        <f>VLOOKUP(B48,'INFRASTRUCTURE Fields'!A:A,1,FALSE)</f>
        <v>Soil Bearing DCP/SI (kN/m)</v>
      </c>
      <c r="B48" t="s">
        <v>361</v>
      </c>
      <c r="C48" t="s">
        <v>502</v>
      </c>
      <c r="D48" t="s">
        <v>232</v>
      </c>
      <c r="E48" t="s">
        <v>221</v>
      </c>
      <c r="F48" t="s">
        <v>437</v>
      </c>
    </row>
    <row r="49" hidden="1" spans="1:6">
      <c r="A49" t="str">
        <f>VLOOKUP(B49,'INFRASTRUCTURE Fields'!A:A,1,FALSE)</f>
        <v>Ground Water (BGL)</v>
      </c>
      <c r="B49" t="s">
        <v>362</v>
      </c>
      <c r="C49" t="s">
        <v>503</v>
      </c>
      <c r="D49" t="s">
        <v>232</v>
      </c>
      <c r="E49" t="s">
        <v>221</v>
      </c>
      <c r="F49" t="s">
        <v>437</v>
      </c>
    </row>
    <row r="50" hidden="1" spans="1:6">
      <c r="A50" t="str">
        <f>VLOOKUP(B50,'INFRASTRUCTURE Fields'!A:A,1,FALSE)</f>
        <v>Foundation FOS</v>
      </c>
      <c r="B50" t="s">
        <v>363</v>
      </c>
      <c r="C50" t="s">
        <v>504</v>
      </c>
      <c r="D50" t="s">
        <v>232</v>
      </c>
      <c r="E50" t="s">
        <v>221</v>
      </c>
      <c r="F50" t="s">
        <v>437</v>
      </c>
    </row>
    <row r="51" hidden="1" spans="1:6">
      <c r="A51" t="str">
        <f>VLOOKUP(B51,'INFRASTRUCTURE Fields'!A:A,1,FALSE)</f>
        <v>Foundation Overturning (kN/m)</v>
      </c>
      <c r="B51" t="s">
        <v>364</v>
      </c>
      <c r="C51" t="s">
        <v>505</v>
      </c>
      <c r="D51" t="s">
        <v>232</v>
      </c>
      <c r="E51" t="s">
        <v>221</v>
      </c>
      <c r="F51" t="s">
        <v>437</v>
      </c>
    </row>
    <row r="52" hidden="1" spans="1:6">
      <c r="A52" t="str">
        <f>VLOOKUP(B52,'INFRASTRUCTURE Fields'!A:A,1,FALSE)</f>
        <v>Structure   Capacity Σ ESA_(m²)</v>
      </c>
      <c r="B52" t="s">
        <v>365</v>
      </c>
      <c r="C52" t="s">
        <v>506</v>
      </c>
      <c r="D52" t="s">
        <v>232</v>
      </c>
      <c r="E52" t="s">
        <v>221</v>
      </c>
      <c r="F52" t="s">
        <v>437</v>
      </c>
    </row>
    <row r="53" hidden="1" spans="1:6">
      <c r="A53" t="str">
        <f>VLOOKUP(B53,'INFRASTRUCTURE Fields'!A:A,1,FALSE)</f>
        <v>Structure  Capacity Σ E-BM_(m².m)</v>
      </c>
      <c r="B53" t="s">
        <v>366</v>
      </c>
      <c r="C53" t="s">
        <v>507</v>
      </c>
      <c r="D53" t="s">
        <v>232</v>
      </c>
      <c r="E53" t="s">
        <v>221</v>
      </c>
      <c r="F53" t="s">
        <v>437</v>
      </c>
    </row>
    <row r="54" hidden="1" spans="1:6">
      <c r="A54" t="str">
        <f>VLOOKUP(B54,'INFRASTRUCTURE Fields'!A:A,1,FALSE)</f>
        <v>Structure  Equipment loading Σ E-BM_(m².m)</v>
      </c>
      <c r="B54" t="s">
        <v>367</v>
      </c>
      <c r="C54" t="s">
        <v>508</v>
      </c>
      <c r="D54" t="s">
        <v>232</v>
      </c>
      <c r="E54" t="s">
        <v>221</v>
      </c>
      <c r="F54" t="s">
        <v>437</v>
      </c>
    </row>
    <row r="55" hidden="1" spans="1:6">
      <c r="A55" t="str">
        <f>VLOOKUP(B55,'INFRASTRUCTURE Fields'!A:A,1,FALSE)</f>
        <v>% Capacity used</v>
      </c>
      <c r="B55" t="s">
        <v>368</v>
      </c>
      <c r="C55" t="s">
        <v>509</v>
      </c>
      <c r="D55" t="s">
        <v>220</v>
      </c>
      <c r="E55" t="s">
        <v>221</v>
      </c>
      <c r="F55" t="s">
        <v>437</v>
      </c>
    </row>
    <row r="56" hidden="1" spans="1:6">
      <c r="A56" t="str">
        <f>VLOOKUP(B56,'INFRASTRUCTURE Fields'!A:A,1,FALSE)</f>
        <v>% Capacity remaining</v>
      </c>
      <c r="B56" t="s">
        <v>370</v>
      </c>
      <c r="C56" t="s">
        <v>510</v>
      </c>
      <c r="D56" t="s">
        <v>220</v>
      </c>
      <c r="E56" t="s">
        <v>221</v>
      </c>
      <c r="F56" t="s">
        <v>437</v>
      </c>
    </row>
    <row r="57" hidden="1" spans="1:6">
      <c r="A57" t="str">
        <f>VLOOKUP(B57,'INFRASTRUCTURE Fields'!A:A,1,FALSE)</f>
        <v>TLM</v>
      </c>
      <c r="B57" t="s">
        <v>371</v>
      </c>
      <c r="C57" t="s">
        <v>511</v>
      </c>
      <c r="D57" t="s">
        <v>226</v>
      </c>
      <c r="E57" t="s">
        <v>512</v>
      </c>
      <c r="F57" t="s">
        <v>437</v>
      </c>
    </row>
    <row r="58" hidden="1" spans="1:6">
      <c r="A58" t="e">
        <f>VLOOKUP(B58,'INFRASTRUCTURE Fields'!A:A,1,FALSE)</f>
        <v>#N/A</v>
      </c>
      <c r="B58" t="s">
        <v>513</v>
      </c>
      <c r="C58" t="s">
        <v>514</v>
      </c>
      <c r="D58" t="s">
        <v>226</v>
      </c>
      <c r="E58" t="s">
        <v>515</v>
      </c>
      <c r="F58" t="s">
        <v>437</v>
      </c>
    </row>
    <row r="59" spans="1:6">
      <c r="A59" t="str">
        <f>VLOOKUP(B59,'INFRASTRUCTURE Fields'!A:A,1,FALSE)</f>
        <v>Accomodation Type</v>
      </c>
      <c r="B59" t="s">
        <v>382</v>
      </c>
      <c r="C59" t="s">
        <v>516</v>
      </c>
      <c r="D59" t="s">
        <v>226</v>
      </c>
      <c r="E59" t="s">
        <v>517</v>
      </c>
      <c r="F59" t="s">
        <v>437</v>
      </c>
    </row>
    <row r="60" hidden="1" spans="1:6">
      <c r="A60" t="str">
        <f>VLOOKUP(B60,'INFRASTRUCTURE Fields'!A:A,1,FALSE)</f>
        <v>Accommodation Dimensions</v>
      </c>
      <c r="B60" t="s">
        <v>385</v>
      </c>
      <c r="C60" t="s">
        <v>518</v>
      </c>
      <c r="D60" t="s">
        <v>20</v>
      </c>
      <c r="E60" t="s">
        <v>221</v>
      </c>
      <c r="F60" t="s">
        <v>437</v>
      </c>
    </row>
    <row r="61" hidden="1" spans="1:6">
      <c r="A61" t="str">
        <f>VLOOKUP(B61,'INFRASTRUCTURE Fields'!A:A,1,FALSE)</f>
        <v>Rack Spaces Available</v>
      </c>
      <c r="B61" t="s">
        <v>386</v>
      </c>
      <c r="C61" t="s">
        <v>519</v>
      </c>
      <c r="D61" t="s">
        <v>220</v>
      </c>
      <c r="E61" t="s">
        <v>221</v>
      </c>
      <c r="F61" t="s">
        <v>437</v>
      </c>
    </row>
    <row r="62" hidden="1" spans="1:6">
      <c r="A62" t="str">
        <f>VLOOKUP(B62,'INFRASTRUCTURE Fields'!A:A,1,FALSE)</f>
        <v>Units</v>
      </c>
      <c r="B62" t="s">
        <v>387</v>
      </c>
      <c r="C62" t="s">
        <v>520</v>
      </c>
      <c r="D62" t="s">
        <v>220</v>
      </c>
      <c r="E62" t="s">
        <v>221</v>
      </c>
      <c r="F62" t="s">
        <v>437</v>
      </c>
    </row>
    <row r="63" hidden="1" spans="1:6">
      <c r="A63" t="str">
        <f>VLOOKUP(B63,'INFRASTRUCTURE Fields'!A:A,1,FALSE)</f>
        <v>Model</v>
      </c>
      <c r="B63" t="s">
        <v>389</v>
      </c>
      <c r="C63" t="s">
        <v>521</v>
      </c>
      <c r="D63" t="s">
        <v>20</v>
      </c>
      <c r="E63" t="s">
        <v>221</v>
      </c>
      <c r="F63" t="s">
        <v>437</v>
      </c>
    </row>
    <row r="64" hidden="1" spans="1:6">
      <c r="A64" t="str">
        <f>VLOOKUP(B64,'INFRASTRUCTURE Fields'!A:A,1,FALSE)</f>
        <v>Installed</v>
      </c>
      <c r="B64" t="s">
        <v>390</v>
      </c>
      <c r="C64" t="s">
        <v>522</v>
      </c>
      <c r="D64" t="s">
        <v>137</v>
      </c>
      <c r="E64" t="s">
        <v>221</v>
      </c>
      <c r="F64" t="s">
        <v>437</v>
      </c>
    </row>
    <row r="65" hidden="1" spans="1:6">
      <c r="A65" t="str">
        <f>VLOOKUP(B65,'INFRASTRUCTURE Fields'!A:A,1,FALSE)</f>
        <v>AC Feed Phase</v>
      </c>
      <c r="B65" t="s">
        <v>391</v>
      </c>
      <c r="C65" t="s">
        <v>523</v>
      </c>
      <c r="D65" t="s">
        <v>226</v>
      </c>
      <c r="E65" t="s">
        <v>524</v>
      </c>
      <c r="F65" t="s">
        <v>437</v>
      </c>
    </row>
    <row r="66" hidden="1" spans="1:6">
      <c r="A66" t="str">
        <f>VLOOKUP(B66,'INFRASTRUCTURE Fields'!A:A,1,FALSE)</f>
        <v>Loadings</v>
      </c>
      <c r="B66" t="s">
        <v>393</v>
      </c>
      <c r="C66" t="s">
        <v>525</v>
      </c>
      <c r="D66" t="s">
        <v>220</v>
      </c>
      <c r="E66" t="s">
        <v>221</v>
      </c>
      <c r="F66" t="s">
        <v>437</v>
      </c>
    </row>
    <row r="67" hidden="1" spans="1:6">
      <c r="A67" t="str">
        <f>VLOOKUP(B67,'INFRASTRUCTURE Fields'!A:A,1,FALSE)</f>
        <v>Noise Level</v>
      </c>
      <c r="B67" t="s">
        <v>395</v>
      </c>
      <c r="C67" t="s">
        <v>526</v>
      </c>
      <c r="D67" t="s">
        <v>220</v>
      </c>
      <c r="E67" t="s">
        <v>221</v>
      </c>
      <c r="F67" t="s">
        <v>437</v>
      </c>
    </row>
    <row r="68" hidden="1" spans="1:6">
      <c r="A68" t="str">
        <f>VLOOKUP(B68,'INFRASTRUCTURE Fields'!A:A,1,FALSE)</f>
        <v>Next Aircon Service</v>
      </c>
      <c r="B68" t="s">
        <v>397</v>
      </c>
      <c r="C68" t="s">
        <v>527</v>
      </c>
      <c r="D68" t="s">
        <v>137</v>
      </c>
      <c r="E68" t="s">
        <v>221</v>
      </c>
      <c r="F68" t="s">
        <v>437</v>
      </c>
    </row>
    <row r="69" hidden="1" spans="1:6">
      <c r="A69" t="str">
        <f>VLOOKUP(B69,'INFRASTRUCTURE Fields'!A:A,1,FALSE)</f>
        <v>Intruder Alarm Present</v>
      </c>
      <c r="B69" t="s">
        <v>398</v>
      </c>
      <c r="C69" t="s">
        <v>528</v>
      </c>
      <c r="D69" t="s">
        <v>229</v>
      </c>
      <c r="E69" t="s">
        <v>221</v>
      </c>
      <c r="F69" t="s">
        <v>437</v>
      </c>
    </row>
    <row r="70" hidden="1" spans="1:6">
      <c r="A70" t="str">
        <f>VLOOKUP(B70,'INFRASTRUCTURE Fields'!A:A,1,FALSE)</f>
        <v>Intruder Code</v>
      </c>
      <c r="B70" t="s">
        <v>400</v>
      </c>
      <c r="C70" t="s">
        <v>529</v>
      </c>
      <c r="D70" t="s">
        <v>20</v>
      </c>
      <c r="E70" t="s">
        <v>221</v>
      </c>
      <c r="F70" t="s">
        <v>437</v>
      </c>
    </row>
    <row r="71" hidden="1" spans="1:6">
      <c r="A71" t="str">
        <f>VLOOKUP(B71,'INFRASTRUCTURE Fields'!A:A,1,FALSE)</f>
        <v>Fire Alarm Present</v>
      </c>
      <c r="B71" t="s">
        <v>401</v>
      </c>
      <c r="C71" t="s">
        <v>530</v>
      </c>
      <c r="D71" t="s">
        <v>229</v>
      </c>
      <c r="E71" t="s">
        <v>221</v>
      </c>
      <c r="F71" t="s">
        <v>437</v>
      </c>
    </row>
    <row r="72" hidden="1" spans="1:6">
      <c r="A72" t="str">
        <f>VLOOKUP(B72,'INFRASTRUCTURE Fields'!A:A,1,FALSE)</f>
        <v>Next Fire Service</v>
      </c>
      <c r="B72" t="s">
        <v>403</v>
      </c>
      <c r="C72" t="s">
        <v>531</v>
      </c>
      <c r="D72" t="s">
        <v>137</v>
      </c>
      <c r="E72" t="s">
        <v>221</v>
      </c>
      <c r="F72" t="s">
        <v>437</v>
      </c>
    </row>
    <row r="73" hidden="1" spans="1:6">
      <c r="A73" t="str">
        <f>VLOOKUP(B73,'INFRASTRUCTURE Fields'!A:A,1,FALSE)</f>
        <v>Next Alarm Service</v>
      </c>
      <c r="B73" t="s">
        <v>404</v>
      </c>
      <c r="C73" t="s">
        <v>532</v>
      </c>
      <c r="D73" t="s">
        <v>137</v>
      </c>
      <c r="E73" t="s">
        <v>221</v>
      </c>
      <c r="F73" t="s">
        <v>437</v>
      </c>
    </row>
    <row r="74" hidden="1" spans="1:6">
      <c r="A74" t="e">
        <f>VLOOKUP(B74,'INFRASTRUCTURE Fields'!A:A,1,FALSE)</f>
        <v>#N/A</v>
      </c>
      <c r="B74" t="s">
        <v>533</v>
      </c>
      <c r="C74" t="s">
        <v>534</v>
      </c>
      <c r="D74" t="s">
        <v>226</v>
      </c>
      <c r="E74" t="s">
        <v>535</v>
      </c>
      <c r="F74" t="s">
        <v>437</v>
      </c>
    </row>
    <row r="75" hidden="1" spans="1:6">
      <c r="A75" t="str">
        <f>VLOOKUP(B75,'INFRASTRUCTURE Fields'!A:A,1,FALSE)</f>
        <v>Generator Model</v>
      </c>
      <c r="B75" t="s">
        <v>422</v>
      </c>
      <c r="C75" t="s">
        <v>536</v>
      </c>
      <c r="D75" t="s">
        <v>20</v>
      </c>
      <c r="E75" t="s">
        <v>221</v>
      </c>
      <c r="F75" t="s">
        <v>437</v>
      </c>
    </row>
    <row r="76" hidden="1" spans="1:6">
      <c r="A76" t="str">
        <f>VLOOKUP(B76,'INFRASTRUCTURE Fields'!A:A,1,FALSE)</f>
        <v>Power Capacity</v>
      </c>
      <c r="B76" t="s">
        <v>424</v>
      </c>
      <c r="C76" t="s">
        <v>537</v>
      </c>
      <c r="D76" t="s">
        <v>220</v>
      </c>
      <c r="E76" t="s">
        <v>221</v>
      </c>
      <c r="F76" t="s">
        <v>437</v>
      </c>
    </row>
    <row r="77" hidden="1" spans="1:6">
      <c r="A77" t="str">
        <f>VLOOKUP(B77,'INFRASTRUCTURE Fields'!A:A,1,FALSE)</f>
        <v>Tank Capacity (l)</v>
      </c>
      <c r="B77" t="s">
        <v>425</v>
      </c>
      <c r="C77" t="s">
        <v>538</v>
      </c>
      <c r="D77" t="s">
        <v>220</v>
      </c>
      <c r="E77" t="s">
        <v>221</v>
      </c>
      <c r="F77" t="s">
        <v>437</v>
      </c>
    </row>
    <row r="78" hidden="1" spans="1:6">
      <c r="A78" t="e">
        <f>VLOOKUP(B78,'INFRASTRUCTURE Fields'!A:A,1,FALSE)</f>
        <v>#N/A</v>
      </c>
      <c r="B78" t="s">
        <v>539</v>
      </c>
      <c r="C78" t="s">
        <v>540</v>
      </c>
      <c r="D78" t="s">
        <v>226</v>
      </c>
      <c r="E78" t="s">
        <v>541</v>
      </c>
      <c r="F78" t="s">
        <v>437</v>
      </c>
    </row>
    <row r="79" hidden="1" spans="1:6">
      <c r="A79" t="str">
        <f>VLOOKUP(B79,'INFRASTRUCTURE Fields'!A:A,1,FALSE)</f>
        <v>Next Generator Service</v>
      </c>
      <c r="B79" t="s">
        <v>134</v>
      </c>
      <c r="C79" t="s">
        <v>542</v>
      </c>
      <c r="D79" t="s">
        <v>137</v>
      </c>
      <c r="E79" t="s">
        <v>221</v>
      </c>
      <c r="F79" t="s">
        <v>437</v>
      </c>
    </row>
    <row r="80" hidden="1" spans="1:6">
      <c r="A80" t="str">
        <f>VLOOKUP(B80,'INFRASTRUCTURE Fields'!A:A,1,FALSE)</f>
        <v>Next Generator Service Type</v>
      </c>
      <c r="B80" t="s">
        <v>429</v>
      </c>
      <c r="C80" t="s">
        <v>543</v>
      </c>
      <c r="D80" t="s">
        <v>226</v>
      </c>
      <c r="E80" t="s">
        <v>544</v>
      </c>
      <c r="F80" t="s">
        <v>437</v>
      </c>
    </row>
  </sheetData>
  <autoFilter ref="A1:H80">
    <filterColumn colId="0">
      <customFilters>
        <customFilter operator="equal" val="Accomodation Type"/>
      </custom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8" tint="0.399975585192419"/>
  </sheetPr>
  <dimension ref="A1:J20"/>
  <sheetViews>
    <sheetView tabSelected="1" zoomScale="90" zoomScaleNormal="90" workbookViewId="0">
      <pane ySplit="1" topLeftCell="A2" activePane="bottomLeft" state="frozen"/>
      <selection/>
      <selection pane="bottomLeft" activeCell="A28" sqref="A28"/>
    </sheetView>
  </sheetViews>
  <sheetFormatPr defaultColWidth="10.2857142857143" defaultRowHeight="15"/>
  <cols>
    <col min="1" max="4" width="38.6952380952381" style="3" customWidth="1"/>
    <col min="5" max="5" width="26.7714285714286" style="4" customWidth="1"/>
    <col min="6" max="6" width="20.8952380952381" style="4" customWidth="1"/>
    <col min="7" max="7" width="31.1809523809524" style="5" customWidth="1"/>
    <col min="8" max="8" width="36.7333333333333" style="4" customWidth="1"/>
    <col min="9" max="9" width="62.0380952380952" style="6" customWidth="1"/>
    <col min="10" max="10" width="66.1238095238095" style="6" customWidth="1"/>
    <col min="11" max="16384" width="10.447619047619" style="3"/>
  </cols>
  <sheetData>
    <row r="1" s="2" customFormat="1" ht="47.25" customHeight="1" spans="1:10">
      <c r="A1" s="7" t="s">
        <v>545</v>
      </c>
      <c r="B1" s="8" t="s">
        <v>1</v>
      </c>
      <c r="C1" s="8" t="s">
        <v>2</v>
      </c>
      <c r="D1" s="8" t="s">
        <v>3</v>
      </c>
      <c r="E1" s="9" t="s">
        <v>283</v>
      </c>
      <c r="F1" s="9" t="s">
        <v>5</v>
      </c>
      <c r="G1" s="10" t="s">
        <v>284</v>
      </c>
      <c r="H1" s="9" t="s">
        <v>7</v>
      </c>
      <c r="I1" s="21" t="s">
        <v>8</v>
      </c>
      <c r="J1" s="21" t="s">
        <v>285</v>
      </c>
    </row>
    <row r="2" hidden="1" spans="1:10">
      <c r="A2" s="11" t="s">
        <v>288</v>
      </c>
      <c r="B2" s="11"/>
      <c r="C2" s="11"/>
      <c r="D2" s="11"/>
      <c r="E2" s="12" t="s">
        <v>18</v>
      </c>
      <c r="F2" s="12" t="s">
        <v>457</v>
      </c>
      <c r="G2" s="12" t="s">
        <v>18</v>
      </c>
      <c r="H2" s="13" t="s">
        <v>289</v>
      </c>
      <c r="I2" s="22" t="s">
        <v>18</v>
      </c>
      <c r="J2" s="22" t="s">
        <v>290</v>
      </c>
    </row>
    <row r="3" hidden="1" spans="1:10">
      <c r="A3" s="11" t="s">
        <v>546</v>
      </c>
      <c r="B3" s="11"/>
      <c r="C3" s="11"/>
      <c r="D3" s="11"/>
      <c r="E3" s="12"/>
      <c r="F3" s="12" t="s">
        <v>457</v>
      </c>
      <c r="G3" s="12"/>
      <c r="H3" s="12" t="s">
        <v>20</v>
      </c>
      <c r="I3" s="22" t="s">
        <v>547</v>
      </c>
      <c r="J3" s="22"/>
    </row>
    <row r="4" ht="30" hidden="1" spans="1:10">
      <c r="A4" s="11" t="s">
        <v>548</v>
      </c>
      <c r="B4" s="11"/>
      <c r="C4" s="11"/>
      <c r="D4" s="11"/>
      <c r="E4" s="12"/>
      <c r="F4" s="12" t="s">
        <v>457</v>
      </c>
      <c r="G4" s="12"/>
      <c r="H4" s="14" t="s">
        <v>23</v>
      </c>
      <c r="I4" s="23" t="s">
        <v>549</v>
      </c>
      <c r="J4" s="22"/>
    </row>
    <row r="5" hidden="1" spans="1:10">
      <c r="A5" s="15" t="s">
        <v>550</v>
      </c>
      <c r="B5" s="15"/>
      <c r="C5" s="15"/>
      <c r="D5" s="15"/>
      <c r="E5" s="12" t="s">
        <v>18</v>
      </c>
      <c r="F5" s="12" t="s">
        <v>457</v>
      </c>
      <c r="G5" s="12" t="s">
        <v>18</v>
      </c>
      <c r="H5" s="16" t="s">
        <v>551</v>
      </c>
      <c r="I5" s="22"/>
      <c r="J5" s="22" t="s">
        <v>552</v>
      </c>
    </row>
    <row r="6" hidden="1" spans="1:10">
      <c r="A6" s="11" t="s">
        <v>553</v>
      </c>
      <c r="B6" s="11"/>
      <c r="C6" s="11"/>
      <c r="D6" s="11"/>
      <c r="E6" s="12"/>
      <c r="F6" s="12" t="s">
        <v>457</v>
      </c>
      <c r="G6" s="12"/>
      <c r="H6" s="12" t="s">
        <v>20</v>
      </c>
      <c r="I6" s="22"/>
      <c r="J6" s="22"/>
    </row>
    <row r="7" hidden="1" spans="1:10">
      <c r="A7" s="11" t="s">
        <v>554</v>
      </c>
      <c r="B7" s="11"/>
      <c r="C7" s="11"/>
      <c r="D7" s="11"/>
      <c r="E7" s="12"/>
      <c r="F7" s="12" t="s">
        <v>457</v>
      </c>
      <c r="G7" s="12"/>
      <c r="H7" s="14" t="s">
        <v>23</v>
      </c>
      <c r="I7" s="23" t="s">
        <v>555</v>
      </c>
      <c r="J7" s="22"/>
    </row>
    <row r="8" spans="1:10">
      <c r="A8" s="15" t="s">
        <v>556</v>
      </c>
      <c r="B8" s="15"/>
      <c r="C8" s="15"/>
      <c r="D8" s="15" t="s">
        <v>557</v>
      </c>
      <c r="E8" s="17"/>
      <c r="F8" s="17"/>
      <c r="G8" s="17"/>
      <c r="H8" s="18" t="s">
        <v>23</v>
      </c>
      <c r="I8" s="23" t="s">
        <v>558</v>
      </c>
      <c r="J8" s="23" t="s">
        <v>66</v>
      </c>
    </row>
    <row r="9" spans="1:10">
      <c r="A9" s="15" t="s">
        <v>559</v>
      </c>
      <c r="B9" s="15"/>
      <c r="C9" s="15"/>
      <c r="D9" s="15" t="s">
        <v>164</v>
      </c>
      <c r="E9" s="17"/>
      <c r="F9" s="17"/>
      <c r="G9" s="17"/>
      <c r="H9" s="18" t="s">
        <v>20</v>
      </c>
      <c r="I9" s="23"/>
      <c r="J9" s="23" t="s">
        <v>66</v>
      </c>
    </row>
    <row r="10" hidden="1" spans="1:10">
      <c r="A10" s="11" t="s">
        <v>560</v>
      </c>
      <c r="B10" s="11"/>
      <c r="C10" s="11"/>
      <c r="D10" s="11"/>
      <c r="E10" s="12"/>
      <c r="F10" s="12" t="s">
        <v>457</v>
      </c>
      <c r="G10" s="12"/>
      <c r="H10" s="12" t="s">
        <v>20</v>
      </c>
      <c r="I10" s="22"/>
      <c r="J10" s="22"/>
    </row>
    <row r="11" spans="1:10">
      <c r="A11" s="11" t="s">
        <v>561</v>
      </c>
      <c r="B11" s="11"/>
      <c r="C11" s="11"/>
      <c r="D11" s="11" t="s">
        <v>164</v>
      </c>
      <c r="E11" s="12"/>
      <c r="F11" s="12" t="s">
        <v>457</v>
      </c>
      <c r="G11" s="12"/>
      <c r="H11" s="12" t="s">
        <v>20</v>
      </c>
      <c r="I11" s="22"/>
      <c r="J11" s="22"/>
    </row>
    <row r="12" hidden="1" spans="1:10">
      <c r="A12" s="19" t="s">
        <v>562</v>
      </c>
      <c r="B12" s="19"/>
      <c r="C12" s="19"/>
      <c r="D12" s="19"/>
      <c r="E12" s="20"/>
      <c r="F12" s="20" t="s">
        <v>457</v>
      </c>
      <c r="G12" s="20"/>
      <c r="H12" s="20" t="s">
        <v>20</v>
      </c>
      <c r="I12" s="24"/>
      <c r="J12" s="24" t="s">
        <v>94</v>
      </c>
    </row>
    <row r="13" hidden="1" spans="1:10">
      <c r="A13" s="19" t="s">
        <v>563</v>
      </c>
      <c r="B13" s="19"/>
      <c r="C13" s="19"/>
      <c r="D13" s="19"/>
      <c r="E13" s="20"/>
      <c r="F13" s="20" t="s">
        <v>457</v>
      </c>
      <c r="G13" s="20"/>
      <c r="H13" s="20" t="s">
        <v>20</v>
      </c>
      <c r="I13" s="24"/>
      <c r="J13" s="24" t="s">
        <v>94</v>
      </c>
    </row>
    <row r="14" hidden="1" spans="1:10">
      <c r="A14" s="19" t="s">
        <v>564</v>
      </c>
      <c r="B14" s="19"/>
      <c r="C14" s="19"/>
      <c r="D14" s="19"/>
      <c r="E14" s="20"/>
      <c r="F14" s="20" t="s">
        <v>457</v>
      </c>
      <c r="G14" s="20"/>
      <c r="H14" s="20" t="s">
        <v>20</v>
      </c>
      <c r="I14" s="24"/>
      <c r="J14" s="24" t="s">
        <v>94</v>
      </c>
    </row>
    <row r="15" hidden="1" spans="1:10">
      <c r="A15" s="19" t="s">
        <v>565</v>
      </c>
      <c r="B15" s="19"/>
      <c r="C15" s="19"/>
      <c r="D15" s="19"/>
      <c r="E15" s="20"/>
      <c r="F15" s="20" t="s">
        <v>457</v>
      </c>
      <c r="G15" s="20"/>
      <c r="H15" s="20" t="s">
        <v>20</v>
      </c>
      <c r="I15" s="24"/>
      <c r="J15" s="24" t="s">
        <v>94</v>
      </c>
    </row>
    <row r="16" hidden="1" spans="1:10">
      <c r="A16" s="19" t="s">
        <v>566</v>
      </c>
      <c r="B16" s="19"/>
      <c r="C16" s="19"/>
      <c r="D16" s="19"/>
      <c r="E16" s="20"/>
      <c r="F16" s="20" t="s">
        <v>457</v>
      </c>
      <c r="G16" s="20"/>
      <c r="H16" s="20" t="s">
        <v>20</v>
      </c>
      <c r="I16" s="24"/>
      <c r="J16" s="24" t="s">
        <v>94</v>
      </c>
    </row>
    <row r="17" hidden="1" spans="1:10">
      <c r="A17" s="19" t="s">
        <v>567</v>
      </c>
      <c r="B17" s="19"/>
      <c r="C17" s="19"/>
      <c r="D17" s="19"/>
      <c r="E17" s="20"/>
      <c r="F17" s="20" t="s">
        <v>457</v>
      </c>
      <c r="G17" s="20"/>
      <c r="H17" s="20" t="s">
        <v>20</v>
      </c>
      <c r="I17" s="24"/>
      <c r="J17" s="24" t="s">
        <v>94</v>
      </c>
    </row>
    <row r="18" hidden="1" spans="1:10">
      <c r="A18" s="19" t="s">
        <v>568</v>
      </c>
      <c r="B18" s="19"/>
      <c r="C18" s="19"/>
      <c r="D18" s="19"/>
      <c r="E18" s="20"/>
      <c r="F18" s="20" t="s">
        <v>457</v>
      </c>
      <c r="G18" s="20"/>
      <c r="H18" s="20" t="s">
        <v>137</v>
      </c>
      <c r="I18" s="24"/>
      <c r="J18" s="24" t="s">
        <v>94</v>
      </c>
    </row>
    <row r="19" spans="1:10">
      <c r="A19" s="11"/>
      <c r="B19" s="11"/>
      <c r="C19" s="11"/>
      <c r="D19" s="11"/>
      <c r="E19" s="12"/>
      <c r="F19" s="12"/>
      <c r="G19" s="12"/>
      <c r="H19" s="12"/>
      <c r="I19" s="22"/>
      <c r="J19" s="22"/>
    </row>
    <row r="20" spans="1:10">
      <c r="A20" s="11"/>
      <c r="B20" s="11"/>
      <c r="C20" s="11"/>
      <c r="D20" s="11"/>
      <c r="E20" s="12"/>
      <c r="F20" s="12"/>
      <c r="G20" s="12"/>
      <c r="H20" s="12"/>
      <c r="I20" s="22"/>
      <c r="J20" s="22"/>
    </row>
  </sheetData>
  <autoFilter ref="A1:J18">
    <filterColumn colId="3">
      <filters>
        <filter val="create field"/>
        <filter val="create field &amp; Lock Config Table"/>
      </filters>
    </filterColumn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:E1"/>
    </sheetView>
  </sheetViews>
  <sheetFormatPr defaultColWidth="9.14285714285714" defaultRowHeight="15" outlineLevelCol="4"/>
  <cols>
    <col min="1" max="1" width="31" customWidth="1"/>
    <col min="2" max="2" width="38.5714285714286" customWidth="1"/>
    <col min="3" max="3" width="15.7142857142857" customWidth="1"/>
    <col min="4" max="4" width="32" customWidth="1"/>
    <col min="5" max="5" width="14.7142857142857" customWidth="1"/>
  </cols>
  <sheetData>
    <row r="1" spans="1:5">
      <c r="A1" s="1" t="s">
        <v>431</v>
      </c>
      <c r="B1" s="1" t="s">
        <v>214</v>
      </c>
      <c r="C1" s="1" t="s">
        <v>432</v>
      </c>
      <c r="D1" s="1" t="s">
        <v>433</v>
      </c>
      <c r="E1" s="1" t="s">
        <v>434</v>
      </c>
    </row>
    <row r="2" spans="1:5">
      <c r="A2" t="s">
        <v>288</v>
      </c>
      <c r="B2" t="s">
        <v>569</v>
      </c>
      <c r="C2" t="s">
        <v>226</v>
      </c>
      <c r="D2" t="s">
        <v>436</v>
      </c>
      <c r="E2" t="s">
        <v>437</v>
      </c>
    </row>
    <row r="3" spans="1:5">
      <c r="A3" t="s">
        <v>546</v>
      </c>
      <c r="B3" t="s">
        <v>570</v>
      </c>
      <c r="C3" t="s">
        <v>20</v>
      </c>
      <c r="D3" t="s">
        <v>221</v>
      </c>
      <c r="E3" t="s">
        <v>437</v>
      </c>
    </row>
    <row r="4" spans="1:5">
      <c r="A4" t="s">
        <v>548</v>
      </c>
      <c r="B4" t="s">
        <v>571</v>
      </c>
      <c r="C4" t="s">
        <v>226</v>
      </c>
      <c r="D4" t="s">
        <v>572</v>
      </c>
      <c r="E4" t="s">
        <v>437</v>
      </c>
    </row>
    <row r="5" spans="1:5">
      <c r="A5" t="s">
        <v>51</v>
      </c>
      <c r="B5" t="s">
        <v>573</v>
      </c>
      <c r="C5" t="s">
        <v>226</v>
      </c>
      <c r="D5" t="s">
        <v>574</v>
      </c>
      <c r="E5" t="s">
        <v>437</v>
      </c>
    </row>
    <row r="6" spans="1:5">
      <c r="A6" t="s">
        <v>383</v>
      </c>
      <c r="B6" t="s">
        <v>575</v>
      </c>
      <c r="C6" t="s">
        <v>226</v>
      </c>
      <c r="D6" t="s">
        <v>576</v>
      </c>
      <c r="E6" t="s">
        <v>437</v>
      </c>
    </row>
    <row r="7" spans="1:5">
      <c r="A7" t="s">
        <v>423</v>
      </c>
      <c r="B7" t="s">
        <v>577</v>
      </c>
      <c r="C7" t="s">
        <v>226</v>
      </c>
      <c r="D7" t="s">
        <v>578</v>
      </c>
      <c r="E7" t="s">
        <v>437</v>
      </c>
    </row>
    <row r="8" spans="1:5">
      <c r="A8" t="s">
        <v>553</v>
      </c>
      <c r="B8" t="s">
        <v>579</v>
      </c>
      <c r="C8" t="s">
        <v>20</v>
      </c>
      <c r="D8" t="s">
        <v>221</v>
      </c>
      <c r="E8" t="s">
        <v>437</v>
      </c>
    </row>
    <row r="9" spans="1:5">
      <c r="A9" t="s">
        <v>554</v>
      </c>
      <c r="B9" t="s">
        <v>580</v>
      </c>
      <c r="C9" t="s">
        <v>226</v>
      </c>
      <c r="D9" t="s">
        <v>581</v>
      </c>
      <c r="E9" t="s">
        <v>437</v>
      </c>
    </row>
    <row r="10" spans="1:5">
      <c r="A10" t="s">
        <v>560</v>
      </c>
      <c r="B10" t="s">
        <v>582</v>
      </c>
      <c r="C10" t="s">
        <v>20</v>
      </c>
      <c r="D10" t="s">
        <v>221</v>
      </c>
      <c r="E10" t="s">
        <v>437</v>
      </c>
    </row>
    <row r="11" spans="1:5">
      <c r="A11" t="s">
        <v>583</v>
      </c>
      <c r="B11" t="s">
        <v>584</v>
      </c>
      <c r="C11" t="s">
        <v>20</v>
      </c>
      <c r="D11" t="s">
        <v>221</v>
      </c>
      <c r="E11" t="s">
        <v>437</v>
      </c>
    </row>
    <row r="12" spans="1:5">
      <c r="A12" t="s">
        <v>562</v>
      </c>
      <c r="B12" t="s">
        <v>585</v>
      </c>
      <c r="C12" t="s">
        <v>20</v>
      </c>
      <c r="D12" t="s">
        <v>221</v>
      </c>
      <c r="E12" t="s">
        <v>437</v>
      </c>
    </row>
    <row r="13" spans="1:5">
      <c r="A13" t="s">
        <v>563</v>
      </c>
      <c r="B13" t="s">
        <v>586</v>
      </c>
      <c r="C13" t="s">
        <v>20</v>
      </c>
      <c r="D13" t="s">
        <v>221</v>
      </c>
      <c r="E13" t="s">
        <v>437</v>
      </c>
    </row>
    <row r="14" spans="1:5">
      <c r="A14" t="s">
        <v>564</v>
      </c>
      <c r="B14" t="s">
        <v>587</v>
      </c>
      <c r="C14" t="s">
        <v>20</v>
      </c>
      <c r="D14" t="s">
        <v>221</v>
      </c>
      <c r="E14" t="s">
        <v>437</v>
      </c>
    </row>
    <row r="15" spans="1:5">
      <c r="A15" t="s">
        <v>565</v>
      </c>
      <c r="B15" t="s">
        <v>588</v>
      </c>
      <c r="C15" t="s">
        <v>20</v>
      </c>
      <c r="D15" t="s">
        <v>221</v>
      </c>
      <c r="E15" t="s">
        <v>437</v>
      </c>
    </row>
    <row r="16" spans="1:5">
      <c r="A16" t="s">
        <v>566</v>
      </c>
      <c r="B16" t="s">
        <v>589</v>
      </c>
      <c r="C16" t="s">
        <v>20</v>
      </c>
      <c r="D16" t="s">
        <v>221</v>
      </c>
      <c r="E16" t="s">
        <v>437</v>
      </c>
    </row>
    <row r="17" spans="1:5">
      <c r="A17" t="s">
        <v>567</v>
      </c>
      <c r="B17" t="s">
        <v>590</v>
      </c>
      <c r="C17" t="s">
        <v>20</v>
      </c>
      <c r="D17" t="s">
        <v>221</v>
      </c>
      <c r="E17" t="s">
        <v>437</v>
      </c>
    </row>
    <row r="18" spans="1:5">
      <c r="A18" t="s">
        <v>568</v>
      </c>
      <c r="B18" t="s">
        <v>591</v>
      </c>
      <c r="C18" t="s">
        <v>137</v>
      </c>
      <c r="D18" t="s">
        <v>221</v>
      </c>
      <c r="E18" t="s">
        <v>437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SITE Fields</vt:lpstr>
      <vt:lpstr>SITE Fields NS</vt:lpstr>
      <vt:lpstr>INFRASTRUCTURE Fields</vt:lpstr>
      <vt:lpstr>INFRASTRUCTURE Fields NS</vt:lpstr>
      <vt:lpstr>LOCK Fields</vt:lpstr>
      <vt:lpstr>LOCK Fields 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peppo</dc:creator>
  <cp:lastModifiedBy>peppo</cp:lastModifiedBy>
  <dcterms:created xsi:type="dcterms:W3CDTF">2026-02-04T08:35:00Z</dcterms:created>
  <dcterms:modified xsi:type="dcterms:W3CDTF">2026-02-05T10:59:45Z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969E97387C244EE2A887EB19F5745F6A_11</vt:lpwstr>
  </property>
  <property fmtid="{D5CDD505-2E9C-101B-9397-08002B2CF9AE}" pid="3" name="KSOProductBuildVer">
    <vt:lpwstr>1033-12.2.0.16909</vt:lpwstr>
  </property>
</Properties>
</file>