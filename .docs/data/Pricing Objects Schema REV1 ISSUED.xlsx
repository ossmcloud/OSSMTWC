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wercomltd.sharepoint.com/sites/Operations/Shared Documents/Projects/ERP Oracle Netsuite/Operations Modules/SDS/"/>
    </mc:Choice>
  </mc:AlternateContent>
  <xr:revisionPtr revIDLastSave="1022" documentId="8_{0D329568-9340-4A91-97E2-91D70F20C0DA}" xr6:coauthVersionLast="47" xr6:coauthVersionMax="47" xr10:uidLastSave="{889684D4-84F8-4709-B699-8FB5F3FE0341}"/>
  <bookViews>
    <workbookView xWindow="-120" yWindow="-120" windowWidth="29040" windowHeight="15720" tabRatio="731" activeTab="8" xr2:uid="{EA24140F-80EE-4F11-BE33-A70D65EC1423}"/>
  </bookViews>
  <sheets>
    <sheet name="RATE CARD USE" sheetId="14" r:id="rId1"/>
    <sheet name="RATE CARD" sheetId="11" r:id="rId2"/>
    <sheet name="RATE CARD LINE" sheetId="12" r:id="rId3"/>
    <sheet name="FEE REVIEW HISTORY" sheetId="24" r:id="rId4"/>
    <sheet name="CUSTOMER PORTFOLIO" sheetId="25" r:id="rId5"/>
    <sheet name="SITE FEE" sheetId="5" r:id="rId6"/>
    <sheet name="BUNDLE" sheetId="23" r:id="rId7"/>
    <sheet name="FEE RECORD" sheetId="8" r:id="rId8"/>
    <sheet name="CPI Lis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8" l="1"/>
  <c r="G39" i="8" s="1"/>
  <c r="F38" i="8"/>
  <c r="G38" i="8" s="1"/>
</calcChain>
</file>

<file path=xl/sharedStrings.xml><?xml version="1.0" encoding="utf-8"?>
<sst xmlns="http://schemas.openxmlformats.org/spreadsheetml/2006/main" count="306" uniqueCount="148">
  <si>
    <t>Data Source</t>
  </si>
  <si>
    <t>AREA(S)</t>
  </si>
  <si>
    <t>SUB-AREA(S)</t>
  </si>
  <si>
    <t>Field Type</t>
  </si>
  <si>
    <t>Option Values</t>
  </si>
  <si>
    <t>Query/Comments</t>
  </si>
  <si>
    <t>Free-Form Text</t>
  </si>
  <si>
    <t>Option</t>
  </si>
  <si>
    <t>Billing Frequency</t>
  </si>
  <si>
    <t>Next Standard Invoice Date</t>
  </si>
  <si>
    <t>Date</t>
  </si>
  <si>
    <t>Portfolio</t>
  </si>
  <si>
    <t>Site</t>
  </si>
  <si>
    <t>SITE Lookup</t>
  </si>
  <si>
    <t>Customer</t>
  </si>
  <si>
    <t>Portfolio ID</t>
  </si>
  <si>
    <t>Text Area</t>
  </si>
  <si>
    <t>Integer</t>
  </si>
  <si>
    <t>EURO Currency</t>
  </si>
  <si>
    <t>SRF</t>
  </si>
  <si>
    <t>Agreement</t>
  </si>
  <si>
    <t>Rate Card</t>
  </si>
  <si>
    <t>RATE CARD Lookup</t>
  </si>
  <si>
    <t>To Be Billed</t>
  </si>
  <si>
    <t>Monthly, Bi_monthly, Quarterly, Biannually, Annually</t>
  </si>
  <si>
    <t>Fee Review Detail</t>
  </si>
  <si>
    <t>Fee Review Frequency</t>
  </si>
  <si>
    <t>Next Fee Review Date</t>
  </si>
  <si>
    <t>CPI, Market, Other</t>
  </si>
  <si>
    <t>CPI to Use</t>
  </si>
  <si>
    <t>Fee Review Mechanism</t>
  </si>
  <si>
    <t>See CPI List</t>
  </si>
  <si>
    <t>CPI Type</t>
  </si>
  <si>
    <t>Jan CPI</t>
  </si>
  <si>
    <t>Feb CPI</t>
  </si>
  <si>
    <t>Mar CPI</t>
  </si>
  <si>
    <t>Apr CPI</t>
  </si>
  <si>
    <t>CUSTOMER Lookup</t>
  </si>
  <si>
    <t>AGREEMENT Lookup</t>
  </si>
  <si>
    <t>May CPI</t>
  </si>
  <si>
    <t>Jun CPI</t>
  </si>
  <si>
    <t>Jul CPI</t>
  </si>
  <si>
    <t>Aug CPI</t>
  </si>
  <si>
    <t>Sep CPI</t>
  </si>
  <si>
    <t>Oct CPI</t>
  </si>
  <si>
    <t>Nov CPI</t>
  </si>
  <si>
    <t>Dec CPI</t>
  </si>
  <si>
    <t>Percentage</t>
  </si>
  <si>
    <t>Fee Review</t>
  </si>
  <si>
    <t>Rate Card ID</t>
  </si>
  <si>
    <t>RATE_CARD-XXX</t>
  </si>
  <si>
    <t>Monthly, Bi-monthly, Quarterly, Biannually, Annually</t>
  </si>
  <si>
    <t>COMPANY Lookup</t>
  </si>
  <si>
    <t>Old Fee</t>
  </si>
  <si>
    <t>Yes, No, Portfolio</t>
  </si>
  <si>
    <t>This field is maintained to show the Fee value prior to a Fee Review</t>
  </si>
  <si>
    <t>Rate Card Line ID</t>
  </si>
  <si>
    <t>Line Type</t>
  </si>
  <si>
    <t>RATE CARD LINE Lookup</t>
  </si>
  <si>
    <t>Rate Card Line</t>
  </si>
  <si>
    <t>Package = the EP relates to a Rate Card Line that prices multiple pieces of equipment
Item = the EP relates to a Rate Card Line that prices a single piece of equipment</t>
  </si>
  <si>
    <t>Item Description</t>
  </si>
  <si>
    <t>Current Fee</t>
  </si>
  <si>
    <t>Rate Card Description</t>
  </si>
  <si>
    <t>The billing frequency for all equipment priced against this Rate Card</t>
  </si>
  <si>
    <t>The Fee Review mechanism for this rate card and for the fees of all equipment priced against this Rate Card</t>
  </si>
  <si>
    <t>Number of years in each fee review term</t>
  </si>
  <si>
    <t>[RATE CARD ID]-XXX</t>
  </si>
  <si>
    <t>Current Total Fees</t>
  </si>
  <si>
    <t>AUTO-GENERATED</t>
  </si>
  <si>
    <t>FEE RECORD</t>
  </si>
  <si>
    <t>FR ID</t>
  </si>
  <si>
    <t>FR Type</t>
  </si>
  <si>
    <t>SITE FEE</t>
  </si>
  <si>
    <t>Old FR Fee</t>
  </si>
  <si>
    <t>SDS</t>
  </si>
  <si>
    <t>SRF Lookup</t>
  </si>
  <si>
    <t>SDS Lookup</t>
  </si>
  <si>
    <t>EQUIP-ACTION Lookup</t>
  </si>
  <si>
    <t>Equip Action</t>
  </si>
  <si>
    <t>FEE-XXXXXX</t>
  </si>
  <si>
    <t>Not relevant for FR Type = Compound</t>
  </si>
  <si>
    <t>Site, Bundle</t>
  </si>
  <si>
    <t>Bundle</t>
  </si>
  <si>
    <t>BUNDLE Lookup</t>
  </si>
  <si>
    <t>Rate Card Category</t>
  </si>
  <si>
    <t>Current Bundle Fee</t>
  </si>
  <si>
    <t>Old Bundle Fee</t>
  </si>
  <si>
    <t>Curent Equipment Count</t>
  </si>
  <si>
    <t>Bundle ID</t>
  </si>
  <si>
    <t>BUND-XXXX</t>
  </si>
  <si>
    <t>FR Status</t>
  </si>
  <si>
    <t>Fee Review Percentage Used</t>
  </si>
  <si>
    <t>Fee Review Comment</t>
  </si>
  <si>
    <t>Billed Up To</t>
  </si>
  <si>
    <t>Current FR Fee</t>
  </si>
  <si>
    <t>Billing Basis</t>
  </si>
  <si>
    <t>Site, Portfolio</t>
  </si>
  <si>
    <t>Fee Review History</t>
  </si>
  <si>
    <t>Fee Review Type</t>
  </si>
  <si>
    <t>Rate Card, Portfolio</t>
  </si>
  <si>
    <t>PORTFOLIO Lookup</t>
  </si>
  <si>
    <t>Use Applicable From</t>
  </si>
  <si>
    <t>Use Applicable To</t>
  </si>
  <si>
    <t>PORT-XXX</t>
  </si>
  <si>
    <t>Current Portfolio Fee</t>
  </si>
  <si>
    <t>Next Standard Billing Date</t>
  </si>
  <si>
    <t>CUSTOMER PORTFOLIO</t>
  </si>
  <si>
    <t>Associated Fee Records</t>
  </si>
  <si>
    <t>Associated Vouchers</t>
  </si>
  <si>
    <t>Associated Rate Card Lines</t>
  </si>
  <si>
    <t>BUNDLE</t>
  </si>
  <si>
    <t>FR Action</t>
  </si>
  <si>
    <t>Package, Item, Bundle</t>
  </si>
  <si>
    <t>Only relevant for FR Type = Bundle</t>
  </si>
  <si>
    <t>Include in Billing From</t>
  </si>
  <si>
    <t>Equipment</t>
  </si>
  <si>
    <t>EQUIPMENT Lookup</t>
  </si>
  <si>
    <t>Draft, Active, Cancelled</t>
  </si>
  <si>
    <t>Fee Review Executed Date</t>
  </si>
  <si>
    <t>Fee Review Effective Date</t>
  </si>
  <si>
    <t>Associated Agreement</t>
  </si>
  <si>
    <t>Customer Portfolio</t>
  </si>
  <si>
    <t>CUSTOMER PORTFOLIO Lookup</t>
  </si>
  <si>
    <t>Rate Card Use</t>
  </si>
  <si>
    <t>RATE CARD USE Lookup</t>
  </si>
  <si>
    <t>All these fields actually come from the Rate Card Use selection</t>
  </si>
  <si>
    <t>This actually comes from the Agreement selection</t>
  </si>
  <si>
    <t>Valid Equipment Class</t>
  </si>
  <si>
    <t>TME, ATME, GIE</t>
  </si>
  <si>
    <t>Dish</t>
  </si>
  <si>
    <t>Valid Equipment Type</t>
  </si>
  <si>
    <t>Voucher End Date</t>
  </si>
  <si>
    <t>Yes, No</t>
  </si>
  <si>
    <t>Install, Remove</t>
  </si>
  <si>
    <t>Generate Voucher</t>
  </si>
  <si>
    <t>Discount to Rate Card Line</t>
  </si>
  <si>
    <t>Uplift to Rate Card Line</t>
  </si>
  <si>
    <t>Rate Card Notes &amp; Special Terms</t>
  </si>
  <si>
    <t>Compound, Package, Existing Package, Item, Bundle, Voucher</t>
  </si>
  <si>
    <t>Voucher Reference</t>
  </si>
  <si>
    <t>VOUCH-XXXX</t>
  </si>
  <si>
    <t>List of associated EQUIP-ACTION records</t>
  </si>
  <si>
    <t>List of associated RATE CARD LINE records</t>
  </si>
  <si>
    <t>List of associated FEE RECORDS records</t>
  </si>
  <si>
    <t xml:space="preserve">List of FEE RECORDS for this Site, for this Customer, for this Agreement
</t>
  </si>
  <si>
    <r>
      <t xml:space="preserve">Sum of the Current FR Fees for all FEE RECORDS for this Site, for this Customer, for this Agreement with an </t>
    </r>
    <r>
      <rPr>
        <b/>
        <sz val="11"/>
        <color theme="1"/>
        <rFont val="Aptos Narrow"/>
        <family val="2"/>
        <scheme val="minor"/>
      </rPr>
      <t>FR Status of Active</t>
    </r>
    <r>
      <rPr>
        <sz val="11"/>
        <color theme="1"/>
        <rFont val="Aptos Narrow"/>
        <family val="2"/>
        <scheme val="minor"/>
      </rPr>
      <t xml:space="preserve">
</t>
    </r>
  </si>
  <si>
    <t>Auto-generated number of FEE RECORDs associated with this 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</si>
</sst>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0" fontId="0" fillId="0" borderId="0" xfId="0" applyNumberFormat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1E1A-A225-4475-9A2D-2F7F39E69B81}">
  <dimension ref="A1:G10"/>
  <sheetViews>
    <sheetView workbookViewId="0">
      <selection activeCell="F2" sqref="F2"/>
    </sheetView>
  </sheetViews>
  <sheetFormatPr defaultRowHeight="15" x14ac:dyDescent="0.25"/>
  <cols>
    <col min="1" max="1" width="43.42578125" style="5" customWidth="1"/>
    <col min="2" max="3" width="11.85546875" style="5" customWidth="1"/>
    <col min="4" max="4" width="22.85546875" style="5" customWidth="1"/>
    <col min="5" max="5" width="31.85546875" style="5" customWidth="1"/>
    <col min="6" max="6" width="35.28515625" style="5" customWidth="1"/>
    <col min="7" max="7" width="22.42578125" style="5" customWidth="1"/>
    <col min="8" max="16384" width="9.140625" style="5"/>
  </cols>
  <sheetData>
    <row r="1" spans="1:7" x14ac:dyDescent="0.25">
      <c r="A1" s="2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</row>
    <row r="2" spans="1:7" x14ac:dyDescent="0.25">
      <c r="A2" s="4" t="s">
        <v>14</v>
      </c>
      <c r="B2" s="3"/>
      <c r="C2" s="3"/>
      <c r="D2" s="3"/>
      <c r="E2" s="6" t="s">
        <v>52</v>
      </c>
      <c r="F2" s="4"/>
      <c r="G2" s="4"/>
    </row>
    <row r="3" spans="1:7" x14ac:dyDescent="0.25">
      <c r="A3" s="4" t="s">
        <v>12</v>
      </c>
      <c r="B3" s="3"/>
      <c r="C3" s="3"/>
      <c r="D3" s="3"/>
      <c r="E3" s="6" t="s">
        <v>13</v>
      </c>
      <c r="F3" s="4"/>
      <c r="G3" s="4"/>
    </row>
    <row r="4" spans="1:7" x14ac:dyDescent="0.25">
      <c r="A4" s="4" t="s">
        <v>20</v>
      </c>
      <c r="B4" s="3"/>
      <c r="C4" s="3"/>
      <c r="D4" s="3"/>
      <c r="E4" s="6" t="s">
        <v>38</v>
      </c>
      <c r="F4" s="4"/>
      <c r="G4" s="4"/>
    </row>
    <row r="5" spans="1:7" x14ac:dyDescent="0.25">
      <c r="A5" s="4" t="s">
        <v>21</v>
      </c>
      <c r="B5" s="3"/>
      <c r="C5" s="3"/>
      <c r="D5" s="3"/>
      <c r="E5" s="6" t="s">
        <v>22</v>
      </c>
      <c r="F5" s="4"/>
      <c r="G5" s="4"/>
    </row>
    <row r="6" spans="1:7" ht="45" x14ac:dyDescent="0.25">
      <c r="A6" s="4" t="s">
        <v>96</v>
      </c>
      <c r="B6" s="3"/>
      <c r="C6" s="3"/>
      <c r="D6" s="3"/>
      <c r="E6" s="3" t="s">
        <v>7</v>
      </c>
      <c r="F6" s="4" t="s">
        <v>97</v>
      </c>
      <c r="G6" s="4" t="s">
        <v>127</v>
      </c>
    </row>
    <row r="7" spans="1:7" x14ac:dyDescent="0.25">
      <c r="A7" s="4" t="s">
        <v>122</v>
      </c>
      <c r="B7" s="3"/>
      <c r="C7" s="3"/>
      <c r="D7" s="3"/>
      <c r="E7" s="6" t="s">
        <v>123</v>
      </c>
      <c r="F7" s="4"/>
      <c r="G7" s="4"/>
    </row>
    <row r="8" spans="1:7" x14ac:dyDescent="0.25">
      <c r="A8" s="4" t="s">
        <v>102</v>
      </c>
      <c r="B8" s="3"/>
      <c r="C8" s="3"/>
      <c r="D8" s="3"/>
      <c r="E8" s="3" t="s">
        <v>10</v>
      </c>
      <c r="F8" s="4"/>
      <c r="G8" s="4"/>
    </row>
    <row r="9" spans="1:7" x14ac:dyDescent="0.25">
      <c r="A9" s="4" t="s">
        <v>103</v>
      </c>
      <c r="B9" s="3"/>
      <c r="C9" s="3"/>
      <c r="D9" s="3"/>
      <c r="E9" s="3" t="s">
        <v>10</v>
      </c>
      <c r="F9" s="4"/>
      <c r="G9" s="4"/>
    </row>
    <row r="10" spans="1:7" x14ac:dyDescent="0.25">
      <c r="A10" s="4"/>
      <c r="B10" s="3"/>
      <c r="C10" s="3"/>
      <c r="D10" s="3"/>
      <c r="E10" s="3"/>
      <c r="F10" s="4"/>
      <c r="G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A0CA-0A0E-41D3-9568-3A44FBF56715}">
  <dimension ref="A1:G17"/>
  <sheetViews>
    <sheetView workbookViewId="0">
      <selection activeCell="E8" sqref="E8"/>
    </sheetView>
  </sheetViews>
  <sheetFormatPr defaultRowHeight="15" x14ac:dyDescent="0.25"/>
  <cols>
    <col min="1" max="1" width="43.42578125" style="5" customWidth="1"/>
    <col min="2" max="3" width="11.85546875" style="5" customWidth="1"/>
    <col min="4" max="4" width="22.85546875" style="5" customWidth="1"/>
    <col min="5" max="5" width="31.85546875" style="5" customWidth="1"/>
    <col min="6" max="6" width="35.28515625" style="5" customWidth="1"/>
    <col min="7" max="7" width="37.140625" style="5" customWidth="1"/>
    <col min="8" max="16384" width="9.140625" style="5"/>
  </cols>
  <sheetData>
    <row r="1" spans="1:7" x14ac:dyDescent="0.25">
      <c r="A1" s="2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</row>
    <row r="2" spans="1:7" x14ac:dyDescent="0.25">
      <c r="A2" s="4" t="s">
        <v>49</v>
      </c>
      <c r="B2" s="3"/>
      <c r="C2" s="3"/>
      <c r="D2" s="3"/>
      <c r="E2" s="3" t="s">
        <v>6</v>
      </c>
      <c r="F2" s="4" t="s">
        <v>50</v>
      </c>
      <c r="G2" s="4"/>
    </row>
    <row r="3" spans="1:7" x14ac:dyDescent="0.25">
      <c r="A3" s="4" t="s">
        <v>63</v>
      </c>
      <c r="B3" s="3"/>
      <c r="C3" s="3"/>
      <c r="D3" s="3"/>
      <c r="E3" s="3" t="s">
        <v>16</v>
      </c>
      <c r="F3" s="4"/>
      <c r="G3" s="4"/>
    </row>
    <row r="4" spans="1:7" x14ac:dyDescent="0.25">
      <c r="A4" s="4" t="s">
        <v>85</v>
      </c>
      <c r="B4" s="3"/>
      <c r="C4" s="3"/>
      <c r="D4" s="3"/>
      <c r="E4" s="3" t="s">
        <v>7</v>
      </c>
      <c r="F4" s="4" t="s">
        <v>82</v>
      </c>
      <c r="G4" s="4"/>
    </row>
    <row r="5" spans="1:7" x14ac:dyDescent="0.25">
      <c r="A5" s="4" t="s">
        <v>121</v>
      </c>
      <c r="B5" s="3"/>
      <c r="C5" s="3"/>
      <c r="D5" s="3"/>
      <c r="E5" s="6" t="s">
        <v>38</v>
      </c>
      <c r="F5" s="4"/>
      <c r="G5" s="4"/>
    </row>
    <row r="6" spans="1:7" x14ac:dyDescent="0.25">
      <c r="A6" s="4" t="s">
        <v>83</v>
      </c>
      <c r="B6" s="3"/>
      <c r="C6" s="3"/>
      <c r="D6" s="3"/>
      <c r="E6" s="6" t="s">
        <v>84</v>
      </c>
      <c r="F6" s="4"/>
      <c r="G6" s="4"/>
    </row>
    <row r="7" spans="1:7" ht="30" x14ac:dyDescent="0.25">
      <c r="A7" s="16" t="s">
        <v>109</v>
      </c>
      <c r="B7" s="3"/>
      <c r="C7" s="3"/>
      <c r="D7" s="3"/>
      <c r="E7" s="17" t="s">
        <v>142</v>
      </c>
      <c r="F7" s="4"/>
      <c r="G7" s="4"/>
    </row>
    <row r="8" spans="1:7" ht="30" x14ac:dyDescent="0.25">
      <c r="A8" s="4" t="s">
        <v>110</v>
      </c>
      <c r="B8" s="3"/>
      <c r="C8" s="3"/>
      <c r="D8" s="3"/>
      <c r="E8" s="15" t="s">
        <v>143</v>
      </c>
      <c r="F8" s="4"/>
      <c r="G8" s="4"/>
    </row>
    <row r="9" spans="1:7" ht="30" x14ac:dyDescent="0.25">
      <c r="A9" s="4" t="s">
        <v>8</v>
      </c>
      <c r="B9" s="3"/>
      <c r="C9" s="3"/>
      <c r="D9" s="3"/>
      <c r="E9" s="3" t="s">
        <v>7</v>
      </c>
      <c r="F9" s="4" t="s">
        <v>51</v>
      </c>
      <c r="G9" s="4" t="s">
        <v>64</v>
      </c>
    </row>
    <row r="10" spans="1:7" ht="45" x14ac:dyDescent="0.25">
      <c r="A10" s="4" t="s">
        <v>30</v>
      </c>
      <c r="B10" s="3"/>
      <c r="C10" s="3"/>
      <c r="D10" s="3" t="s">
        <v>48</v>
      </c>
      <c r="E10" s="3" t="s">
        <v>7</v>
      </c>
      <c r="F10" s="4" t="s">
        <v>28</v>
      </c>
      <c r="G10" s="4" t="s">
        <v>65</v>
      </c>
    </row>
    <row r="11" spans="1:7" x14ac:dyDescent="0.25">
      <c r="A11" s="4" t="s">
        <v>29</v>
      </c>
      <c r="B11" s="3"/>
      <c r="C11" s="3"/>
      <c r="D11" s="3" t="s">
        <v>48</v>
      </c>
      <c r="E11" s="3" t="s">
        <v>7</v>
      </c>
      <c r="F11" s="4" t="s">
        <v>31</v>
      </c>
      <c r="G11" s="4"/>
    </row>
    <row r="12" spans="1:7" x14ac:dyDescent="0.25">
      <c r="A12" s="4" t="s">
        <v>25</v>
      </c>
      <c r="B12" s="3"/>
      <c r="C12" s="3"/>
      <c r="D12" s="3" t="s">
        <v>48</v>
      </c>
      <c r="E12" s="3" t="s">
        <v>16</v>
      </c>
      <c r="F12" s="4"/>
      <c r="G12" s="4"/>
    </row>
    <row r="13" spans="1:7" x14ac:dyDescent="0.25">
      <c r="A13" s="4" t="s">
        <v>26</v>
      </c>
      <c r="B13" s="3"/>
      <c r="C13" s="3"/>
      <c r="D13" s="3" t="s">
        <v>48</v>
      </c>
      <c r="E13" s="3" t="s">
        <v>17</v>
      </c>
      <c r="F13" s="4"/>
      <c r="G13" s="4" t="s">
        <v>66</v>
      </c>
    </row>
    <row r="14" spans="1:7" x14ac:dyDescent="0.25">
      <c r="A14" s="4" t="s">
        <v>27</v>
      </c>
      <c r="B14" s="3"/>
      <c r="C14" s="3"/>
      <c r="D14" s="3" t="s">
        <v>48</v>
      </c>
      <c r="E14" s="3" t="s">
        <v>10</v>
      </c>
      <c r="F14" s="4"/>
      <c r="G14" s="4"/>
    </row>
    <row r="15" spans="1:7" x14ac:dyDescent="0.25">
      <c r="A15" s="4" t="s">
        <v>92</v>
      </c>
      <c r="B15" s="3"/>
      <c r="C15" s="3"/>
      <c r="D15" s="3" t="s">
        <v>48</v>
      </c>
      <c r="E15" s="3" t="s">
        <v>47</v>
      </c>
      <c r="F15" s="4"/>
      <c r="G15" s="4"/>
    </row>
    <row r="16" spans="1:7" x14ac:dyDescent="0.25">
      <c r="A16" s="4" t="s">
        <v>138</v>
      </c>
      <c r="B16" s="3"/>
      <c r="C16" s="3"/>
      <c r="D16" s="3"/>
      <c r="E16" s="3" t="s">
        <v>16</v>
      </c>
      <c r="F16" s="4"/>
      <c r="G16" s="4"/>
    </row>
    <row r="17" spans="1:7" x14ac:dyDescent="0.25">
      <c r="A17" s="4"/>
      <c r="B17" s="3"/>
      <c r="C17" s="3"/>
      <c r="D17" s="3"/>
      <c r="E17" s="3"/>
      <c r="F17" s="4"/>
      <c r="G1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7798-3B11-4DAF-BA23-FFF1BB1E0379}">
  <dimension ref="A1:G12"/>
  <sheetViews>
    <sheetView workbookViewId="0">
      <selection activeCell="F7" sqref="F7"/>
    </sheetView>
  </sheetViews>
  <sheetFormatPr defaultRowHeight="15" x14ac:dyDescent="0.25"/>
  <cols>
    <col min="1" max="1" width="43.42578125" style="5" customWidth="1"/>
    <col min="2" max="3" width="11.85546875" style="5" customWidth="1"/>
    <col min="4" max="4" width="22.85546875" style="5" customWidth="1"/>
    <col min="5" max="5" width="31.85546875" style="5" customWidth="1"/>
    <col min="6" max="6" width="35.28515625" style="5" customWidth="1"/>
    <col min="7" max="7" width="46.5703125" style="5" customWidth="1"/>
    <col min="8" max="16384" width="9.140625" style="5"/>
  </cols>
  <sheetData>
    <row r="1" spans="1:7" x14ac:dyDescent="0.25">
      <c r="A1" s="2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</row>
    <row r="2" spans="1:7" x14ac:dyDescent="0.25">
      <c r="A2" s="4" t="s">
        <v>56</v>
      </c>
      <c r="B2" s="3"/>
      <c r="C2" s="3"/>
      <c r="D2" s="3"/>
      <c r="E2" s="3" t="s">
        <v>6</v>
      </c>
      <c r="F2" s="4" t="s">
        <v>67</v>
      </c>
      <c r="G2" s="4"/>
    </row>
    <row r="3" spans="1:7" x14ac:dyDescent="0.25">
      <c r="A3" s="4" t="s">
        <v>21</v>
      </c>
      <c r="B3" s="3"/>
      <c r="C3" s="3"/>
      <c r="D3" s="3"/>
      <c r="E3" s="6" t="s">
        <v>22</v>
      </c>
      <c r="F3" s="4"/>
      <c r="G3" s="4"/>
    </row>
    <row r="4" spans="1:7" ht="60" x14ac:dyDescent="0.25">
      <c r="A4" s="4" t="s">
        <v>57</v>
      </c>
      <c r="B4" s="3"/>
      <c r="C4" s="3"/>
      <c r="D4" s="3"/>
      <c r="E4" s="3" t="s">
        <v>7</v>
      </c>
      <c r="F4" s="4" t="s">
        <v>113</v>
      </c>
      <c r="G4" s="4" t="s">
        <v>60</v>
      </c>
    </row>
    <row r="5" spans="1:7" x14ac:dyDescent="0.25">
      <c r="A5" s="4" t="s">
        <v>61</v>
      </c>
      <c r="B5" s="3"/>
      <c r="C5" s="3"/>
      <c r="D5" s="3"/>
      <c r="E5" s="3" t="s">
        <v>16</v>
      </c>
      <c r="F5" s="4"/>
      <c r="G5" s="4"/>
    </row>
    <row r="6" spans="1:7" x14ac:dyDescent="0.25">
      <c r="A6" s="4" t="s">
        <v>128</v>
      </c>
      <c r="B6" s="3"/>
      <c r="C6" s="3"/>
      <c r="D6" s="3"/>
      <c r="E6" s="3" t="s">
        <v>7</v>
      </c>
      <c r="F6" s="4" t="s">
        <v>129</v>
      </c>
      <c r="G6" s="4"/>
    </row>
    <row r="7" spans="1:7" x14ac:dyDescent="0.25">
      <c r="A7" s="4" t="s">
        <v>131</v>
      </c>
      <c r="B7" s="3"/>
      <c r="C7" s="3"/>
      <c r="D7" s="3"/>
      <c r="E7" s="3" t="s">
        <v>7</v>
      </c>
      <c r="F7" s="4" t="s">
        <v>130</v>
      </c>
      <c r="G7" s="4"/>
    </row>
    <row r="8" spans="1:7" x14ac:dyDescent="0.25">
      <c r="A8" s="4" t="s">
        <v>62</v>
      </c>
      <c r="B8" s="3"/>
      <c r="C8" s="3"/>
      <c r="D8" s="3"/>
      <c r="E8" s="3" t="s">
        <v>18</v>
      </c>
      <c r="F8" s="4"/>
      <c r="G8" s="4"/>
    </row>
    <row r="9" spans="1:7" ht="30" x14ac:dyDescent="0.25">
      <c r="A9" s="4" t="s">
        <v>53</v>
      </c>
      <c r="B9" s="3"/>
      <c r="C9" s="3"/>
      <c r="D9" s="3"/>
      <c r="E9" s="3" t="s">
        <v>18</v>
      </c>
      <c r="F9" s="4"/>
      <c r="G9" s="4" t="s">
        <v>55</v>
      </c>
    </row>
    <row r="10" spans="1:7" x14ac:dyDescent="0.25">
      <c r="A10" s="4"/>
      <c r="B10" s="3"/>
      <c r="C10" s="3"/>
      <c r="D10" s="3"/>
      <c r="E10" s="3"/>
      <c r="F10" s="4"/>
      <c r="G10" s="4"/>
    </row>
    <row r="11" spans="1:7" x14ac:dyDescent="0.25">
      <c r="A11" s="4"/>
      <c r="B11" s="3"/>
      <c r="C11" s="3"/>
      <c r="D11" s="3"/>
      <c r="E11" s="3"/>
      <c r="F11" s="4"/>
      <c r="G11" s="4"/>
    </row>
    <row r="12" spans="1:7" x14ac:dyDescent="0.25">
      <c r="A12" s="4"/>
      <c r="B12" s="3"/>
      <c r="C12" s="3"/>
      <c r="D12" s="3"/>
      <c r="E12" s="3"/>
      <c r="F12" s="4"/>
      <c r="G1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C5AF-9182-4056-9BE9-03E51D7A4895}">
  <dimension ref="A1:G9"/>
  <sheetViews>
    <sheetView workbookViewId="0">
      <selection activeCell="D24" sqref="D24"/>
    </sheetView>
  </sheetViews>
  <sheetFormatPr defaultRowHeight="15" x14ac:dyDescent="0.25"/>
  <cols>
    <col min="1" max="1" width="43.42578125" style="5" customWidth="1"/>
    <col min="2" max="3" width="11.85546875" style="5" customWidth="1"/>
    <col min="4" max="4" width="22.85546875" style="5" customWidth="1"/>
    <col min="5" max="5" width="31.85546875" style="5" customWidth="1"/>
    <col min="6" max="6" width="35.28515625" style="5" customWidth="1"/>
    <col min="7" max="7" width="22.42578125" style="5" customWidth="1"/>
    <col min="8" max="16384" width="9.140625" style="5"/>
  </cols>
  <sheetData>
    <row r="1" spans="1:7" x14ac:dyDescent="0.25">
      <c r="A1" s="2" t="s">
        <v>98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</row>
    <row r="2" spans="1:7" x14ac:dyDescent="0.25">
      <c r="A2" s="4" t="s">
        <v>99</v>
      </c>
      <c r="B2" s="3"/>
      <c r="C2" s="3"/>
      <c r="D2" s="3"/>
      <c r="E2" s="3" t="s">
        <v>7</v>
      </c>
      <c r="F2" s="4" t="s">
        <v>100</v>
      </c>
      <c r="G2" s="4"/>
    </row>
    <row r="3" spans="1:7" x14ac:dyDescent="0.25">
      <c r="A3" s="4" t="s">
        <v>11</v>
      </c>
      <c r="B3" s="3"/>
      <c r="C3" s="3"/>
      <c r="D3" s="3"/>
      <c r="E3" s="6" t="s">
        <v>101</v>
      </c>
      <c r="F3" s="4"/>
      <c r="G3" s="4"/>
    </row>
    <row r="4" spans="1:7" x14ac:dyDescent="0.25">
      <c r="A4" s="4" t="s">
        <v>21</v>
      </c>
      <c r="B4" s="3"/>
      <c r="C4" s="3"/>
      <c r="D4" s="3"/>
      <c r="E4" s="6" t="s">
        <v>22</v>
      </c>
      <c r="F4" s="4"/>
      <c r="G4" s="4"/>
    </row>
    <row r="5" spans="1:7" x14ac:dyDescent="0.25">
      <c r="A5" s="4" t="s">
        <v>120</v>
      </c>
      <c r="B5" s="3"/>
      <c r="C5" s="3"/>
      <c r="D5" s="3"/>
      <c r="E5" s="3" t="s">
        <v>10</v>
      </c>
      <c r="F5" s="4"/>
      <c r="G5" s="4"/>
    </row>
    <row r="6" spans="1:7" x14ac:dyDescent="0.25">
      <c r="A6" s="4" t="s">
        <v>119</v>
      </c>
      <c r="B6" s="3"/>
      <c r="C6" s="3"/>
      <c r="D6" s="3"/>
      <c r="E6" s="3" t="s">
        <v>10</v>
      </c>
      <c r="F6" s="4"/>
      <c r="G6" s="4"/>
    </row>
    <row r="7" spans="1:7" x14ac:dyDescent="0.25">
      <c r="A7" s="4" t="s">
        <v>92</v>
      </c>
      <c r="B7" s="3"/>
      <c r="C7" s="3"/>
      <c r="D7" s="3"/>
      <c r="E7" s="3" t="s">
        <v>47</v>
      </c>
      <c r="F7" s="4"/>
      <c r="G7" s="4"/>
    </row>
    <row r="8" spans="1:7" x14ac:dyDescent="0.25">
      <c r="A8" s="4" t="s">
        <v>93</v>
      </c>
      <c r="B8" s="3"/>
      <c r="C8" s="3"/>
      <c r="D8" s="3"/>
      <c r="E8" s="3" t="s">
        <v>16</v>
      </c>
      <c r="F8" s="4"/>
      <c r="G8" s="4"/>
    </row>
    <row r="9" spans="1:7" x14ac:dyDescent="0.25">
      <c r="A9" s="4"/>
      <c r="B9" s="3"/>
      <c r="C9" s="3"/>
      <c r="D9" s="3"/>
      <c r="E9" s="3"/>
      <c r="F9" s="4"/>
      <c r="G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A897-5F37-4995-B253-2C04BBBCAC89}">
  <dimension ref="A1:G17"/>
  <sheetViews>
    <sheetView zoomScale="90" zoomScaleNormal="90" workbookViewId="0">
      <selection activeCell="A7" sqref="A7"/>
    </sheetView>
  </sheetViews>
  <sheetFormatPr defaultRowHeight="15" x14ac:dyDescent="0.25"/>
  <cols>
    <col min="1" max="1" width="43.42578125" style="5" customWidth="1"/>
    <col min="2" max="3" width="11.85546875" style="5" customWidth="1"/>
    <col min="4" max="4" width="22.85546875" style="5" customWidth="1"/>
    <col min="5" max="5" width="31.85546875" style="5" customWidth="1"/>
    <col min="6" max="6" width="35.28515625" style="5" customWidth="1"/>
    <col min="7" max="7" width="50.85546875" style="5" customWidth="1"/>
    <col min="8" max="16384" width="9.140625" style="5"/>
  </cols>
  <sheetData>
    <row r="1" spans="1:7" x14ac:dyDescent="0.25">
      <c r="A1" s="2" t="s">
        <v>107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</row>
    <row r="2" spans="1:7" x14ac:dyDescent="0.25">
      <c r="A2" s="4" t="s">
        <v>15</v>
      </c>
      <c r="B2" s="3"/>
      <c r="C2" s="3"/>
      <c r="D2" s="3"/>
      <c r="E2" s="3" t="s">
        <v>6</v>
      </c>
      <c r="F2" s="4" t="s">
        <v>104</v>
      </c>
      <c r="G2" s="4"/>
    </row>
    <row r="3" spans="1:7" x14ac:dyDescent="0.25">
      <c r="A3" s="4" t="s">
        <v>14</v>
      </c>
      <c r="B3" s="3"/>
      <c r="C3" s="3"/>
      <c r="D3" s="3"/>
      <c r="E3" s="6" t="s">
        <v>37</v>
      </c>
      <c r="F3" s="4"/>
      <c r="G3" s="4"/>
    </row>
    <row r="4" spans="1:7" x14ac:dyDescent="0.25">
      <c r="A4" s="4" t="s">
        <v>105</v>
      </c>
      <c r="B4" s="3"/>
      <c r="C4" s="3"/>
      <c r="D4" s="3"/>
      <c r="E4" s="3" t="s">
        <v>18</v>
      </c>
      <c r="F4" s="4"/>
      <c r="G4" s="4"/>
    </row>
    <row r="5" spans="1:7" ht="30" x14ac:dyDescent="0.25">
      <c r="A5" s="4" t="s">
        <v>8</v>
      </c>
      <c r="B5" s="3"/>
      <c r="C5" s="3"/>
      <c r="D5" s="3"/>
      <c r="E5" s="3" t="s">
        <v>7</v>
      </c>
      <c r="F5" s="4" t="s">
        <v>24</v>
      </c>
      <c r="G5" s="4"/>
    </row>
    <row r="6" spans="1:7" ht="14.25" customHeight="1" x14ac:dyDescent="0.25">
      <c r="A6" s="4" t="s">
        <v>106</v>
      </c>
      <c r="B6" s="3"/>
      <c r="C6" s="3"/>
      <c r="D6" s="3"/>
      <c r="E6" s="3" t="s">
        <v>10</v>
      </c>
      <c r="F6" s="4"/>
      <c r="G6" s="4"/>
    </row>
    <row r="7" spans="1:7" ht="45" x14ac:dyDescent="0.25">
      <c r="A7" s="4" t="s">
        <v>30</v>
      </c>
      <c r="B7" s="3"/>
      <c r="C7" s="3"/>
      <c r="D7" s="3" t="s">
        <v>48</v>
      </c>
      <c r="E7" s="3" t="s">
        <v>7</v>
      </c>
      <c r="F7" s="4" t="s">
        <v>28</v>
      </c>
      <c r="G7" s="4" t="s">
        <v>65</v>
      </c>
    </row>
    <row r="8" spans="1:7" x14ac:dyDescent="0.25">
      <c r="A8" s="4" t="s">
        <v>29</v>
      </c>
      <c r="B8" s="3"/>
      <c r="C8" s="3"/>
      <c r="D8" s="3" t="s">
        <v>48</v>
      </c>
      <c r="E8" s="3" t="s">
        <v>7</v>
      </c>
      <c r="F8" s="4" t="s">
        <v>31</v>
      </c>
      <c r="G8" s="4"/>
    </row>
    <row r="9" spans="1:7" x14ac:dyDescent="0.25">
      <c r="A9" s="4" t="s">
        <v>25</v>
      </c>
      <c r="B9" s="3"/>
      <c r="C9" s="3"/>
      <c r="D9" s="3" t="s">
        <v>48</v>
      </c>
      <c r="E9" s="3" t="s">
        <v>16</v>
      </c>
      <c r="F9" s="4"/>
      <c r="G9" s="4"/>
    </row>
    <row r="10" spans="1:7" x14ac:dyDescent="0.25">
      <c r="A10" s="4" t="s">
        <v>26</v>
      </c>
      <c r="B10" s="3"/>
      <c r="C10" s="3"/>
      <c r="D10" s="3" t="s">
        <v>48</v>
      </c>
      <c r="E10" s="3" t="s">
        <v>17</v>
      </c>
      <c r="F10" s="4"/>
      <c r="G10" s="4" t="s">
        <v>66</v>
      </c>
    </row>
    <row r="11" spans="1:7" x14ac:dyDescent="0.25">
      <c r="A11" s="4" t="s">
        <v>27</v>
      </c>
      <c r="B11" s="3"/>
      <c r="C11" s="3"/>
      <c r="D11" s="3" t="s">
        <v>48</v>
      </c>
      <c r="E11" s="3" t="s">
        <v>10</v>
      </c>
      <c r="F11" s="4"/>
      <c r="G11" s="4"/>
    </row>
    <row r="12" spans="1:7" x14ac:dyDescent="0.25">
      <c r="A12" s="4" t="s">
        <v>92</v>
      </c>
      <c r="B12" s="3"/>
      <c r="C12" s="3"/>
      <c r="D12" s="3" t="s">
        <v>48</v>
      </c>
      <c r="E12" s="3" t="s">
        <v>47</v>
      </c>
      <c r="F12" s="4"/>
      <c r="G12" s="4"/>
    </row>
    <row r="13" spans="1:7" x14ac:dyDescent="0.25">
      <c r="A13" s="4"/>
      <c r="B13" s="3"/>
      <c r="C13" s="3"/>
      <c r="D13" s="3"/>
      <c r="E13" s="3"/>
      <c r="F13" s="4"/>
      <c r="G13" s="4"/>
    </row>
    <row r="14" spans="1:7" x14ac:dyDescent="0.25">
      <c r="A14" s="4"/>
      <c r="B14" s="3"/>
      <c r="C14" s="3"/>
      <c r="D14" s="3"/>
      <c r="E14" s="3"/>
      <c r="F14" s="4"/>
      <c r="G14" s="4"/>
    </row>
    <row r="15" spans="1:7" x14ac:dyDescent="0.25">
      <c r="A15" s="4"/>
      <c r="B15" s="3"/>
      <c r="C15" s="3"/>
      <c r="D15" s="3"/>
      <c r="E15" s="3"/>
      <c r="F15" s="4"/>
      <c r="G15" s="4"/>
    </row>
    <row r="16" spans="1:7" x14ac:dyDescent="0.25">
      <c r="A16" s="4"/>
      <c r="B16" s="3"/>
      <c r="C16" s="3"/>
      <c r="D16" s="3"/>
      <c r="E16" s="3"/>
      <c r="F16" s="4"/>
      <c r="G16" s="4"/>
    </row>
    <row r="17" spans="1:7" x14ac:dyDescent="0.25">
      <c r="A17" s="4"/>
      <c r="B17" s="3"/>
      <c r="C17" s="3"/>
      <c r="D17" s="3"/>
      <c r="E17" s="3"/>
      <c r="F17" s="4"/>
      <c r="G1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8ABA-ACFC-4466-AB3F-686A93AA7348}">
  <dimension ref="A1:G13"/>
  <sheetViews>
    <sheetView zoomScale="90" zoomScaleNormal="90" workbookViewId="0">
      <selection activeCell="E5" sqref="E5"/>
    </sheetView>
  </sheetViews>
  <sheetFormatPr defaultRowHeight="15" x14ac:dyDescent="0.25"/>
  <cols>
    <col min="1" max="1" width="43.42578125" style="5" customWidth="1"/>
    <col min="2" max="3" width="11.85546875" style="5" customWidth="1"/>
    <col min="4" max="4" width="22.85546875" style="5" customWidth="1"/>
    <col min="5" max="5" width="31.85546875" style="5" customWidth="1"/>
    <col min="6" max="6" width="35.28515625" style="5" customWidth="1"/>
    <col min="7" max="7" width="50.85546875" style="5" customWidth="1"/>
    <col min="8" max="16384" width="9.140625" style="5"/>
  </cols>
  <sheetData>
    <row r="1" spans="1:7" x14ac:dyDescent="0.25">
      <c r="A1" s="2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</row>
    <row r="2" spans="1:7" x14ac:dyDescent="0.25">
      <c r="A2" s="4" t="s">
        <v>12</v>
      </c>
      <c r="B2" s="3"/>
      <c r="C2" s="3"/>
      <c r="D2" s="3"/>
      <c r="E2" s="6" t="s">
        <v>13</v>
      </c>
      <c r="F2" s="4"/>
      <c r="G2" s="4"/>
    </row>
    <row r="3" spans="1:7" x14ac:dyDescent="0.25">
      <c r="A3" s="4" t="s">
        <v>14</v>
      </c>
      <c r="B3" s="3"/>
      <c r="C3" s="3"/>
      <c r="D3" s="3"/>
      <c r="E3" s="6" t="s">
        <v>37</v>
      </c>
      <c r="F3" s="4"/>
      <c r="G3" s="4"/>
    </row>
    <row r="4" spans="1:7" x14ac:dyDescent="0.25">
      <c r="A4" s="4" t="s">
        <v>20</v>
      </c>
      <c r="B4" s="3"/>
      <c r="C4" s="3"/>
      <c r="D4" s="3"/>
      <c r="E4" s="6" t="s">
        <v>38</v>
      </c>
      <c r="F4" s="4"/>
      <c r="G4" s="4"/>
    </row>
    <row r="5" spans="1:7" ht="45" x14ac:dyDescent="0.25">
      <c r="A5" s="4" t="s">
        <v>108</v>
      </c>
      <c r="B5" s="3"/>
      <c r="C5" s="3"/>
      <c r="D5" s="3"/>
      <c r="E5" s="15" t="s">
        <v>144</v>
      </c>
      <c r="F5" s="4"/>
      <c r="G5" s="4" t="s">
        <v>145</v>
      </c>
    </row>
    <row r="6" spans="1:7" ht="60" x14ac:dyDescent="0.25">
      <c r="A6" s="4" t="s">
        <v>68</v>
      </c>
      <c r="B6" s="3"/>
      <c r="C6" s="3"/>
      <c r="D6" s="3"/>
      <c r="E6" s="3" t="s">
        <v>18</v>
      </c>
      <c r="F6" s="18" t="s">
        <v>69</v>
      </c>
      <c r="G6" s="4" t="s">
        <v>146</v>
      </c>
    </row>
    <row r="7" spans="1:7" ht="30" x14ac:dyDescent="0.25">
      <c r="A7" s="4" t="s">
        <v>8</v>
      </c>
      <c r="B7" s="3"/>
      <c r="C7" s="3"/>
      <c r="D7" s="3"/>
      <c r="E7" s="3" t="s">
        <v>7</v>
      </c>
      <c r="F7" s="4" t="s">
        <v>24</v>
      </c>
      <c r="G7" s="4"/>
    </row>
    <row r="8" spans="1:7" ht="14.25" customHeight="1" x14ac:dyDescent="0.25">
      <c r="A8" s="4" t="s">
        <v>9</v>
      </c>
      <c r="B8" s="3"/>
      <c r="C8" s="3"/>
      <c r="D8" s="3"/>
      <c r="E8" s="3" t="s">
        <v>10</v>
      </c>
      <c r="F8" s="4"/>
      <c r="G8" s="4"/>
    </row>
    <row r="9" spans="1:7" x14ac:dyDescent="0.25">
      <c r="A9" s="4"/>
      <c r="B9" s="3"/>
      <c r="C9" s="3"/>
      <c r="D9" s="3"/>
      <c r="E9" s="3"/>
      <c r="F9" s="4"/>
      <c r="G9" s="4"/>
    </row>
    <row r="10" spans="1:7" x14ac:dyDescent="0.25">
      <c r="A10" s="4"/>
      <c r="B10" s="3"/>
      <c r="C10" s="3"/>
      <c r="D10" s="3"/>
      <c r="E10" s="3"/>
      <c r="F10" s="4"/>
      <c r="G10" s="4"/>
    </row>
    <row r="11" spans="1:7" x14ac:dyDescent="0.25">
      <c r="A11" s="4"/>
      <c r="B11" s="3"/>
      <c r="C11" s="3"/>
      <c r="D11" s="3"/>
      <c r="E11" s="3"/>
      <c r="F11" s="4"/>
      <c r="G11" s="4"/>
    </row>
    <row r="12" spans="1:7" x14ac:dyDescent="0.25">
      <c r="A12" s="4"/>
      <c r="B12" s="3"/>
      <c r="C12" s="3"/>
      <c r="D12" s="3"/>
      <c r="E12" s="3"/>
      <c r="F12" s="4"/>
      <c r="G12" s="4"/>
    </row>
    <row r="13" spans="1:7" x14ac:dyDescent="0.25">
      <c r="A13" s="4"/>
      <c r="B13" s="3"/>
      <c r="C13" s="3"/>
      <c r="D13" s="3"/>
      <c r="E13" s="3"/>
      <c r="F13" s="4"/>
      <c r="G1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A08D-65B7-42C8-B84B-6445384BD967}">
  <dimension ref="A1:G15"/>
  <sheetViews>
    <sheetView zoomScale="90" zoomScaleNormal="90" workbookViewId="0">
      <selection activeCell="E5" sqref="E5"/>
    </sheetView>
  </sheetViews>
  <sheetFormatPr defaultRowHeight="15" x14ac:dyDescent="0.25"/>
  <cols>
    <col min="1" max="1" width="43.42578125" style="5" customWidth="1"/>
    <col min="2" max="3" width="11.85546875" style="5" customWidth="1"/>
    <col min="4" max="4" width="22.85546875" style="5" customWidth="1"/>
    <col min="5" max="5" width="31.85546875" style="5" customWidth="1"/>
    <col min="6" max="6" width="35.28515625" style="5" customWidth="1"/>
    <col min="7" max="7" width="50.85546875" style="5" customWidth="1"/>
    <col min="8" max="16384" width="9.140625" style="5"/>
  </cols>
  <sheetData>
    <row r="1" spans="1:7" x14ac:dyDescent="0.25">
      <c r="A1" s="2" t="s">
        <v>111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</row>
    <row r="2" spans="1:7" x14ac:dyDescent="0.25">
      <c r="A2" s="4" t="s">
        <v>89</v>
      </c>
      <c r="B2" s="3"/>
      <c r="C2" s="3"/>
      <c r="D2" s="3"/>
      <c r="E2" s="3" t="s">
        <v>6</v>
      </c>
      <c r="F2" s="4" t="s">
        <v>90</v>
      </c>
      <c r="G2" s="4"/>
    </row>
    <row r="3" spans="1:7" x14ac:dyDescent="0.25">
      <c r="A3" s="4" t="s">
        <v>14</v>
      </c>
      <c r="B3" s="3"/>
      <c r="C3" s="3"/>
      <c r="D3" s="3"/>
      <c r="E3" s="6" t="s">
        <v>37</v>
      </c>
      <c r="F3" s="4"/>
      <c r="G3" s="4"/>
    </row>
    <row r="4" spans="1:7" x14ac:dyDescent="0.25">
      <c r="A4" s="4" t="s">
        <v>21</v>
      </c>
      <c r="B4" s="3"/>
      <c r="C4" s="3"/>
      <c r="D4" s="3"/>
      <c r="E4" s="6" t="s">
        <v>22</v>
      </c>
      <c r="F4" s="4"/>
      <c r="G4" s="4"/>
    </row>
    <row r="5" spans="1:7" ht="30" x14ac:dyDescent="0.25">
      <c r="A5" s="4" t="s">
        <v>108</v>
      </c>
      <c r="B5" s="3"/>
      <c r="C5" s="3"/>
      <c r="D5" s="3"/>
      <c r="E5" s="15" t="s">
        <v>144</v>
      </c>
      <c r="F5" s="4"/>
      <c r="G5" s="4"/>
    </row>
    <row r="6" spans="1:7" x14ac:dyDescent="0.25">
      <c r="A6" s="4" t="s">
        <v>86</v>
      </c>
      <c r="B6" s="3"/>
      <c r="C6" s="3"/>
      <c r="D6" s="3"/>
      <c r="E6" s="3" t="s">
        <v>18</v>
      </c>
      <c r="F6" s="4"/>
      <c r="G6" s="4"/>
    </row>
    <row r="7" spans="1:7" x14ac:dyDescent="0.25">
      <c r="A7" s="4" t="s">
        <v>87</v>
      </c>
      <c r="B7" s="3"/>
      <c r="C7" s="3"/>
      <c r="D7" s="3"/>
      <c r="E7" s="3" t="s">
        <v>18</v>
      </c>
      <c r="F7" s="4"/>
      <c r="G7" s="4"/>
    </row>
    <row r="8" spans="1:7" ht="30" x14ac:dyDescent="0.25">
      <c r="A8" s="4" t="s">
        <v>88</v>
      </c>
      <c r="B8" s="3"/>
      <c r="C8" s="3"/>
      <c r="D8" s="3"/>
      <c r="E8" s="3" t="s">
        <v>17</v>
      </c>
      <c r="F8" s="4"/>
      <c r="G8" s="4" t="s">
        <v>147</v>
      </c>
    </row>
    <row r="9" spans="1:7" ht="30" x14ac:dyDescent="0.25">
      <c r="A9" s="4" t="s">
        <v>8</v>
      </c>
      <c r="B9" s="3"/>
      <c r="C9" s="3"/>
      <c r="D9" s="3"/>
      <c r="E9" s="3" t="s">
        <v>7</v>
      </c>
      <c r="F9" s="4" t="s">
        <v>24</v>
      </c>
      <c r="G9" s="4"/>
    </row>
    <row r="10" spans="1:7" ht="14.25" customHeight="1" x14ac:dyDescent="0.25">
      <c r="A10" s="4" t="s">
        <v>9</v>
      </c>
      <c r="B10" s="3"/>
      <c r="C10" s="3"/>
      <c r="D10" s="3"/>
      <c r="E10" s="3" t="s">
        <v>10</v>
      </c>
      <c r="F10" s="4"/>
      <c r="G10" s="4"/>
    </row>
    <row r="11" spans="1:7" x14ac:dyDescent="0.25">
      <c r="A11" s="4"/>
      <c r="B11" s="3"/>
      <c r="C11" s="3"/>
      <c r="D11" s="3"/>
      <c r="E11" s="3"/>
      <c r="F11" s="4"/>
      <c r="G11" s="4"/>
    </row>
    <row r="12" spans="1:7" x14ac:dyDescent="0.25">
      <c r="A12" s="4"/>
      <c r="B12" s="3"/>
      <c r="C12" s="3"/>
      <c r="D12" s="3"/>
      <c r="E12" s="3"/>
      <c r="F12" s="4"/>
      <c r="G12" s="4"/>
    </row>
    <row r="13" spans="1:7" x14ac:dyDescent="0.25">
      <c r="A13" s="4"/>
      <c r="B13" s="3"/>
      <c r="C13" s="3"/>
      <c r="D13" s="3"/>
      <c r="E13" s="3"/>
      <c r="F13" s="4"/>
      <c r="G13" s="4"/>
    </row>
    <row r="14" spans="1:7" x14ac:dyDescent="0.25">
      <c r="A14" s="4"/>
      <c r="B14" s="3"/>
      <c r="C14" s="3"/>
      <c r="D14" s="3"/>
      <c r="E14" s="3"/>
      <c r="F14" s="4"/>
      <c r="G14" s="4"/>
    </row>
    <row r="15" spans="1:7" x14ac:dyDescent="0.25">
      <c r="A15" s="4"/>
      <c r="B15" s="3"/>
      <c r="C15" s="3"/>
      <c r="D15" s="3"/>
      <c r="E15" s="3"/>
      <c r="F15" s="4"/>
      <c r="G15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EB88-D5DB-4FF4-B936-5B3104BBE2CA}">
  <dimension ref="A1:G39"/>
  <sheetViews>
    <sheetView workbookViewId="0">
      <selection activeCell="G32" sqref="G32"/>
    </sheetView>
  </sheetViews>
  <sheetFormatPr defaultRowHeight="15" x14ac:dyDescent="0.25"/>
  <cols>
    <col min="1" max="1" width="43.42578125" style="5" customWidth="1"/>
    <col min="2" max="3" width="11.85546875" style="5" hidden="1" customWidth="1"/>
    <col min="4" max="4" width="22.85546875" style="5" hidden="1" customWidth="1"/>
    <col min="5" max="5" width="31.85546875" style="5" customWidth="1"/>
    <col min="6" max="6" width="35.28515625" style="5" customWidth="1"/>
    <col min="7" max="7" width="48.85546875" style="5" customWidth="1"/>
    <col min="8" max="16384" width="9.140625" style="5"/>
  </cols>
  <sheetData>
    <row r="1" spans="1:7" x14ac:dyDescent="0.25">
      <c r="A1" s="2" t="s">
        <v>70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</row>
    <row r="2" spans="1:7" x14ac:dyDescent="0.25">
      <c r="A2" s="4" t="s">
        <v>71</v>
      </c>
      <c r="B2" s="3"/>
      <c r="C2" s="3"/>
      <c r="D2" s="3"/>
      <c r="E2" s="3" t="s">
        <v>6</v>
      </c>
      <c r="F2" s="4" t="s">
        <v>80</v>
      </c>
      <c r="G2" s="4"/>
    </row>
    <row r="3" spans="1:7" ht="30" x14ac:dyDescent="0.25">
      <c r="A3" s="4" t="s">
        <v>72</v>
      </c>
      <c r="B3" s="3"/>
      <c r="C3" s="3"/>
      <c r="D3" s="3"/>
      <c r="E3" s="3" t="s">
        <v>7</v>
      </c>
      <c r="F3" s="4" t="s">
        <v>139</v>
      </c>
      <c r="G3" s="4"/>
    </row>
    <row r="4" spans="1:7" x14ac:dyDescent="0.25">
      <c r="A4" s="4" t="s">
        <v>112</v>
      </c>
      <c r="B4" s="3"/>
      <c r="C4" s="3"/>
      <c r="D4" s="3"/>
      <c r="E4" s="3" t="s">
        <v>7</v>
      </c>
      <c r="F4" s="4" t="s">
        <v>134</v>
      </c>
      <c r="G4" s="4"/>
    </row>
    <row r="5" spans="1:7" x14ac:dyDescent="0.25">
      <c r="A5" s="4" t="s">
        <v>91</v>
      </c>
      <c r="B5" s="3"/>
      <c r="C5" s="3"/>
      <c r="D5" s="3"/>
      <c r="E5" s="3" t="s">
        <v>7</v>
      </c>
      <c r="F5" s="4" t="s">
        <v>118</v>
      </c>
      <c r="G5" s="4"/>
    </row>
    <row r="6" spans="1:7" x14ac:dyDescent="0.25">
      <c r="A6" s="4" t="s">
        <v>12</v>
      </c>
      <c r="B6" s="3"/>
      <c r="C6" s="3"/>
      <c r="D6" s="3"/>
      <c r="E6" s="6" t="s">
        <v>13</v>
      </c>
      <c r="F6" s="4"/>
      <c r="G6" s="4"/>
    </row>
    <row r="7" spans="1:7" x14ac:dyDescent="0.25">
      <c r="A7" s="4" t="s">
        <v>14</v>
      </c>
      <c r="B7" s="3"/>
      <c r="C7" s="3"/>
      <c r="D7" s="3"/>
      <c r="E7" s="6" t="s">
        <v>37</v>
      </c>
      <c r="F7" s="4"/>
      <c r="G7" s="12" t="s">
        <v>126</v>
      </c>
    </row>
    <row r="8" spans="1:7" x14ac:dyDescent="0.25">
      <c r="A8" s="4" t="s">
        <v>124</v>
      </c>
      <c r="B8" s="3"/>
      <c r="C8" s="3"/>
      <c r="D8" s="3"/>
      <c r="E8" s="6" t="s">
        <v>125</v>
      </c>
      <c r="F8" s="4"/>
      <c r="G8" s="13"/>
    </row>
    <row r="9" spans="1:7" x14ac:dyDescent="0.25">
      <c r="A9" s="4" t="s">
        <v>20</v>
      </c>
      <c r="B9" s="3"/>
      <c r="C9" s="3"/>
      <c r="D9" s="3"/>
      <c r="E9" s="6" t="s">
        <v>38</v>
      </c>
      <c r="F9" s="4"/>
      <c r="G9" s="13"/>
    </row>
    <row r="10" spans="1:7" x14ac:dyDescent="0.25">
      <c r="A10" s="4" t="s">
        <v>21</v>
      </c>
      <c r="B10" s="3"/>
      <c r="C10" s="3"/>
      <c r="D10" s="3"/>
      <c r="E10" s="6" t="s">
        <v>22</v>
      </c>
      <c r="F10" s="4"/>
      <c r="G10" s="13"/>
    </row>
    <row r="11" spans="1:7" x14ac:dyDescent="0.25">
      <c r="A11" s="4" t="s">
        <v>96</v>
      </c>
      <c r="B11" s="3"/>
      <c r="C11" s="3"/>
      <c r="D11" s="3"/>
      <c r="E11" s="3" t="s">
        <v>7</v>
      </c>
      <c r="F11" s="4" t="s">
        <v>97</v>
      </c>
      <c r="G11" s="14"/>
    </row>
    <row r="12" spans="1:7" x14ac:dyDescent="0.25">
      <c r="A12" s="4" t="s">
        <v>59</v>
      </c>
      <c r="B12" s="3"/>
      <c r="C12" s="3"/>
      <c r="D12" s="3"/>
      <c r="E12" s="6" t="s">
        <v>58</v>
      </c>
      <c r="F12" s="4"/>
      <c r="G12" s="4" t="s">
        <v>81</v>
      </c>
    </row>
    <row r="13" spans="1:7" x14ac:dyDescent="0.25">
      <c r="A13" s="4" t="s">
        <v>19</v>
      </c>
      <c r="B13" s="3"/>
      <c r="C13" s="3"/>
      <c r="D13" s="3"/>
      <c r="E13" s="6" t="s">
        <v>76</v>
      </c>
      <c r="F13" s="4"/>
      <c r="G13" s="4"/>
    </row>
    <row r="14" spans="1:7" x14ac:dyDescent="0.25">
      <c r="A14" s="4" t="s">
        <v>75</v>
      </c>
      <c r="B14" s="3"/>
      <c r="C14" s="3"/>
      <c r="D14" s="3"/>
      <c r="E14" s="6" t="s">
        <v>77</v>
      </c>
      <c r="F14" s="4"/>
      <c r="G14" s="4"/>
    </row>
    <row r="15" spans="1:7" x14ac:dyDescent="0.25">
      <c r="A15" s="4" t="s">
        <v>79</v>
      </c>
      <c r="B15" s="3"/>
      <c r="C15" s="3"/>
      <c r="D15" s="3"/>
      <c r="E15" s="6" t="s">
        <v>78</v>
      </c>
      <c r="F15" s="4"/>
      <c r="G15" s="4" t="s">
        <v>81</v>
      </c>
    </row>
    <row r="16" spans="1:7" x14ac:dyDescent="0.25">
      <c r="A16" s="4" t="s">
        <v>116</v>
      </c>
      <c r="B16" s="3"/>
      <c r="C16" s="3"/>
      <c r="D16" s="3"/>
      <c r="E16" s="6" t="s">
        <v>117</v>
      </c>
      <c r="F16" s="4"/>
      <c r="G16" s="4"/>
    </row>
    <row r="17" spans="1:7" x14ac:dyDescent="0.25">
      <c r="A17" s="4" t="s">
        <v>83</v>
      </c>
      <c r="B17" s="3"/>
      <c r="C17" s="3"/>
      <c r="D17" s="3"/>
      <c r="E17" s="6" t="s">
        <v>84</v>
      </c>
      <c r="F17" s="4"/>
      <c r="G17" s="4" t="s">
        <v>114</v>
      </c>
    </row>
    <row r="18" spans="1:7" x14ac:dyDescent="0.25">
      <c r="A18" s="4" t="s">
        <v>136</v>
      </c>
      <c r="B18" s="3"/>
      <c r="C18" s="3"/>
      <c r="D18" s="3"/>
      <c r="E18" s="3" t="s">
        <v>47</v>
      </c>
      <c r="F18" s="4"/>
      <c r="G18" s="4"/>
    </row>
    <row r="19" spans="1:7" x14ac:dyDescent="0.25">
      <c r="A19" s="4" t="s">
        <v>137</v>
      </c>
      <c r="B19" s="3"/>
      <c r="C19" s="3"/>
      <c r="D19" s="3"/>
      <c r="E19" s="3" t="s">
        <v>47</v>
      </c>
      <c r="F19" s="4"/>
      <c r="G19" s="4"/>
    </row>
    <row r="20" spans="1:7" x14ac:dyDescent="0.25">
      <c r="A20" s="4" t="s">
        <v>95</v>
      </c>
      <c r="B20" s="3"/>
      <c r="C20" s="3"/>
      <c r="D20" s="3"/>
      <c r="E20" s="3" t="s">
        <v>18</v>
      </c>
      <c r="F20" s="4"/>
      <c r="G20" s="4"/>
    </row>
    <row r="21" spans="1:7" ht="30" x14ac:dyDescent="0.25">
      <c r="A21" s="4" t="s">
        <v>74</v>
      </c>
      <c r="B21" s="3"/>
      <c r="C21" s="3"/>
      <c r="D21" s="3"/>
      <c r="E21" s="3" t="s">
        <v>18</v>
      </c>
      <c r="F21" s="4"/>
      <c r="G21" s="4" t="s">
        <v>55</v>
      </c>
    </row>
    <row r="22" spans="1:7" ht="15" customHeight="1" x14ac:dyDescent="0.25">
      <c r="A22" s="4" t="s">
        <v>23</v>
      </c>
      <c r="B22" s="3"/>
      <c r="C22" s="3"/>
      <c r="D22" s="3"/>
      <c r="E22" s="3" t="s">
        <v>7</v>
      </c>
      <c r="F22" s="7" t="s">
        <v>54</v>
      </c>
      <c r="G22" s="4"/>
    </row>
    <row r="23" spans="1:7" x14ac:dyDescent="0.25">
      <c r="A23" s="4" t="s">
        <v>115</v>
      </c>
      <c r="B23" s="3"/>
      <c r="C23" s="3"/>
      <c r="D23" s="3"/>
      <c r="E23" s="3" t="s">
        <v>10</v>
      </c>
      <c r="F23" s="4"/>
      <c r="G23" s="4"/>
    </row>
    <row r="24" spans="1:7" x14ac:dyDescent="0.25">
      <c r="A24" s="4" t="s">
        <v>94</v>
      </c>
      <c r="B24" s="3"/>
      <c r="C24" s="3"/>
      <c r="D24" s="3"/>
      <c r="E24" s="3" t="s">
        <v>10</v>
      </c>
      <c r="F24" s="4"/>
      <c r="G24" s="4"/>
    </row>
    <row r="25" spans="1:7" x14ac:dyDescent="0.25">
      <c r="A25" s="4" t="s">
        <v>135</v>
      </c>
      <c r="B25" s="3"/>
      <c r="C25" s="3"/>
      <c r="D25" s="3"/>
      <c r="E25" s="3" t="s">
        <v>7</v>
      </c>
      <c r="F25" s="4" t="s">
        <v>133</v>
      </c>
      <c r="G25" s="4"/>
    </row>
    <row r="26" spans="1:7" x14ac:dyDescent="0.25">
      <c r="A26" s="4" t="s">
        <v>140</v>
      </c>
      <c r="B26" s="3"/>
      <c r="C26" s="3"/>
      <c r="D26" s="3"/>
      <c r="E26" s="3" t="s">
        <v>6</v>
      </c>
      <c r="F26" s="4" t="s">
        <v>141</v>
      </c>
      <c r="G26" s="4"/>
    </row>
    <row r="27" spans="1:7" x14ac:dyDescent="0.25">
      <c r="A27" s="4" t="s">
        <v>132</v>
      </c>
      <c r="B27" s="3"/>
      <c r="C27" s="3"/>
      <c r="D27" s="3"/>
      <c r="E27" s="3" t="s">
        <v>10</v>
      </c>
      <c r="F27" s="4"/>
      <c r="G27" s="4"/>
    </row>
    <row r="28" spans="1:7" x14ac:dyDescent="0.25">
      <c r="A28" s="4"/>
      <c r="B28" s="3"/>
      <c r="C28" s="3"/>
      <c r="D28" s="3"/>
      <c r="E28" s="3"/>
      <c r="F28" s="4"/>
      <c r="G28" s="4"/>
    </row>
    <row r="29" spans="1:7" x14ac:dyDescent="0.25">
      <c r="A29" s="4"/>
      <c r="B29" s="3"/>
      <c r="C29" s="3"/>
      <c r="D29" s="3"/>
      <c r="E29" s="3"/>
      <c r="F29" s="4"/>
      <c r="G29" s="4"/>
    </row>
    <row r="30" spans="1:7" x14ac:dyDescent="0.25">
      <c r="A30" s="4"/>
      <c r="B30" s="3"/>
      <c r="C30" s="3"/>
      <c r="D30" s="3"/>
      <c r="E30" s="3"/>
      <c r="F30" s="4"/>
      <c r="G30" s="4"/>
    </row>
    <row r="37" spans="5:7" x14ac:dyDescent="0.25">
      <c r="F37" s="11">
        <v>0.03</v>
      </c>
      <c r="G37" s="11">
        <v>-7.0000000000000007E-2</v>
      </c>
    </row>
    <row r="38" spans="5:7" x14ac:dyDescent="0.25">
      <c r="E38" s="5">
        <v>100</v>
      </c>
      <c r="F38" s="5">
        <f>E38*(1+F37)</f>
        <v>103</v>
      </c>
      <c r="G38" s="5">
        <f>F38*(1+G37)</f>
        <v>95.789999999999992</v>
      </c>
    </row>
    <row r="39" spans="5:7" x14ac:dyDescent="0.25">
      <c r="F39" s="5">
        <f>E38*(1+G37)</f>
        <v>93</v>
      </c>
      <c r="G39" s="5">
        <f>F39*(1+F37)</f>
        <v>95.79</v>
      </c>
    </row>
  </sheetData>
  <mergeCells count="1">
    <mergeCell ref="G7:G11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92EB-971A-4CD7-994E-2EB011E6EB87}">
  <dimension ref="A1:A14"/>
  <sheetViews>
    <sheetView tabSelected="1" workbookViewId="0">
      <pane ySplit="1" topLeftCell="A2" activePane="bottomLeft" state="frozen"/>
      <selection pane="bottomLeft" activeCell="P21" sqref="P21"/>
    </sheetView>
  </sheetViews>
  <sheetFormatPr defaultRowHeight="15" x14ac:dyDescent="0.25"/>
  <cols>
    <col min="1" max="1" width="20.140625" customWidth="1"/>
  </cols>
  <sheetData>
    <row r="1" spans="1:1" s="8" customFormat="1" x14ac:dyDescent="0.25">
      <c r="A1" s="9" t="s">
        <v>32</v>
      </c>
    </row>
    <row r="2" spans="1:1" x14ac:dyDescent="0.25">
      <c r="A2" s="10" t="s">
        <v>33</v>
      </c>
    </row>
    <row r="3" spans="1:1" x14ac:dyDescent="0.25">
      <c r="A3" s="10" t="s">
        <v>34</v>
      </c>
    </row>
    <row r="4" spans="1:1" x14ac:dyDescent="0.25">
      <c r="A4" s="10" t="s">
        <v>35</v>
      </c>
    </row>
    <row r="5" spans="1:1" x14ac:dyDescent="0.25">
      <c r="A5" s="10" t="s">
        <v>36</v>
      </c>
    </row>
    <row r="6" spans="1:1" x14ac:dyDescent="0.25">
      <c r="A6" s="10" t="s">
        <v>39</v>
      </c>
    </row>
    <row r="7" spans="1:1" x14ac:dyDescent="0.25">
      <c r="A7" s="10" t="s">
        <v>40</v>
      </c>
    </row>
    <row r="8" spans="1:1" x14ac:dyDescent="0.25">
      <c r="A8" s="10" t="s">
        <v>41</v>
      </c>
    </row>
    <row r="9" spans="1:1" x14ac:dyDescent="0.25">
      <c r="A9" s="10" t="s">
        <v>42</v>
      </c>
    </row>
    <row r="10" spans="1:1" x14ac:dyDescent="0.25">
      <c r="A10" s="10" t="s">
        <v>43</v>
      </c>
    </row>
    <row r="11" spans="1:1" x14ac:dyDescent="0.25">
      <c r="A11" s="10" t="s">
        <v>44</v>
      </c>
    </row>
    <row r="12" spans="1:1" x14ac:dyDescent="0.25">
      <c r="A12" s="10" t="s">
        <v>45</v>
      </c>
    </row>
    <row r="13" spans="1:1" x14ac:dyDescent="0.25">
      <c r="A13" s="10" t="s">
        <v>46</v>
      </c>
    </row>
    <row r="14" spans="1:1" x14ac:dyDescent="0.25">
      <c r="A14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4d3fce-0a36-4205-a0ca-fe0566e94181" xsi:nil="true"/>
    <lcf76f155ced4ddcb4097134ff3c332f xmlns="3efc92a2-03b5-4d7e-91ef-6342da2334f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8B62B59F9F564E81C917325F84AF05" ma:contentTypeVersion="15" ma:contentTypeDescription="Create a new document." ma:contentTypeScope="" ma:versionID="7a4e44c99929f1b367e7f98626d431e6">
  <xsd:schema xmlns:xsd="http://www.w3.org/2001/XMLSchema" xmlns:xs="http://www.w3.org/2001/XMLSchema" xmlns:p="http://schemas.microsoft.com/office/2006/metadata/properties" xmlns:ns2="3efc92a2-03b5-4d7e-91ef-6342da2334fb" xmlns:ns3="964d3fce-0a36-4205-a0ca-fe0566e94181" targetNamespace="http://schemas.microsoft.com/office/2006/metadata/properties" ma:root="true" ma:fieldsID="4de4b5358dec468688d947901ced36c7" ns2:_="" ns3:_="">
    <xsd:import namespace="3efc92a2-03b5-4d7e-91ef-6342da2334fb"/>
    <xsd:import namespace="964d3fce-0a36-4205-a0ca-fe0566e941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c92a2-03b5-4d7e-91ef-6342da2334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0460e2-1b74-4549-b703-a18f865bfa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d3fce-0a36-4205-a0ca-fe0566e9418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a919f6c-59e7-428a-b9dd-4e1cd184a7ea}" ma:internalName="TaxCatchAll" ma:showField="CatchAllData" ma:web="964d3fce-0a36-4205-a0ca-fe0566e941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CC0E9E-4723-4FBD-932B-CBB77C35075A}">
  <ds:schemaRefs>
    <ds:schemaRef ds:uri="http://schemas.microsoft.com/office/2006/metadata/properties"/>
    <ds:schemaRef ds:uri="http://schemas.microsoft.com/office/infopath/2007/PartnerControls"/>
    <ds:schemaRef ds:uri="964d3fce-0a36-4205-a0ca-fe0566e94181"/>
    <ds:schemaRef ds:uri="3efc92a2-03b5-4d7e-91ef-6342da2334fb"/>
  </ds:schemaRefs>
</ds:datastoreItem>
</file>

<file path=customXml/itemProps2.xml><?xml version="1.0" encoding="utf-8"?>
<ds:datastoreItem xmlns:ds="http://schemas.openxmlformats.org/officeDocument/2006/customXml" ds:itemID="{DC2E11B5-35BF-4809-B693-ACF9215495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c92a2-03b5-4d7e-91ef-6342da2334fb"/>
    <ds:schemaRef ds:uri="964d3fce-0a36-4205-a0ca-fe0566e94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59306D-DF85-44AB-80B8-2F9F4891A5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 CARD USE</vt:lpstr>
      <vt:lpstr>RATE CARD</vt:lpstr>
      <vt:lpstr>RATE CARD LINE</vt:lpstr>
      <vt:lpstr>FEE REVIEW HISTORY</vt:lpstr>
      <vt:lpstr>CUSTOMER PORTFOLIO</vt:lpstr>
      <vt:lpstr>SITE FEE</vt:lpstr>
      <vt:lpstr>BUNDLE</vt:lpstr>
      <vt:lpstr>FEE RECORD</vt:lpstr>
      <vt:lpstr>CPI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Perrem</dc:creator>
  <cp:lastModifiedBy>Mark Perrem</cp:lastModifiedBy>
  <cp:lastPrinted>2026-01-21T12:08:02Z</cp:lastPrinted>
  <dcterms:created xsi:type="dcterms:W3CDTF">2026-01-15T10:17:27Z</dcterms:created>
  <dcterms:modified xsi:type="dcterms:W3CDTF">2026-01-30T17:05:11Z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0x0101002A8B62B59F9F564E81C917325F84AF05</vt:lpwstr>
  </property>
  <property fmtid="{D5CDD505-2E9C-101B-9397-08002B2CF9AE}" pid="3" name="MediaServiceImageTags">
    <vt:lpwstr/>
  </property>
</Properties>
</file>